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15964" documentId="13_ncr:1_{8AE36FE3-86F3-4CF6-9A97-12266062BE40}" xr6:coauthVersionLast="47" xr6:coauthVersionMax="47" xr10:uidLastSave="{EBF73B22-D5B6-4A54-9EF0-184423A27CD8}"/>
  <bookViews>
    <workbookView xWindow="-120" yWindow="-120" windowWidth="24240" windowHeight="13020" firstSheet="13" activeTab="12" xr2:uid="{00000000-000D-0000-FFFF-FFFF00000000}"/>
  </bookViews>
  <sheets>
    <sheet name="YG Gudda " sheetId="2" r:id="rId1"/>
    <sheet name="Khammam-1" sheetId="5" r:id="rId2"/>
    <sheet name="Khammam-2" sheetId="6" r:id="rId3"/>
    <sheet name="Jedcherla -1" sheetId="18" r:id="rId4"/>
    <sheet name="Jedcherla-2" sheetId="17" r:id="rId5"/>
    <sheet name="Jedcherla-3" sheetId="39" r:id="rId6"/>
    <sheet name="Kadur" sheetId="7" r:id="rId7"/>
    <sheet name="Hosadurga" sheetId="1" r:id="rId8"/>
    <sheet name="Chellakere (KUWSDB)" sheetId="20" r:id="rId9"/>
    <sheet name="Malebenur(KUWSDB)" sheetId="16" r:id="rId10"/>
    <sheet name="Molakamuru(KUWSDB)" sheetId="21" r:id="rId11"/>
    <sheet name="Jalgaon" sheetId="22" r:id="rId12"/>
    <sheet name="Feb-25" sheetId="42" r:id="rId13"/>
    <sheet name="MKBD" sheetId="14" r:id="rId14"/>
    <sheet name="Srirangapatna" sheetId="19" r:id="rId15"/>
    <sheet name="Sangareddy" sheetId="32" r:id="rId16"/>
    <sheet name="Guttal" sheetId="36" r:id="rId17"/>
    <sheet name="Rattihali" sheetId="37" r:id="rId18"/>
    <sheet name="Gajendragada" sheetId="12" r:id="rId19"/>
    <sheet name=" Talikote" sheetId="26" r:id="rId20"/>
    <sheet name="Chadchan" sheetId="9" r:id="rId21"/>
    <sheet name="Sindagi" sheetId="33" r:id="rId22"/>
    <sheet name="Muddebihal" sheetId="34" r:id="rId23"/>
    <sheet name="Alemela" sheetId="35" r:id="rId24"/>
    <sheet name="Munavalli(KUWSDB)" sheetId="23" r:id="rId25"/>
    <sheet name="Khanapur" sheetId="24" r:id="rId26"/>
    <sheet name="Ghattaprabha" sheetId="8" r:id="rId27"/>
    <sheet name="Gokak Dharwad PKG 3" sheetId="41" r:id="rId28"/>
    <sheet name="Ankalgi" sheetId="38" r:id="rId29"/>
    <sheet name="kumta" sheetId="25" r:id="rId30"/>
    <sheet name="Borgaon" sheetId="10" r:id="rId31"/>
    <sheet name="Ugar,Khagwad,Kudichi" sheetId="11" r:id="rId32"/>
    <sheet name="Kabbur" sheetId="40" r:id="rId33"/>
    <sheet name="Hiriyur(VJNL)" sheetId="3" r:id="rId34"/>
    <sheet name="Haveri" sheetId="15" r:id="rId35"/>
    <sheet name="IOCL" sheetId="29" r:id="rId36"/>
    <sheet name="BPCL" sheetId="30" r:id="rId37"/>
    <sheet name="HPCL" sheetId="31" r:id="rId38"/>
    <sheet name="Sangareddy copy" sheetId="43" r:id="rId39"/>
  </sheets>
  <definedNames>
    <definedName name="_xlnm._FilterDatabase" localSheetId="35" hidden="1">IOCL!$A$2:$P$176</definedName>
    <definedName name="_xlnm.Print_Area" localSheetId="7">Hosadurga!$A$2:$N$36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2" l="1"/>
  <c r="L30" i="42"/>
  <c r="L3" i="32"/>
  <c r="M33" i="32"/>
  <c r="Q3" i="17"/>
  <c r="L4" i="42"/>
  <c r="I12" i="42"/>
  <c r="J38" i="42"/>
  <c r="L4" i="43"/>
  <c r="L5" i="43"/>
  <c r="L6" i="43"/>
  <c r="L7" i="43"/>
  <c r="L8" i="43"/>
  <c r="L9" i="43"/>
  <c r="L10" i="43" s="1"/>
  <c r="J33" i="43"/>
  <c r="L11" i="43"/>
  <c r="L12" i="43" s="1"/>
  <c r="L13" i="43" s="1"/>
  <c r="L14" i="43" s="1"/>
  <c r="L15" i="43" s="1"/>
  <c r="L16" i="43" s="1"/>
  <c r="L17" i="43" s="1"/>
  <c r="L18" i="43" s="1"/>
  <c r="L19" i="43" s="1"/>
  <c r="L20" i="43" s="1"/>
  <c r="L21" i="43" s="1"/>
  <c r="L22" i="43" s="1"/>
  <c r="L23" i="43" s="1"/>
  <c r="L24" i="43" s="1"/>
  <c r="L25" i="43" s="1"/>
  <c r="L26" i="43" s="1"/>
  <c r="L27" i="43" s="1"/>
  <c r="L28" i="43" s="1"/>
  <c r="L29" i="43" s="1"/>
  <c r="L30" i="43" s="1"/>
  <c r="L31" i="43" s="1"/>
  <c r="L32" i="43" s="1"/>
  <c r="J4" i="43"/>
  <c r="L33" i="43"/>
  <c r="G33" i="43"/>
  <c r="D33" i="43"/>
  <c r="I32" i="43"/>
  <c r="F32" i="43"/>
  <c r="J32" i="43" s="1"/>
  <c r="I31" i="43"/>
  <c r="F31" i="43"/>
  <c r="J31" i="43" s="1"/>
  <c r="I30" i="43"/>
  <c r="F30" i="43"/>
  <c r="J30" i="43" s="1"/>
  <c r="I29" i="43"/>
  <c r="F29" i="43"/>
  <c r="J29" i="43" s="1"/>
  <c r="I28" i="43"/>
  <c r="F28" i="43"/>
  <c r="J28" i="43" s="1"/>
  <c r="I27" i="43"/>
  <c r="F27" i="43"/>
  <c r="J27" i="43" s="1"/>
  <c r="I26" i="43"/>
  <c r="F26" i="43"/>
  <c r="J26" i="43" s="1"/>
  <c r="I25" i="43"/>
  <c r="F25" i="43"/>
  <c r="J25" i="43" s="1"/>
  <c r="I24" i="43"/>
  <c r="F24" i="43"/>
  <c r="J24" i="43" s="1"/>
  <c r="I23" i="43"/>
  <c r="F23" i="43"/>
  <c r="J23" i="43" s="1"/>
  <c r="I22" i="43"/>
  <c r="F22" i="43"/>
  <c r="J22" i="43" s="1"/>
  <c r="I21" i="43"/>
  <c r="F21" i="43"/>
  <c r="J21" i="43" s="1"/>
  <c r="I20" i="43"/>
  <c r="F20" i="43"/>
  <c r="J20" i="43" s="1"/>
  <c r="I19" i="43"/>
  <c r="F19" i="43"/>
  <c r="J19" i="43" s="1"/>
  <c r="I18" i="43"/>
  <c r="F18" i="43"/>
  <c r="J18" i="43" s="1"/>
  <c r="I17" i="43"/>
  <c r="F17" i="43"/>
  <c r="J17" i="43" s="1"/>
  <c r="I16" i="43"/>
  <c r="F16" i="43"/>
  <c r="J16" i="43" s="1"/>
  <c r="I15" i="43"/>
  <c r="F15" i="43"/>
  <c r="J15" i="43" s="1"/>
  <c r="I14" i="43"/>
  <c r="F14" i="43"/>
  <c r="J14" i="43" s="1"/>
  <c r="I13" i="43"/>
  <c r="F13" i="43"/>
  <c r="J13" i="43" s="1"/>
  <c r="I12" i="43"/>
  <c r="F12" i="43"/>
  <c r="J12" i="43" s="1"/>
  <c r="I11" i="43"/>
  <c r="F11" i="43"/>
  <c r="J11" i="43" s="1"/>
  <c r="I10" i="43"/>
  <c r="F10" i="43"/>
  <c r="J10" i="43" s="1"/>
  <c r="I9" i="43"/>
  <c r="F9" i="43"/>
  <c r="J9" i="43" s="1"/>
  <c r="I8" i="43"/>
  <c r="F8" i="43"/>
  <c r="J8" i="43" s="1"/>
  <c r="I7" i="43"/>
  <c r="F7" i="43"/>
  <c r="J7" i="43" s="1"/>
  <c r="I6" i="43"/>
  <c r="F6" i="43"/>
  <c r="J6" i="43" s="1"/>
  <c r="I5" i="43"/>
  <c r="F5" i="43"/>
  <c r="J5" i="43" s="1"/>
  <c r="I4" i="43"/>
  <c r="I33" i="43" s="1"/>
  <c r="F4" i="43"/>
  <c r="I35" i="15"/>
  <c r="E31" i="41"/>
  <c r="M31" i="36"/>
  <c r="K33" i="32"/>
  <c r="H32" i="22"/>
  <c r="E32" i="22"/>
  <c r="L33" i="11"/>
  <c r="K33" i="11"/>
  <c r="M31" i="11"/>
  <c r="M32" i="11"/>
  <c r="E33" i="11"/>
  <c r="O37" i="11"/>
  <c r="O38" i="11" s="1"/>
  <c r="L36" i="42"/>
  <c r="J6" i="17"/>
  <c r="G13" i="18"/>
  <c r="K13" i="18"/>
  <c r="H33" i="18"/>
  <c r="K5" i="17"/>
  <c r="K6" i="17"/>
  <c r="K7" i="17"/>
  <c r="K8" i="17"/>
  <c r="K10" i="17"/>
  <c r="K11" i="17"/>
  <c r="K12" i="17"/>
  <c r="K13" i="17"/>
  <c r="K14" i="17"/>
  <c r="K15" i="17"/>
  <c r="K16" i="17"/>
  <c r="K17" i="17"/>
  <c r="K19" i="17"/>
  <c r="K20" i="17"/>
  <c r="K21" i="17"/>
  <c r="K22" i="17"/>
  <c r="K23" i="17"/>
  <c r="K24" i="17"/>
  <c r="K25" i="17"/>
  <c r="K26" i="17"/>
  <c r="K27" i="17"/>
  <c r="K28" i="17"/>
  <c r="K4" i="17"/>
  <c r="N46" i="17"/>
  <c r="E32" i="17"/>
  <c r="E33" i="18"/>
  <c r="E32" i="9"/>
  <c r="H32" i="9"/>
  <c r="K35" i="42"/>
  <c r="J35" i="42"/>
  <c r="E35" i="42"/>
  <c r="F35" i="42"/>
  <c r="G35" i="42"/>
  <c r="H35" i="42"/>
  <c r="I34" i="42"/>
  <c r="L34" i="42" s="1"/>
  <c r="H32" i="19"/>
  <c r="J32" i="19"/>
  <c r="K32" i="19"/>
  <c r="L32" i="19"/>
  <c r="K31" i="19"/>
  <c r="I33" i="42"/>
  <c r="L33" i="42" s="1"/>
  <c r="K43" i="35"/>
  <c r="J43" i="35"/>
  <c r="H43" i="35"/>
  <c r="E43" i="35"/>
  <c r="I32" i="42"/>
  <c r="L32" i="42" s="1"/>
  <c r="J44" i="34"/>
  <c r="H44" i="34"/>
  <c r="G44" i="34"/>
  <c r="L44" i="34"/>
  <c r="E44" i="34"/>
  <c r="I31" i="42"/>
  <c r="L31" i="42" s="1"/>
  <c r="H44" i="33"/>
  <c r="G44" i="33"/>
  <c r="E44" i="33"/>
  <c r="L32" i="9"/>
  <c r="G32" i="9"/>
  <c r="I29" i="42"/>
  <c r="L29" i="42" s="1"/>
  <c r="J23" i="26"/>
  <c r="E23" i="26"/>
  <c r="I28" i="42"/>
  <c r="L28" i="42" s="1"/>
  <c r="L13" i="38"/>
  <c r="K13" i="38"/>
  <c r="J13" i="38"/>
  <c r="H13" i="38"/>
  <c r="G13" i="38"/>
  <c r="E13" i="38"/>
  <c r="I27" i="42"/>
  <c r="L27" i="42" s="1"/>
  <c r="J31" i="41"/>
  <c r="H31" i="41"/>
  <c r="G31" i="41"/>
  <c r="L34" i="8"/>
  <c r="I26" i="42"/>
  <c r="L26" i="42" s="1"/>
  <c r="J34" i="8"/>
  <c r="H34" i="8"/>
  <c r="G34" i="8"/>
  <c r="E34" i="8"/>
  <c r="K30" i="12"/>
  <c r="I25" i="42"/>
  <c r="L25" i="42" s="1"/>
  <c r="H30" i="12"/>
  <c r="G30" i="12"/>
  <c r="E30" i="12"/>
  <c r="K32" i="37"/>
  <c r="I24" i="42"/>
  <c r="L24" i="42" s="1"/>
  <c r="L32" i="37"/>
  <c r="J32" i="37"/>
  <c r="H32" i="37"/>
  <c r="G32" i="37"/>
  <c r="E32" i="37"/>
  <c r="L32" i="36"/>
  <c r="I23" i="42"/>
  <c r="L23" i="42" s="1"/>
  <c r="K32" i="36"/>
  <c r="J32" i="36"/>
  <c r="H32" i="36"/>
  <c r="G32" i="36"/>
  <c r="E32" i="36"/>
  <c r="L32" i="15"/>
  <c r="I22" i="42"/>
  <c r="L22" i="42" s="1"/>
  <c r="J32" i="15"/>
  <c r="H32" i="15"/>
  <c r="G32" i="15"/>
  <c r="E32" i="15"/>
  <c r="I21" i="42"/>
  <c r="L21" i="42" s="1"/>
  <c r="J32" i="14"/>
  <c r="H32" i="14"/>
  <c r="G32" i="14"/>
  <c r="E32" i="14"/>
  <c r="L32" i="22"/>
  <c r="I20" i="42"/>
  <c r="L20" i="42" s="1"/>
  <c r="K32" i="22"/>
  <c r="J32" i="22"/>
  <c r="G32" i="22"/>
  <c r="I19" i="42"/>
  <c r="L19" i="42" s="1"/>
  <c r="K32" i="25"/>
  <c r="J32" i="25"/>
  <c r="H32" i="25"/>
  <c r="G32" i="25"/>
  <c r="E32" i="25"/>
  <c r="L32" i="10"/>
  <c r="I18" i="42"/>
  <c r="L18" i="42" s="1"/>
  <c r="J32" i="10"/>
  <c r="H32" i="10"/>
  <c r="K32" i="10"/>
  <c r="G32" i="10"/>
  <c r="E32" i="10"/>
  <c r="K32" i="40"/>
  <c r="I17" i="42"/>
  <c r="L17" i="42" s="1"/>
  <c r="J32" i="40"/>
  <c r="H32" i="40"/>
  <c r="G32" i="40"/>
  <c r="E32" i="40"/>
  <c r="I16" i="42"/>
  <c r="L16" i="42" s="1"/>
  <c r="L35" i="42" s="1"/>
  <c r="H33" i="11"/>
  <c r="L32" i="24"/>
  <c r="I15" i="42"/>
  <c r="L15" i="42" s="1"/>
  <c r="H32" i="24"/>
  <c r="G32" i="24"/>
  <c r="E32" i="24"/>
  <c r="L33" i="23"/>
  <c r="I14" i="42"/>
  <c r="L14" i="42" s="1"/>
  <c r="H33" i="23"/>
  <c r="G33" i="23"/>
  <c r="E33" i="23"/>
  <c r="L32" i="20"/>
  <c r="I13" i="42"/>
  <c r="L13" i="42" s="1"/>
  <c r="K32" i="20"/>
  <c r="J32" i="20"/>
  <c r="H32" i="20"/>
  <c r="G32" i="20"/>
  <c r="E32" i="20"/>
  <c r="H32" i="3"/>
  <c r="L32" i="3"/>
  <c r="K32" i="3"/>
  <c r="M28" i="3"/>
  <c r="J32" i="3"/>
  <c r="G32" i="3"/>
  <c r="E32" i="3"/>
  <c r="L12" i="42"/>
  <c r="I11" i="42"/>
  <c r="L11" i="42"/>
  <c r="K32" i="7"/>
  <c r="L32" i="7"/>
  <c r="J32" i="7"/>
  <c r="H32" i="7"/>
  <c r="G32" i="7"/>
  <c r="E32" i="7"/>
  <c r="I10" i="42"/>
  <c r="I9" i="42"/>
  <c r="L10" i="42"/>
  <c r="L32" i="16"/>
  <c r="K32" i="16"/>
  <c r="J32" i="16"/>
  <c r="H32" i="16"/>
  <c r="G32" i="16"/>
  <c r="E32" i="16"/>
  <c r="L9" i="42"/>
  <c r="L32" i="1"/>
  <c r="K32" i="1"/>
  <c r="J32" i="1"/>
  <c r="H32" i="1"/>
  <c r="E32" i="1"/>
  <c r="G32" i="1"/>
  <c r="L32" i="2"/>
  <c r="I8" i="42"/>
  <c r="L8" i="42" s="1"/>
  <c r="J32" i="2"/>
  <c r="H32" i="2"/>
  <c r="G32" i="2"/>
  <c r="E32" i="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4" i="32"/>
  <c r="J31" i="32"/>
  <c r="J32" i="32"/>
  <c r="I7" i="42"/>
  <c r="L7" i="42" s="1"/>
  <c r="I33" i="32"/>
  <c r="G33" i="32"/>
  <c r="F33" i="32"/>
  <c r="D33" i="32"/>
  <c r="J33" i="32"/>
  <c r="I6" i="42"/>
  <c r="L6" i="42" s="1"/>
  <c r="H32" i="39"/>
  <c r="E32" i="39"/>
  <c r="I5" i="42"/>
  <c r="H32" i="17"/>
  <c r="L32" i="17"/>
  <c r="L33" i="18"/>
  <c r="I4" i="42"/>
  <c r="G33" i="18"/>
  <c r="I3" i="42"/>
  <c r="L3" i="42" s="1"/>
  <c r="K38" i="6"/>
  <c r="J38" i="6"/>
  <c r="H38" i="6"/>
  <c r="G38" i="6"/>
  <c r="L38" i="6"/>
  <c r="E38" i="6"/>
  <c r="L32" i="5"/>
  <c r="I2" i="42"/>
  <c r="K32" i="5"/>
  <c r="J32" i="5"/>
  <c r="H32" i="5"/>
  <c r="G32" i="5"/>
  <c r="E32" i="5"/>
  <c r="K13" i="25"/>
  <c r="L13" i="25"/>
  <c r="H23" i="26"/>
  <c r="N182" i="29"/>
  <c r="N176" i="29"/>
  <c r="L176" i="29"/>
  <c r="H176" i="29"/>
  <c r="N175" i="29"/>
  <c r="L175" i="29"/>
  <c r="K175" i="29"/>
  <c r="H175" i="29"/>
  <c r="N174" i="29"/>
  <c r="L174" i="29"/>
  <c r="K172" i="29"/>
  <c r="K173" i="29"/>
  <c r="K174" i="29"/>
  <c r="H174" i="29"/>
  <c r="L172" i="29"/>
  <c r="N172" i="29" s="1"/>
  <c r="L173" i="29"/>
  <c r="H172" i="29"/>
  <c r="H173" i="29"/>
  <c r="N171" i="29"/>
  <c r="L171" i="29"/>
  <c r="K171" i="29"/>
  <c r="H170" i="29"/>
  <c r="H171" i="29"/>
  <c r="L170" i="29"/>
  <c r="N170" i="29" s="1"/>
  <c r="K170" i="29"/>
  <c r="N169" i="29"/>
  <c r="L169" i="29"/>
  <c r="K169" i="29"/>
  <c r="H169" i="29"/>
  <c r="N168" i="29"/>
  <c r="L168" i="29"/>
  <c r="K168" i="29"/>
  <c r="H167" i="29"/>
  <c r="H168" i="29"/>
  <c r="K70" i="30"/>
  <c r="J68" i="30"/>
  <c r="J69" i="30"/>
  <c r="J70" i="30"/>
  <c r="G69" i="30"/>
  <c r="K69" i="30" s="1"/>
  <c r="G70" i="30"/>
  <c r="G31" i="6"/>
  <c r="I31" i="32"/>
  <c r="I32" i="32"/>
  <c r="F32" i="32"/>
  <c r="K29" i="19"/>
  <c r="K30" i="19"/>
  <c r="J29" i="19"/>
  <c r="J30" i="19"/>
  <c r="J31" i="19"/>
  <c r="J31" i="9"/>
  <c r="K31" i="9" s="1"/>
  <c r="L31" i="25"/>
  <c r="M30" i="36"/>
  <c r="J31" i="36"/>
  <c r="K31" i="24"/>
  <c r="L167" i="29"/>
  <c r="N167" i="29" s="1"/>
  <c r="K166" i="29"/>
  <c r="K167" i="29"/>
  <c r="L166" i="29"/>
  <c r="N166" i="29" s="1"/>
  <c r="H166" i="29"/>
  <c r="N164" i="29"/>
  <c r="N165" i="29"/>
  <c r="L164" i="29"/>
  <c r="L165" i="29"/>
  <c r="K163" i="29"/>
  <c r="K164" i="29"/>
  <c r="K165" i="29"/>
  <c r="H165" i="29"/>
  <c r="H164" i="29"/>
  <c r="L163" i="29"/>
  <c r="N163" i="29" s="1"/>
  <c r="H162" i="29"/>
  <c r="H163" i="29"/>
  <c r="L162" i="29"/>
  <c r="N162" i="29" s="1"/>
  <c r="K162" i="29"/>
  <c r="N161" i="29"/>
  <c r="L161" i="29"/>
  <c r="K160" i="29"/>
  <c r="K161" i="29"/>
  <c r="H161" i="29"/>
  <c r="K68" i="30"/>
  <c r="G68" i="30"/>
  <c r="J61" i="30"/>
  <c r="J62" i="30"/>
  <c r="J63" i="30"/>
  <c r="J64" i="30"/>
  <c r="J65" i="30"/>
  <c r="J66" i="30"/>
  <c r="J67" i="30"/>
  <c r="G67" i="30"/>
  <c r="K67" i="30" s="1"/>
  <c r="M67" i="30" s="1"/>
  <c r="J27" i="18"/>
  <c r="J28" i="18"/>
  <c r="G30" i="6"/>
  <c r="F31" i="32"/>
  <c r="M25" i="7"/>
  <c r="M26" i="7"/>
  <c r="M27" i="7"/>
  <c r="M28" i="7"/>
  <c r="M29" i="7"/>
  <c r="M30" i="7"/>
  <c r="K25" i="7"/>
  <c r="K26" i="7"/>
  <c r="K27" i="7"/>
  <c r="K28" i="7"/>
  <c r="K29" i="7"/>
  <c r="K30" i="7"/>
  <c r="J25" i="7"/>
  <c r="J26" i="7"/>
  <c r="J27" i="7"/>
  <c r="J28" i="7"/>
  <c r="J29" i="7"/>
  <c r="J30" i="7"/>
  <c r="G25" i="7"/>
  <c r="G26" i="7"/>
  <c r="G27" i="7"/>
  <c r="G28" i="7"/>
  <c r="G29" i="7"/>
  <c r="G30" i="7"/>
  <c r="M29" i="16"/>
  <c r="M30" i="16"/>
  <c r="K29" i="16"/>
  <c r="K30" i="16"/>
  <c r="J21" i="16"/>
  <c r="J22" i="16"/>
  <c r="J23" i="16"/>
  <c r="J24" i="16"/>
  <c r="J25" i="16"/>
  <c r="J26" i="16"/>
  <c r="J27" i="16"/>
  <c r="J28" i="16"/>
  <c r="J29" i="16"/>
  <c r="J30" i="16"/>
  <c r="K28" i="20"/>
  <c r="L29" i="20"/>
  <c r="L30" i="20"/>
  <c r="K29" i="20"/>
  <c r="K30" i="20"/>
  <c r="G29" i="20"/>
  <c r="G30" i="20"/>
  <c r="L29" i="25"/>
  <c r="L30" i="25"/>
  <c r="L28" i="25"/>
  <c r="K30" i="25"/>
  <c r="J29" i="9"/>
  <c r="J30" i="9"/>
  <c r="K30" i="9" s="1"/>
  <c r="G30" i="9"/>
  <c r="M25" i="10"/>
  <c r="M26" i="10"/>
  <c r="M27" i="10"/>
  <c r="M28" i="10"/>
  <c r="M29" i="10"/>
  <c r="K22" i="10"/>
  <c r="K23" i="10"/>
  <c r="K24" i="10"/>
  <c r="K25" i="10"/>
  <c r="K26" i="10"/>
  <c r="K27" i="10"/>
  <c r="K28" i="10"/>
  <c r="K29" i="10"/>
  <c r="K31" i="10"/>
  <c r="J22" i="10"/>
  <c r="J23" i="10"/>
  <c r="J24" i="10"/>
  <c r="J25" i="10"/>
  <c r="J26" i="10"/>
  <c r="J27" i="10"/>
  <c r="J28" i="10"/>
  <c r="J29" i="10"/>
  <c r="J30" i="10"/>
  <c r="K30" i="10" s="1"/>
  <c r="M30" i="10" s="1"/>
  <c r="M31" i="10" s="1"/>
  <c r="J31" i="10"/>
  <c r="G25" i="10"/>
  <c r="G26" i="10"/>
  <c r="G27" i="10"/>
  <c r="G28" i="10"/>
  <c r="G29" i="10"/>
  <c r="G30" i="10"/>
  <c r="G31" i="10"/>
  <c r="J12" i="38"/>
  <c r="K12" i="38" s="1"/>
  <c r="L12" i="38" s="1"/>
  <c r="J10" i="38"/>
  <c r="J11" i="38"/>
  <c r="G11" i="38"/>
  <c r="K11" i="38" s="1"/>
  <c r="L11" i="38" s="1"/>
  <c r="K29" i="14"/>
  <c r="K30" i="14"/>
  <c r="G23" i="14"/>
  <c r="G24" i="14"/>
  <c r="G25" i="14"/>
  <c r="G26" i="14"/>
  <c r="G27" i="14"/>
  <c r="G28" i="14"/>
  <c r="G29" i="14"/>
  <c r="G30" i="14"/>
  <c r="K66" i="30"/>
  <c r="G66" i="30"/>
  <c r="K65" i="30"/>
  <c r="G65" i="30"/>
  <c r="K64" i="30"/>
  <c r="G64" i="30"/>
  <c r="L160" i="29"/>
  <c r="N160" i="29" s="1"/>
  <c r="H160" i="29"/>
  <c r="N159" i="29"/>
  <c r="L159" i="29"/>
  <c r="K158" i="29"/>
  <c r="K159" i="29"/>
  <c r="H159" i="29"/>
  <c r="L158" i="29"/>
  <c r="N158" i="29" s="1"/>
  <c r="H157" i="29"/>
  <c r="H158" i="29"/>
  <c r="L157" i="29"/>
  <c r="K156" i="29"/>
  <c r="K157" i="29"/>
  <c r="L156" i="29"/>
  <c r="H156" i="29"/>
  <c r="L155" i="29"/>
  <c r="K155" i="29"/>
  <c r="H154" i="29"/>
  <c r="H155" i="29"/>
  <c r="L154" i="29"/>
  <c r="K154" i="29"/>
  <c r="L153" i="29"/>
  <c r="K153" i="29"/>
  <c r="H153" i="29"/>
  <c r="L152" i="29"/>
  <c r="K152" i="29"/>
  <c r="H152" i="29"/>
  <c r="L151" i="29"/>
  <c r="K151" i="29"/>
  <c r="H150" i="29"/>
  <c r="H151" i="29"/>
  <c r="L150" i="29"/>
  <c r="K150" i="29"/>
  <c r="K144" i="29"/>
  <c r="K145" i="29"/>
  <c r="K146" i="29"/>
  <c r="K147" i="29"/>
  <c r="K148" i="29"/>
  <c r="K149" i="29"/>
  <c r="L149" i="29"/>
  <c r="H149" i="29"/>
  <c r="H148" i="29"/>
  <c r="L148" i="29" s="1"/>
  <c r="L147" i="29"/>
  <c r="H147" i="29"/>
  <c r="G29" i="6"/>
  <c r="G28" i="6"/>
  <c r="I30" i="32"/>
  <c r="F30" i="32"/>
  <c r="J30" i="32" s="1"/>
  <c r="I28" i="32"/>
  <c r="I29" i="32"/>
  <c r="J29" i="32"/>
  <c r="F29" i="32"/>
  <c r="J24" i="20"/>
  <c r="J25" i="20"/>
  <c r="J26" i="20"/>
  <c r="J27" i="20"/>
  <c r="J28" i="20"/>
  <c r="K26" i="20"/>
  <c r="K27" i="20"/>
  <c r="G26" i="20"/>
  <c r="G27" i="20"/>
  <c r="G28" i="20"/>
  <c r="K24" i="16"/>
  <c r="K25" i="16"/>
  <c r="K26" i="16"/>
  <c r="K27" i="16"/>
  <c r="K28" i="16"/>
  <c r="G24" i="16"/>
  <c r="G25" i="16"/>
  <c r="G26" i="16"/>
  <c r="G27" i="16"/>
  <c r="G28" i="16"/>
  <c r="M25" i="2"/>
  <c r="M26" i="2"/>
  <c r="M27" i="2"/>
  <c r="M28" i="2"/>
  <c r="J24" i="2"/>
  <c r="K24" i="2"/>
  <c r="J25" i="2"/>
  <c r="K25" i="2"/>
  <c r="J26" i="2"/>
  <c r="K26" i="2"/>
  <c r="J27" i="2"/>
  <c r="K27" i="2"/>
  <c r="J28" i="2"/>
  <c r="K28" i="2"/>
  <c r="G24" i="2"/>
  <c r="G25" i="2"/>
  <c r="G26" i="2"/>
  <c r="G27" i="2"/>
  <c r="G28" i="2"/>
  <c r="J20" i="19"/>
  <c r="K20" i="19"/>
  <c r="J21" i="19"/>
  <c r="K21" i="19"/>
  <c r="J22" i="19"/>
  <c r="K22" i="19"/>
  <c r="J23" i="19"/>
  <c r="K23" i="19"/>
  <c r="J24" i="19"/>
  <c r="K24" i="19"/>
  <c r="J25" i="19"/>
  <c r="K25" i="19"/>
  <c r="J26" i="19"/>
  <c r="K26" i="19"/>
  <c r="J27" i="19"/>
  <c r="K27" i="19"/>
  <c r="J28" i="19"/>
  <c r="K28" i="19"/>
  <c r="K29" i="9"/>
  <c r="G28" i="9"/>
  <c r="G29" i="9"/>
  <c r="J28" i="9"/>
  <c r="K28" i="9" s="1"/>
  <c r="J23" i="14"/>
  <c r="K23" i="14"/>
  <c r="J24" i="14"/>
  <c r="K24" i="14"/>
  <c r="J25" i="14"/>
  <c r="K25" i="14"/>
  <c r="J26" i="14"/>
  <c r="K26" i="14"/>
  <c r="J27" i="14"/>
  <c r="K27" i="14"/>
  <c r="J28" i="14"/>
  <c r="K28" i="14"/>
  <c r="L31" i="41"/>
  <c r="J26" i="41"/>
  <c r="J27" i="41"/>
  <c r="J28" i="41"/>
  <c r="J29" i="41"/>
  <c r="J30" i="41"/>
  <c r="G26" i="41"/>
  <c r="G27" i="41"/>
  <c r="G28" i="41"/>
  <c r="G29" i="41"/>
  <c r="G30" i="41"/>
  <c r="K26" i="41"/>
  <c r="K27" i="41"/>
  <c r="K28" i="41"/>
  <c r="K29" i="41"/>
  <c r="K30" i="41"/>
  <c r="M25" i="41"/>
  <c r="M26" i="41" s="1"/>
  <c r="M27" i="41" s="1"/>
  <c r="M28" i="41" s="1"/>
  <c r="M29" i="41" s="1"/>
  <c r="M30" i="41" s="1"/>
  <c r="K25" i="41"/>
  <c r="J25" i="41"/>
  <c r="G25" i="41"/>
  <c r="L24" i="40"/>
  <c r="L25" i="40"/>
  <c r="L26" i="40"/>
  <c r="L27" i="40"/>
  <c r="L28" i="40"/>
  <c r="L29" i="40"/>
  <c r="L30" i="40"/>
  <c r="L23" i="40"/>
  <c r="M23" i="40"/>
  <c r="M24" i="40" s="1"/>
  <c r="M25" i="40" s="1"/>
  <c r="M26" i="40" s="1"/>
  <c r="M27" i="40" s="1"/>
  <c r="M28" i="40" s="1"/>
  <c r="M29" i="40" s="1"/>
  <c r="M30" i="40" s="1"/>
  <c r="K24" i="40"/>
  <c r="K25" i="40"/>
  <c r="K26" i="40"/>
  <c r="K27" i="40"/>
  <c r="K28" i="40"/>
  <c r="K29" i="40"/>
  <c r="K30" i="40"/>
  <c r="K23" i="40"/>
  <c r="J24" i="40"/>
  <c r="J25" i="40"/>
  <c r="J26" i="40"/>
  <c r="J27" i="40"/>
  <c r="J28" i="40"/>
  <c r="J29" i="40"/>
  <c r="J30" i="40"/>
  <c r="J31" i="40"/>
  <c r="G24" i="40"/>
  <c r="G25" i="40"/>
  <c r="G26" i="40"/>
  <c r="G27" i="40"/>
  <c r="G28" i="40"/>
  <c r="G29" i="40"/>
  <c r="G30" i="40"/>
  <c r="G31" i="40"/>
  <c r="J23" i="40"/>
  <c r="G23" i="40"/>
  <c r="M3" i="40"/>
  <c r="K63" i="30"/>
  <c r="G63" i="30"/>
  <c r="K62" i="30"/>
  <c r="G62" i="30"/>
  <c r="K61" i="30"/>
  <c r="M61" i="30" s="1"/>
  <c r="M62" i="30" s="1"/>
  <c r="M63" i="30" s="1"/>
  <c r="M64" i="30" s="1"/>
  <c r="M65" i="30" s="1"/>
  <c r="M66" i="30" s="1"/>
  <c r="G60" i="30"/>
  <c r="G61" i="30"/>
  <c r="K60" i="30"/>
  <c r="M60" i="30" s="1"/>
  <c r="J60" i="30"/>
  <c r="L146" i="29"/>
  <c r="H146" i="29"/>
  <c r="L145" i="29"/>
  <c r="H145" i="29"/>
  <c r="L144" i="29"/>
  <c r="N144" i="29"/>
  <c r="N145" i="29" s="1"/>
  <c r="N146" i="29" s="1"/>
  <c r="N147" i="29" s="1"/>
  <c r="N148" i="29" s="1"/>
  <c r="N149" i="29" s="1"/>
  <c r="H144" i="29"/>
  <c r="J27" i="15"/>
  <c r="G27" i="6"/>
  <c r="F28" i="32"/>
  <c r="J28" i="32" s="1"/>
  <c r="M22" i="1"/>
  <c r="M23" i="1"/>
  <c r="M24" i="1"/>
  <c r="M25" i="1"/>
  <c r="M26" i="1"/>
  <c r="M27" i="1" s="1"/>
  <c r="K22" i="1"/>
  <c r="K23" i="1"/>
  <c r="K24" i="1"/>
  <c r="K25" i="1"/>
  <c r="K26" i="1"/>
  <c r="K27" i="1"/>
  <c r="J22" i="1"/>
  <c r="J23" i="1"/>
  <c r="J24" i="1"/>
  <c r="J25" i="1"/>
  <c r="J26" i="1"/>
  <c r="J27" i="1"/>
  <c r="G22" i="1"/>
  <c r="G23" i="1"/>
  <c r="G24" i="1"/>
  <c r="G25" i="1"/>
  <c r="G26" i="1"/>
  <c r="G27" i="1"/>
  <c r="K21" i="12"/>
  <c r="J25" i="9"/>
  <c r="J26" i="9"/>
  <c r="K26" i="9" s="1"/>
  <c r="J27" i="9"/>
  <c r="K27" i="9" s="1"/>
  <c r="G26" i="9"/>
  <c r="G27" i="9"/>
  <c r="G9" i="38"/>
  <c r="G10" i="38"/>
  <c r="K10" i="38" s="1"/>
  <c r="L10" i="38" s="1"/>
  <c r="K29" i="8"/>
  <c r="K59" i="30"/>
  <c r="J57" i="30"/>
  <c r="J58" i="30"/>
  <c r="J59" i="30"/>
  <c r="G59" i="30"/>
  <c r="K57" i="30"/>
  <c r="M57" i="30" s="1"/>
  <c r="K58" i="30"/>
  <c r="G58" i="30"/>
  <c r="G56" i="30"/>
  <c r="G57" i="30"/>
  <c r="K142" i="29"/>
  <c r="K143" i="29"/>
  <c r="L142" i="29"/>
  <c r="L143" i="29"/>
  <c r="N140" i="29"/>
  <c r="N139" i="29"/>
  <c r="N138" i="29"/>
  <c r="L138" i="29"/>
  <c r="H132" i="29"/>
  <c r="L132" i="29"/>
  <c r="N132" i="29" s="1"/>
  <c r="L139" i="29"/>
  <c r="L137" i="29"/>
  <c r="K141" i="29"/>
  <c r="H143" i="29"/>
  <c r="H142" i="29"/>
  <c r="H141" i="29"/>
  <c r="L141" i="29" s="1"/>
  <c r="N141" i="29" s="1"/>
  <c r="N142" i="29" s="1"/>
  <c r="N143" i="29" s="1"/>
  <c r="K140" i="29"/>
  <c r="H140" i="29"/>
  <c r="L140" i="29" s="1"/>
  <c r="K139" i="29"/>
  <c r="H138" i="29"/>
  <c r="H139" i="29"/>
  <c r="K132" i="29"/>
  <c r="K133" i="29"/>
  <c r="K134" i="29"/>
  <c r="K135" i="29"/>
  <c r="K136" i="29"/>
  <c r="K138" i="29"/>
  <c r="H136" i="29"/>
  <c r="L136" i="29" s="1"/>
  <c r="H135" i="29"/>
  <c r="L135" i="29" s="1"/>
  <c r="H134" i="29"/>
  <c r="L134" i="29" s="1"/>
  <c r="H133" i="29"/>
  <c r="L133" i="29" s="1"/>
  <c r="K25" i="36"/>
  <c r="G26" i="6"/>
  <c r="P28" i="5"/>
  <c r="G27" i="5"/>
  <c r="G25" i="6"/>
  <c r="I26" i="32"/>
  <c r="I27" i="32"/>
  <c r="F27" i="32"/>
  <c r="J27" i="32" s="1"/>
  <c r="M23" i="20"/>
  <c r="K24" i="20"/>
  <c r="M24" i="20" s="1"/>
  <c r="K25" i="20"/>
  <c r="G24" i="20"/>
  <c r="G25" i="20"/>
  <c r="M24" i="3"/>
  <c r="M25" i="3"/>
  <c r="M26" i="3"/>
  <c r="K24" i="3"/>
  <c r="K25" i="3"/>
  <c r="K26" i="3"/>
  <c r="K28" i="3"/>
  <c r="K29" i="3"/>
  <c r="K30" i="3"/>
  <c r="K31" i="3"/>
  <c r="J24" i="3"/>
  <c r="J25" i="3"/>
  <c r="J26" i="3"/>
  <c r="J27" i="3"/>
  <c r="J28" i="3"/>
  <c r="J29" i="3"/>
  <c r="J30" i="3"/>
  <c r="J31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K27" i="3" s="1"/>
  <c r="M27" i="3" s="1"/>
  <c r="G28" i="3"/>
  <c r="G29" i="3"/>
  <c r="G30" i="3"/>
  <c r="G31" i="3"/>
  <c r="K25" i="9"/>
  <c r="K56" i="30"/>
  <c r="M56" i="30" s="1"/>
  <c r="J56" i="30"/>
  <c r="J53" i="30"/>
  <c r="J54" i="30"/>
  <c r="J55" i="30"/>
  <c r="K55" i="30"/>
  <c r="G55" i="30"/>
  <c r="K131" i="29"/>
  <c r="H130" i="29"/>
  <c r="H131" i="29"/>
  <c r="L131" i="29" s="1"/>
  <c r="K129" i="29"/>
  <c r="K130" i="29"/>
  <c r="L130" i="29"/>
  <c r="H127" i="29"/>
  <c r="H128" i="29"/>
  <c r="H129" i="29"/>
  <c r="L129" i="29" s="1"/>
  <c r="K128" i="29"/>
  <c r="L128" i="29" s="1"/>
  <c r="K127" i="29"/>
  <c r="L127" i="29" s="1"/>
  <c r="K126" i="29"/>
  <c r="H126" i="29"/>
  <c r="L126" i="29" s="1"/>
  <c r="G24" i="6"/>
  <c r="F26" i="32"/>
  <c r="J26" i="32" s="1"/>
  <c r="L33" i="32"/>
  <c r="M19" i="7"/>
  <c r="M20" i="7"/>
  <c r="M21" i="7"/>
  <c r="M22" i="7"/>
  <c r="M23" i="7"/>
  <c r="M24" i="7"/>
  <c r="K19" i="7"/>
  <c r="K20" i="7"/>
  <c r="K21" i="7"/>
  <c r="K22" i="7"/>
  <c r="K23" i="7"/>
  <c r="K24" i="7"/>
  <c r="J19" i="7"/>
  <c r="J20" i="7"/>
  <c r="J21" i="7"/>
  <c r="J22" i="7"/>
  <c r="J23" i="7"/>
  <c r="J24" i="7"/>
  <c r="G19" i="7"/>
  <c r="G20" i="7"/>
  <c r="G21" i="7"/>
  <c r="G22" i="7"/>
  <c r="G23" i="7"/>
  <c r="G24" i="7"/>
  <c r="J9" i="38"/>
  <c r="K9" i="38" s="1"/>
  <c r="L9" i="38" s="1"/>
  <c r="K125" i="29"/>
  <c r="H125" i="29"/>
  <c r="L125" i="29" s="1"/>
  <c r="K122" i="29"/>
  <c r="K123" i="29"/>
  <c r="K124" i="29"/>
  <c r="H124" i="29"/>
  <c r="L124" i="29" s="1"/>
  <c r="H123" i="29"/>
  <c r="L123" i="29" s="1"/>
  <c r="H122" i="29"/>
  <c r="L122" i="29" s="1"/>
  <c r="K121" i="29"/>
  <c r="H121" i="29"/>
  <c r="L121" i="29" s="1"/>
  <c r="H120" i="29"/>
  <c r="K112" i="29"/>
  <c r="K113" i="29"/>
  <c r="K114" i="29"/>
  <c r="K115" i="29"/>
  <c r="K116" i="29"/>
  <c r="K117" i="29"/>
  <c r="K118" i="29"/>
  <c r="K119" i="29"/>
  <c r="K120" i="29"/>
  <c r="L120" i="29"/>
  <c r="K54" i="30"/>
  <c r="G54" i="30"/>
  <c r="K53" i="30"/>
  <c r="M53" i="30" s="1"/>
  <c r="M54" i="30" s="1"/>
  <c r="M55" i="30" s="1"/>
  <c r="G52" i="30"/>
  <c r="G53" i="30"/>
  <c r="K52" i="30"/>
  <c r="M52" i="30" s="1"/>
  <c r="J45" i="30"/>
  <c r="J46" i="30"/>
  <c r="J47" i="30"/>
  <c r="J48" i="30"/>
  <c r="J49" i="30"/>
  <c r="J50" i="30"/>
  <c r="J51" i="30"/>
  <c r="J52" i="30"/>
  <c r="K51" i="30"/>
  <c r="G51" i="30"/>
  <c r="G23" i="6"/>
  <c r="I25" i="32"/>
  <c r="F25" i="32"/>
  <c r="K22" i="16"/>
  <c r="K23" i="16"/>
  <c r="G22" i="16"/>
  <c r="G23" i="16"/>
  <c r="M21" i="20"/>
  <c r="M22" i="20"/>
  <c r="K22" i="20"/>
  <c r="K23" i="20"/>
  <c r="J22" i="20"/>
  <c r="J23" i="20"/>
  <c r="G22" i="20"/>
  <c r="G23" i="20"/>
  <c r="K17" i="3"/>
  <c r="K18" i="3"/>
  <c r="K19" i="3"/>
  <c r="K20" i="3"/>
  <c r="K21" i="3"/>
  <c r="K22" i="3"/>
  <c r="K23" i="3"/>
  <c r="J17" i="3"/>
  <c r="J18" i="3"/>
  <c r="J19" i="3"/>
  <c r="J20" i="3"/>
  <c r="J21" i="3"/>
  <c r="J22" i="3"/>
  <c r="J23" i="3"/>
  <c r="K20" i="2"/>
  <c r="K21" i="2"/>
  <c r="K22" i="2"/>
  <c r="K23" i="2"/>
  <c r="J20" i="2"/>
  <c r="J21" i="2"/>
  <c r="J22" i="2"/>
  <c r="J23" i="2"/>
  <c r="G20" i="2"/>
  <c r="G21" i="2"/>
  <c r="G22" i="2"/>
  <c r="G23" i="2"/>
  <c r="K49" i="30"/>
  <c r="K50" i="30"/>
  <c r="G49" i="30"/>
  <c r="G50" i="30"/>
  <c r="H119" i="29"/>
  <c r="L119" i="29" s="1"/>
  <c r="H118" i="29"/>
  <c r="L118" i="29" s="1"/>
  <c r="H117" i="29"/>
  <c r="L117" i="29" s="1"/>
  <c r="H116" i="29"/>
  <c r="L116" i="29" s="1"/>
  <c r="H115" i="29"/>
  <c r="L115" i="29" s="1"/>
  <c r="H113" i="29"/>
  <c r="L113" i="29" s="1"/>
  <c r="H114" i="29"/>
  <c r="L114" i="29" s="1"/>
  <c r="H112" i="29"/>
  <c r="L112" i="29" s="1"/>
  <c r="K102" i="29"/>
  <c r="K103" i="29"/>
  <c r="K104" i="29"/>
  <c r="K105" i="29"/>
  <c r="K106" i="29"/>
  <c r="K107" i="29"/>
  <c r="K108" i="29"/>
  <c r="K109" i="29"/>
  <c r="K110" i="29"/>
  <c r="K111" i="29"/>
  <c r="H111" i="29"/>
  <c r="L111" i="29" s="1"/>
  <c r="J8" i="38"/>
  <c r="G7" i="38"/>
  <c r="G8" i="38"/>
  <c r="K8" i="38" s="1"/>
  <c r="L8" i="38" s="1"/>
  <c r="I22" i="32"/>
  <c r="I23" i="32"/>
  <c r="I24" i="32"/>
  <c r="F24" i="32"/>
  <c r="J24" i="32" s="1"/>
  <c r="F23" i="32"/>
  <c r="J23" i="32" s="1"/>
  <c r="G22" i="6"/>
  <c r="L22" i="24"/>
  <c r="J16" i="14"/>
  <c r="J17" i="14"/>
  <c r="J18" i="14"/>
  <c r="J19" i="14"/>
  <c r="J20" i="14"/>
  <c r="J21" i="14"/>
  <c r="J22" i="14"/>
  <c r="K22" i="14"/>
  <c r="G22" i="14"/>
  <c r="K48" i="30"/>
  <c r="G48" i="30"/>
  <c r="K47" i="30"/>
  <c r="G47" i="30"/>
  <c r="K46" i="30"/>
  <c r="G46" i="30"/>
  <c r="K45" i="30"/>
  <c r="M45" i="30" s="1"/>
  <c r="M46" i="30" s="1"/>
  <c r="M47" i="30" s="1"/>
  <c r="M48" i="30" s="1"/>
  <c r="M49" i="30" s="1"/>
  <c r="M50" i="30" s="1"/>
  <c r="M51" i="30" s="1"/>
  <c r="G45" i="30"/>
  <c r="H5" i="31"/>
  <c r="H110" i="29"/>
  <c r="L110" i="29" s="1"/>
  <c r="H109" i="29"/>
  <c r="L109" i="29" s="1"/>
  <c r="H108" i="29"/>
  <c r="L108" i="29" s="1"/>
  <c r="H107" i="29"/>
  <c r="L107" i="29" s="1"/>
  <c r="H106" i="29"/>
  <c r="L106" i="29" s="1"/>
  <c r="H105" i="29"/>
  <c r="L105" i="29" s="1"/>
  <c r="H104" i="29"/>
  <c r="L104" i="29" s="1"/>
  <c r="H103" i="29"/>
  <c r="L103" i="29" s="1"/>
  <c r="H102" i="29"/>
  <c r="L102" i="29" s="1"/>
  <c r="K101" i="29"/>
  <c r="H100" i="29"/>
  <c r="H101" i="29"/>
  <c r="L101" i="29" s="1"/>
  <c r="K98" i="29"/>
  <c r="K99" i="29"/>
  <c r="K100" i="29"/>
  <c r="L100" i="29"/>
  <c r="H99" i="29"/>
  <c r="L99" i="29" s="1"/>
  <c r="G21" i="6"/>
  <c r="F22" i="32"/>
  <c r="J22" i="32" s="1"/>
  <c r="K21" i="16"/>
  <c r="M21" i="16" s="1"/>
  <c r="M22" i="16" s="1"/>
  <c r="M23" i="16" s="1"/>
  <c r="M24" i="16" s="1"/>
  <c r="M25" i="16" s="1"/>
  <c r="M26" i="16" s="1"/>
  <c r="M27" i="16" s="1"/>
  <c r="M28" i="16" s="1"/>
  <c r="G21" i="16"/>
  <c r="M18" i="1"/>
  <c r="M19" i="1"/>
  <c r="M20" i="1"/>
  <c r="K18" i="1"/>
  <c r="K19" i="1"/>
  <c r="K20" i="1"/>
  <c r="J18" i="1"/>
  <c r="J19" i="1"/>
  <c r="J20" i="1"/>
  <c r="J21" i="1"/>
  <c r="G18" i="1"/>
  <c r="G19" i="1"/>
  <c r="G20" i="1"/>
  <c r="G21" i="1"/>
  <c r="K21" i="1" s="1"/>
  <c r="M21" i="1" s="1"/>
  <c r="K21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G21" i="20"/>
  <c r="M20" i="2"/>
  <c r="M21" i="2"/>
  <c r="M22" i="2"/>
  <c r="M23" i="2"/>
  <c r="M24" i="2"/>
  <c r="L21" i="2"/>
  <c r="L21" i="37"/>
  <c r="J17" i="10"/>
  <c r="K17" i="10"/>
  <c r="J18" i="10"/>
  <c r="K18" i="10"/>
  <c r="J19" i="10"/>
  <c r="K19" i="10"/>
  <c r="J20" i="10"/>
  <c r="K20" i="10"/>
  <c r="J21" i="10"/>
  <c r="K21" i="10"/>
  <c r="J6" i="38"/>
  <c r="J7" i="38"/>
  <c r="K7" i="38" s="1"/>
  <c r="L7" i="38" s="1"/>
  <c r="J13" i="14"/>
  <c r="J14" i="14"/>
  <c r="J15" i="14"/>
  <c r="K16" i="14"/>
  <c r="K17" i="14"/>
  <c r="K18" i="14"/>
  <c r="K19" i="14"/>
  <c r="K20" i="14"/>
  <c r="K21" i="14"/>
  <c r="G16" i="14"/>
  <c r="G17" i="14"/>
  <c r="G18" i="14"/>
  <c r="G19" i="14"/>
  <c r="G20" i="14"/>
  <c r="G21" i="14"/>
  <c r="J43" i="30"/>
  <c r="J44" i="30"/>
  <c r="K44" i="30"/>
  <c r="G41" i="30"/>
  <c r="G42" i="30"/>
  <c r="G43" i="30"/>
  <c r="K43" i="30" s="1"/>
  <c r="M43" i="30" s="1"/>
  <c r="M44" i="30" s="1"/>
  <c r="G44" i="30"/>
  <c r="H98" i="29"/>
  <c r="L98" i="29" s="1"/>
  <c r="K97" i="29"/>
  <c r="H97" i="29"/>
  <c r="L97" i="29" s="1"/>
  <c r="K96" i="29"/>
  <c r="H95" i="29"/>
  <c r="H96" i="29"/>
  <c r="L96" i="29" s="1"/>
  <c r="K95" i="29"/>
  <c r="L95" i="29"/>
  <c r="K94" i="29"/>
  <c r="H94" i="29"/>
  <c r="L94" i="29" s="1"/>
  <c r="K93" i="29"/>
  <c r="H93" i="29"/>
  <c r="L93" i="29" s="1"/>
  <c r="K92" i="29"/>
  <c r="H92" i="29"/>
  <c r="L92" i="29" s="1"/>
  <c r="K86" i="29"/>
  <c r="K87" i="29"/>
  <c r="K88" i="29"/>
  <c r="K89" i="29"/>
  <c r="K90" i="29"/>
  <c r="K91" i="29"/>
  <c r="H91" i="29"/>
  <c r="L91" i="29" s="1"/>
  <c r="H90" i="29"/>
  <c r="L90" i="29" s="1"/>
  <c r="G20" i="6"/>
  <c r="M19" i="16"/>
  <c r="M20" i="16"/>
  <c r="K19" i="16"/>
  <c r="K20" i="16"/>
  <c r="J18" i="16"/>
  <c r="J19" i="16"/>
  <c r="J20" i="16"/>
  <c r="G19" i="16"/>
  <c r="G20" i="16"/>
  <c r="K16" i="20"/>
  <c r="K17" i="20"/>
  <c r="K18" i="20"/>
  <c r="K19" i="20"/>
  <c r="K20" i="20"/>
  <c r="G16" i="20"/>
  <c r="G17" i="20"/>
  <c r="G18" i="20"/>
  <c r="G19" i="20"/>
  <c r="G20" i="20"/>
  <c r="G6" i="38"/>
  <c r="K6" i="38" s="1"/>
  <c r="L6" i="38" s="1"/>
  <c r="K5" i="39"/>
  <c r="K6" i="39"/>
  <c r="K7" i="39"/>
  <c r="K8" i="39"/>
  <c r="K9" i="39"/>
  <c r="K10" i="39"/>
  <c r="K11" i="39"/>
  <c r="K12" i="39"/>
  <c r="K13" i="39"/>
  <c r="K14" i="39"/>
  <c r="K15" i="39"/>
  <c r="K16" i="39"/>
  <c r="K17" i="39"/>
  <c r="K18" i="39"/>
  <c r="K31" i="39"/>
  <c r="J5" i="39"/>
  <c r="J6" i="39"/>
  <c r="J7" i="39"/>
  <c r="J8" i="39"/>
  <c r="J9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32" i="39" s="1"/>
  <c r="J28" i="39"/>
  <c r="J29" i="39"/>
  <c r="J30" i="39"/>
  <c r="J31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K19" i="39" s="1"/>
  <c r="G20" i="39"/>
  <c r="G21" i="39"/>
  <c r="K21" i="39" s="1"/>
  <c r="G22" i="39"/>
  <c r="K22" i="39" s="1"/>
  <c r="G23" i="39"/>
  <c r="K23" i="39" s="1"/>
  <c r="G24" i="39"/>
  <c r="K24" i="39" s="1"/>
  <c r="G25" i="39"/>
  <c r="K25" i="39" s="1"/>
  <c r="G26" i="39"/>
  <c r="K26" i="39" s="1"/>
  <c r="G27" i="39"/>
  <c r="G28" i="39"/>
  <c r="K28" i="39" s="1"/>
  <c r="G29" i="39"/>
  <c r="K29" i="39" s="1"/>
  <c r="G30" i="39"/>
  <c r="K30" i="39" s="1"/>
  <c r="G31" i="39"/>
  <c r="M5" i="39"/>
  <c r="M6" i="39"/>
  <c r="M7" i="39"/>
  <c r="M8" i="39"/>
  <c r="M9" i="39"/>
  <c r="M10" i="39"/>
  <c r="M11" i="39"/>
  <c r="M12" i="39"/>
  <c r="M13" i="39"/>
  <c r="M14" i="39"/>
  <c r="M15" i="39"/>
  <c r="M16" i="39"/>
  <c r="M17" i="39"/>
  <c r="M18" i="39"/>
  <c r="M19" i="39"/>
  <c r="M4" i="39"/>
  <c r="K4" i="39"/>
  <c r="J4" i="39"/>
  <c r="G4" i="39"/>
  <c r="M3" i="39"/>
  <c r="J5" i="38"/>
  <c r="G5" i="38"/>
  <c r="K5" i="38" s="1"/>
  <c r="L5" i="38" s="1"/>
  <c r="J4" i="38"/>
  <c r="G4" i="38"/>
  <c r="H89" i="29"/>
  <c r="L89" i="29" s="1"/>
  <c r="H88" i="29"/>
  <c r="L88" i="29" s="1"/>
  <c r="H87" i="29"/>
  <c r="L87" i="29" s="1"/>
  <c r="H85" i="29"/>
  <c r="H86" i="29"/>
  <c r="L86" i="29" s="1"/>
  <c r="K83" i="29"/>
  <c r="K84" i="29"/>
  <c r="K85" i="29"/>
  <c r="L85" i="29"/>
  <c r="H84" i="29"/>
  <c r="L84" i="29" s="1"/>
  <c r="H81" i="29"/>
  <c r="H82" i="29"/>
  <c r="H83" i="29"/>
  <c r="L83" i="29" s="1"/>
  <c r="H80" i="29"/>
  <c r="K80" i="29"/>
  <c r="L80" i="29"/>
  <c r="K81" i="29"/>
  <c r="L81" i="29"/>
  <c r="K82" i="29"/>
  <c r="L82" i="29"/>
  <c r="K79" i="29"/>
  <c r="H79" i="29"/>
  <c r="L79" i="29" s="1"/>
  <c r="K78" i="29"/>
  <c r="H78" i="29"/>
  <c r="L78" i="29" s="1"/>
  <c r="K76" i="29"/>
  <c r="K77" i="29"/>
  <c r="H77" i="29"/>
  <c r="L77" i="29" s="1"/>
  <c r="H76" i="29"/>
  <c r="L76" i="29" s="1"/>
  <c r="K41" i="30"/>
  <c r="K42" i="30"/>
  <c r="J40" i="30"/>
  <c r="J41" i="30"/>
  <c r="J42" i="30"/>
  <c r="K40" i="30"/>
  <c r="M40" i="30" s="1"/>
  <c r="M41" i="30" s="1"/>
  <c r="M42" i="30" s="1"/>
  <c r="G40" i="30"/>
  <c r="J18" i="19"/>
  <c r="K18" i="19"/>
  <c r="J19" i="19"/>
  <c r="K19" i="19"/>
  <c r="G16" i="6"/>
  <c r="G17" i="6"/>
  <c r="G18" i="6"/>
  <c r="G19" i="6"/>
  <c r="M14" i="7"/>
  <c r="M15" i="7"/>
  <c r="M16" i="7"/>
  <c r="M17" i="7"/>
  <c r="M18" i="7"/>
  <c r="K14" i="7"/>
  <c r="K15" i="7"/>
  <c r="K16" i="7"/>
  <c r="K17" i="7"/>
  <c r="K18" i="7"/>
  <c r="J14" i="7"/>
  <c r="J15" i="7"/>
  <c r="J16" i="7"/>
  <c r="J17" i="7"/>
  <c r="J18" i="7"/>
  <c r="G14" i="7"/>
  <c r="G15" i="7"/>
  <c r="G16" i="7"/>
  <c r="G17" i="7"/>
  <c r="G18" i="7"/>
  <c r="I20" i="32"/>
  <c r="I21" i="32"/>
  <c r="F21" i="32"/>
  <c r="J21" i="32" s="1"/>
  <c r="F20" i="32"/>
  <c r="J20" i="32" s="1"/>
  <c r="M39" i="17"/>
  <c r="J39" i="30"/>
  <c r="K39" i="30"/>
  <c r="M39" i="30" s="1"/>
  <c r="G39" i="30"/>
  <c r="M38" i="30"/>
  <c r="J37" i="30"/>
  <c r="K37" i="30"/>
  <c r="J38" i="30"/>
  <c r="K38" i="30"/>
  <c r="G38" i="30"/>
  <c r="K73" i="29"/>
  <c r="K74" i="29"/>
  <c r="K75" i="29"/>
  <c r="H75" i="29"/>
  <c r="L75" i="29" s="1"/>
  <c r="H74" i="29"/>
  <c r="L74" i="29" s="1"/>
  <c r="H73" i="29"/>
  <c r="L73" i="29" s="1"/>
  <c r="K72" i="29"/>
  <c r="H70" i="29"/>
  <c r="H71" i="29"/>
  <c r="H72" i="29"/>
  <c r="L72" i="29" s="1"/>
  <c r="K71" i="29"/>
  <c r="K70" i="29"/>
  <c r="L70" i="29" s="1"/>
  <c r="K62" i="29"/>
  <c r="K63" i="29"/>
  <c r="K64" i="29"/>
  <c r="K65" i="29"/>
  <c r="K66" i="29"/>
  <c r="K67" i="29"/>
  <c r="K68" i="29"/>
  <c r="K69" i="29"/>
  <c r="H69" i="29"/>
  <c r="L69" i="29" s="1"/>
  <c r="K18" i="16"/>
  <c r="G16" i="16"/>
  <c r="G17" i="16"/>
  <c r="G18" i="16"/>
  <c r="J10" i="16"/>
  <c r="J11" i="16"/>
  <c r="J12" i="16"/>
  <c r="J13" i="16"/>
  <c r="J14" i="16"/>
  <c r="J15" i="16"/>
  <c r="J16" i="16"/>
  <c r="J17" i="16"/>
  <c r="K16" i="16"/>
  <c r="K17" i="16"/>
  <c r="J15" i="1"/>
  <c r="J16" i="1"/>
  <c r="J17" i="1"/>
  <c r="G15" i="1"/>
  <c r="K15" i="1" s="1"/>
  <c r="G16" i="1"/>
  <c r="K16" i="1" s="1"/>
  <c r="G17" i="1"/>
  <c r="K17" i="1" s="1"/>
  <c r="L14" i="19"/>
  <c r="L15" i="19"/>
  <c r="L16" i="19"/>
  <c r="L17" i="19"/>
  <c r="K14" i="19"/>
  <c r="K15" i="19"/>
  <c r="K16" i="19"/>
  <c r="K17" i="19"/>
  <c r="J14" i="19"/>
  <c r="J15" i="19"/>
  <c r="J16" i="19"/>
  <c r="J17" i="19"/>
  <c r="J17" i="15"/>
  <c r="J15" i="15"/>
  <c r="J16" i="15"/>
  <c r="M4" i="12"/>
  <c r="K4" i="12"/>
  <c r="M37" i="30"/>
  <c r="G37" i="30"/>
  <c r="M36" i="30"/>
  <c r="K36" i="30"/>
  <c r="J36" i="30"/>
  <c r="G35" i="30"/>
  <c r="G36" i="30"/>
  <c r="H68" i="29"/>
  <c r="L68" i="29" s="1"/>
  <c r="H67" i="29"/>
  <c r="L67" i="29" s="1"/>
  <c r="H66" i="29"/>
  <c r="L66" i="29" s="1"/>
  <c r="H65" i="29"/>
  <c r="L65" i="29" s="1"/>
  <c r="H64" i="29"/>
  <c r="L64" i="29" s="1"/>
  <c r="H63" i="29"/>
  <c r="L63" i="29" s="1"/>
  <c r="I19" i="32"/>
  <c r="F18" i="32"/>
  <c r="F19" i="32"/>
  <c r="I18" i="32"/>
  <c r="J18" i="32" s="1"/>
  <c r="J9" i="3"/>
  <c r="K9" i="3"/>
  <c r="M9" i="3" s="1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4" i="10"/>
  <c r="J15" i="10"/>
  <c r="J16" i="10"/>
  <c r="K16" i="10"/>
  <c r="M34" i="30"/>
  <c r="K34" i="30"/>
  <c r="K35" i="30"/>
  <c r="M35" i="30" s="1"/>
  <c r="J32" i="30"/>
  <c r="J33" i="30"/>
  <c r="J34" i="30"/>
  <c r="J35" i="30"/>
  <c r="G34" i="30"/>
  <c r="H62" i="29"/>
  <c r="L62" i="29" s="1"/>
  <c r="K61" i="29"/>
  <c r="H61" i="29"/>
  <c r="L61" i="29" s="1"/>
  <c r="H60" i="29"/>
  <c r="K60" i="29"/>
  <c r="L60" i="29"/>
  <c r="K58" i="29"/>
  <c r="K59" i="29"/>
  <c r="H59" i="29"/>
  <c r="L59" i="29" s="1"/>
  <c r="H58" i="29"/>
  <c r="L58" i="29" s="1"/>
  <c r="K55" i="29"/>
  <c r="K56" i="29"/>
  <c r="K57" i="29"/>
  <c r="H57" i="29"/>
  <c r="L57" i="29" s="1"/>
  <c r="H56" i="29"/>
  <c r="L56" i="29" s="1"/>
  <c r="H55" i="29"/>
  <c r="L55" i="29" s="1"/>
  <c r="K13" i="20"/>
  <c r="K14" i="20"/>
  <c r="K15" i="20"/>
  <c r="G13" i="20"/>
  <c r="G14" i="20"/>
  <c r="G15" i="20"/>
  <c r="I15" i="32"/>
  <c r="I16" i="32"/>
  <c r="I17" i="32"/>
  <c r="F17" i="32"/>
  <c r="J17" i="32" s="1"/>
  <c r="K13" i="16"/>
  <c r="K14" i="16"/>
  <c r="K15" i="16"/>
  <c r="G13" i="16"/>
  <c r="G14" i="16"/>
  <c r="G15" i="16"/>
  <c r="G12" i="20"/>
  <c r="K12" i="20" s="1"/>
  <c r="L15" i="36"/>
  <c r="M3" i="12"/>
  <c r="L15" i="25"/>
  <c r="G15" i="14"/>
  <c r="K15" i="14" s="1"/>
  <c r="L8" i="37"/>
  <c r="G5" i="37"/>
  <c r="J5" i="37"/>
  <c r="G6" i="37"/>
  <c r="J6" i="37"/>
  <c r="G7" i="37"/>
  <c r="J7" i="37"/>
  <c r="G8" i="37"/>
  <c r="J8" i="37"/>
  <c r="G9" i="37"/>
  <c r="J9" i="37"/>
  <c r="G10" i="37"/>
  <c r="J10" i="37"/>
  <c r="G11" i="37"/>
  <c r="J11" i="37"/>
  <c r="G12" i="37"/>
  <c r="J12" i="37"/>
  <c r="G13" i="37"/>
  <c r="J13" i="37"/>
  <c r="G14" i="37"/>
  <c r="J14" i="37"/>
  <c r="G15" i="37"/>
  <c r="J15" i="37"/>
  <c r="G31" i="37"/>
  <c r="K31" i="37" s="1"/>
  <c r="J30" i="37"/>
  <c r="G30" i="37"/>
  <c r="K30" i="37" s="1"/>
  <c r="J29" i="37"/>
  <c r="G29" i="37"/>
  <c r="K29" i="37" s="1"/>
  <c r="J28" i="37"/>
  <c r="G28" i="37"/>
  <c r="K28" i="37" s="1"/>
  <c r="J27" i="37"/>
  <c r="G27" i="37"/>
  <c r="K27" i="37" s="1"/>
  <c r="J26" i="37"/>
  <c r="G26" i="37"/>
  <c r="K26" i="37" s="1"/>
  <c r="J25" i="37"/>
  <c r="G25" i="37"/>
  <c r="K25" i="37" s="1"/>
  <c r="J24" i="37"/>
  <c r="G24" i="37"/>
  <c r="K24" i="37" s="1"/>
  <c r="I35" i="37" s="1"/>
  <c r="J23" i="37"/>
  <c r="G23" i="37"/>
  <c r="K23" i="37" s="1"/>
  <c r="J22" i="37"/>
  <c r="G22" i="37"/>
  <c r="K22" i="37" s="1"/>
  <c r="J21" i="37"/>
  <c r="G21" i="37"/>
  <c r="K21" i="37" s="1"/>
  <c r="J20" i="37"/>
  <c r="G20" i="37"/>
  <c r="K20" i="37" s="1"/>
  <c r="J19" i="37"/>
  <c r="G19" i="37"/>
  <c r="K19" i="37" s="1"/>
  <c r="J18" i="37"/>
  <c r="G18" i="37"/>
  <c r="K18" i="37" s="1"/>
  <c r="J17" i="37"/>
  <c r="G17" i="37"/>
  <c r="K17" i="37" s="1"/>
  <c r="J16" i="37"/>
  <c r="G16" i="37"/>
  <c r="K16" i="37" s="1"/>
  <c r="K15" i="37"/>
  <c r="L15" i="37" s="1"/>
  <c r="K14" i="37"/>
  <c r="L14" i="37" s="1"/>
  <c r="K13" i="37"/>
  <c r="L13" i="37" s="1"/>
  <c r="K12" i="37"/>
  <c r="L12" i="37" s="1"/>
  <c r="K11" i="37"/>
  <c r="L11" i="37" s="1"/>
  <c r="K10" i="37"/>
  <c r="L10" i="37" s="1"/>
  <c r="K9" i="37"/>
  <c r="K8" i="37"/>
  <c r="K7" i="37"/>
  <c r="K6" i="37"/>
  <c r="K5" i="37"/>
  <c r="J4" i="37"/>
  <c r="G4" i="37"/>
  <c r="M3" i="37"/>
  <c r="L11" i="36"/>
  <c r="L12" i="36"/>
  <c r="L13" i="36"/>
  <c r="L14" i="36"/>
  <c r="L10" i="36"/>
  <c r="G5" i="36"/>
  <c r="J5" i="36"/>
  <c r="K5" i="36"/>
  <c r="G6" i="36"/>
  <c r="J6" i="36"/>
  <c r="K6" i="36"/>
  <c r="G7" i="36"/>
  <c r="J7" i="36"/>
  <c r="K7" i="36"/>
  <c r="G8" i="36"/>
  <c r="J8" i="36"/>
  <c r="K8" i="36"/>
  <c r="G9" i="36"/>
  <c r="J9" i="36"/>
  <c r="K9" i="36"/>
  <c r="G10" i="36"/>
  <c r="J10" i="36"/>
  <c r="K10" i="36"/>
  <c r="G11" i="36"/>
  <c r="J11" i="36"/>
  <c r="K11" i="36"/>
  <c r="G12" i="36"/>
  <c r="J12" i="36"/>
  <c r="K12" i="36"/>
  <c r="G13" i="36"/>
  <c r="J13" i="36"/>
  <c r="K13" i="36"/>
  <c r="G14" i="36"/>
  <c r="J14" i="36"/>
  <c r="K14" i="36"/>
  <c r="G15" i="36"/>
  <c r="J15" i="36"/>
  <c r="K15" i="36"/>
  <c r="G16" i="36"/>
  <c r="J16" i="36"/>
  <c r="K16" i="36"/>
  <c r="G31" i="36"/>
  <c r="K31" i="36" s="1"/>
  <c r="J30" i="36"/>
  <c r="G30" i="36"/>
  <c r="K30" i="36" s="1"/>
  <c r="J29" i="36"/>
  <c r="G29" i="36"/>
  <c r="K29" i="36" s="1"/>
  <c r="J28" i="36"/>
  <c r="G28" i="36"/>
  <c r="K28" i="36" s="1"/>
  <c r="J27" i="36"/>
  <c r="G27" i="36"/>
  <c r="K27" i="36" s="1"/>
  <c r="J26" i="36"/>
  <c r="G26" i="36"/>
  <c r="K26" i="36" s="1"/>
  <c r="J25" i="36"/>
  <c r="G25" i="36"/>
  <c r="J24" i="36"/>
  <c r="G24" i="36"/>
  <c r="K24" i="36" s="1"/>
  <c r="I35" i="36" s="1"/>
  <c r="J23" i="36"/>
  <c r="G23" i="36"/>
  <c r="K23" i="36" s="1"/>
  <c r="J22" i="36"/>
  <c r="G22" i="36"/>
  <c r="K22" i="36" s="1"/>
  <c r="J21" i="36"/>
  <c r="G21" i="36"/>
  <c r="K21" i="36" s="1"/>
  <c r="J20" i="36"/>
  <c r="G20" i="36"/>
  <c r="K20" i="36" s="1"/>
  <c r="J19" i="36"/>
  <c r="G19" i="36"/>
  <c r="K19" i="36" s="1"/>
  <c r="J18" i="36"/>
  <c r="G18" i="36"/>
  <c r="K18" i="36" s="1"/>
  <c r="J17" i="36"/>
  <c r="G17" i="36"/>
  <c r="K17" i="36" s="1"/>
  <c r="J4" i="36"/>
  <c r="G4" i="36"/>
  <c r="M3" i="36"/>
  <c r="H52" i="29"/>
  <c r="K52" i="29"/>
  <c r="L52" i="29" s="1"/>
  <c r="H53" i="29"/>
  <c r="K53" i="29"/>
  <c r="L53" i="29" s="1"/>
  <c r="H54" i="29"/>
  <c r="K54" i="29"/>
  <c r="K49" i="29"/>
  <c r="K50" i="29"/>
  <c r="K51" i="29"/>
  <c r="H51" i="29"/>
  <c r="L51" i="29" s="1"/>
  <c r="H50" i="29"/>
  <c r="H49" i="29"/>
  <c r="H48" i="29"/>
  <c r="L49" i="29"/>
  <c r="K47" i="29"/>
  <c r="K48" i="29"/>
  <c r="L48" i="29" s="1"/>
  <c r="K46" i="29"/>
  <c r="H47" i="29"/>
  <c r="L47" i="29" s="1"/>
  <c r="K44" i="29"/>
  <c r="K45" i="29"/>
  <c r="H46" i="29"/>
  <c r="L46" i="29" s="1"/>
  <c r="H45" i="29"/>
  <c r="L45" i="29" s="1"/>
  <c r="H44" i="29"/>
  <c r="L44" i="29" s="1"/>
  <c r="K43" i="29"/>
  <c r="H43" i="29"/>
  <c r="L43" i="29" s="1"/>
  <c r="K42" i="29"/>
  <c r="H42" i="29"/>
  <c r="L42" i="29" s="1"/>
  <c r="K40" i="29"/>
  <c r="K41" i="29"/>
  <c r="H41" i="29"/>
  <c r="L41" i="29" s="1"/>
  <c r="H40" i="29"/>
  <c r="L40" i="29" s="1"/>
  <c r="H38" i="29"/>
  <c r="K38" i="29"/>
  <c r="L38" i="29"/>
  <c r="H39" i="29"/>
  <c r="K39" i="29"/>
  <c r="L39" i="29"/>
  <c r="K36" i="29"/>
  <c r="K37" i="29"/>
  <c r="H37" i="29"/>
  <c r="L37" i="29" s="1"/>
  <c r="H36" i="29"/>
  <c r="L36" i="29" s="1"/>
  <c r="K35" i="29"/>
  <c r="H35" i="29"/>
  <c r="L35" i="29" s="1"/>
  <c r="K34" i="29"/>
  <c r="H34" i="29"/>
  <c r="L34" i="29" s="1"/>
  <c r="H32" i="29"/>
  <c r="K32" i="29"/>
  <c r="L32" i="29"/>
  <c r="H33" i="29"/>
  <c r="K33" i="29"/>
  <c r="L33" i="29"/>
  <c r="K31" i="29"/>
  <c r="H31" i="29"/>
  <c r="L31" i="29" s="1"/>
  <c r="K30" i="29"/>
  <c r="H29" i="29"/>
  <c r="H30" i="29"/>
  <c r="L30" i="29" s="1"/>
  <c r="K29" i="29"/>
  <c r="L29" i="29" s="1"/>
  <c r="K23" i="29"/>
  <c r="K24" i="29"/>
  <c r="K25" i="29"/>
  <c r="K26" i="29"/>
  <c r="K27" i="29"/>
  <c r="K28" i="29"/>
  <c r="H28" i="29"/>
  <c r="L28" i="29" s="1"/>
  <c r="H27" i="29"/>
  <c r="L27" i="29" s="1"/>
  <c r="H26" i="29"/>
  <c r="L26" i="29" s="1"/>
  <c r="H25" i="29"/>
  <c r="L25" i="29" s="1"/>
  <c r="H24" i="29"/>
  <c r="L24" i="29" s="1"/>
  <c r="J42" i="35"/>
  <c r="G42" i="35"/>
  <c r="K42" i="35" s="1"/>
  <c r="L42" i="35" s="1"/>
  <c r="J41" i="35"/>
  <c r="G41" i="35"/>
  <c r="K41" i="35" s="1"/>
  <c r="L41" i="35" s="1"/>
  <c r="J40" i="35"/>
  <c r="G40" i="35"/>
  <c r="K40" i="35" s="1"/>
  <c r="L40" i="35" s="1"/>
  <c r="J39" i="35"/>
  <c r="G39" i="35"/>
  <c r="K39" i="35" s="1"/>
  <c r="L39" i="35" s="1"/>
  <c r="J38" i="35"/>
  <c r="G38" i="35"/>
  <c r="K38" i="35" s="1"/>
  <c r="L38" i="35" s="1"/>
  <c r="J37" i="35"/>
  <c r="G37" i="35"/>
  <c r="K37" i="35" s="1"/>
  <c r="L37" i="35" s="1"/>
  <c r="J36" i="35"/>
  <c r="G36" i="35"/>
  <c r="K36" i="35" s="1"/>
  <c r="L36" i="35" s="1"/>
  <c r="J35" i="35"/>
  <c r="G35" i="35"/>
  <c r="K35" i="35" s="1"/>
  <c r="L35" i="35" s="1"/>
  <c r="J34" i="35"/>
  <c r="G34" i="35"/>
  <c r="K34" i="35" s="1"/>
  <c r="L34" i="35" s="1"/>
  <c r="J33" i="35"/>
  <c r="G33" i="35"/>
  <c r="K33" i="35" s="1"/>
  <c r="L33" i="35" s="1"/>
  <c r="J32" i="35"/>
  <c r="G32" i="35"/>
  <c r="K32" i="35" s="1"/>
  <c r="L32" i="35" s="1"/>
  <c r="J31" i="35"/>
  <c r="G31" i="35"/>
  <c r="K31" i="35" s="1"/>
  <c r="L31" i="35" s="1"/>
  <c r="J30" i="35"/>
  <c r="G30" i="35"/>
  <c r="K30" i="35" s="1"/>
  <c r="L30" i="35" s="1"/>
  <c r="J29" i="35"/>
  <c r="G29" i="35"/>
  <c r="K29" i="35" s="1"/>
  <c r="L29" i="35" s="1"/>
  <c r="J28" i="35"/>
  <c r="G28" i="35"/>
  <c r="K28" i="35" s="1"/>
  <c r="L28" i="35" s="1"/>
  <c r="J27" i="35"/>
  <c r="G27" i="35"/>
  <c r="K27" i="35" s="1"/>
  <c r="L27" i="35" s="1"/>
  <c r="J26" i="35"/>
  <c r="G26" i="35"/>
  <c r="K26" i="35" s="1"/>
  <c r="L26" i="35" s="1"/>
  <c r="J25" i="35"/>
  <c r="G25" i="35"/>
  <c r="K25" i="35" s="1"/>
  <c r="L25" i="35" s="1"/>
  <c r="J24" i="35"/>
  <c r="G24" i="35"/>
  <c r="K24" i="35" s="1"/>
  <c r="L24" i="35" s="1"/>
  <c r="J23" i="35"/>
  <c r="G23" i="35"/>
  <c r="K23" i="35" s="1"/>
  <c r="L23" i="35" s="1"/>
  <c r="J22" i="35"/>
  <c r="G22" i="35"/>
  <c r="K22" i="35" s="1"/>
  <c r="L22" i="35" s="1"/>
  <c r="J21" i="35"/>
  <c r="G21" i="35"/>
  <c r="K21" i="35" s="1"/>
  <c r="L21" i="35" s="1"/>
  <c r="J20" i="35"/>
  <c r="G20" i="35"/>
  <c r="K20" i="35" s="1"/>
  <c r="L20" i="35" s="1"/>
  <c r="J19" i="35"/>
  <c r="G19" i="35"/>
  <c r="K19" i="35" s="1"/>
  <c r="L19" i="35" s="1"/>
  <c r="J18" i="35"/>
  <c r="G18" i="35"/>
  <c r="K18" i="35" s="1"/>
  <c r="L18" i="35" s="1"/>
  <c r="J17" i="35"/>
  <c r="G17" i="35"/>
  <c r="K17" i="35" s="1"/>
  <c r="L17" i="35" s="1"/>
  <c r="J16" i="35"/>
  <c r="G16" i="35"/>
  <c r="K16" i="35" s="1"/>
  <c r="L16" i="35" s="1"/>
  <c r="J15" i="35"/>
  <c r="G15" i="35"/>
  <c r="K15" i="35" s="1"/>
  <c r="L15" i="35" s="1"/>
  <c r="J14" i="35"/>
  <c r="G14" i="35"/>
  <c r="K14" i="35" s="1"/>
  <c r="L14" i="35" s="1"/>
  <c r="J13" i="35"/>
  <c r="G13" i="35"/>
  <c r="K13" i="35" s="1"/>
  <c r="L13" i="35" s="1"/>
  <c r="J12" i="35"/>
  <c r="G12" i="35"/>
  <c r="K12" i="35" s="1"/>
  <c r="L12" i="35" s="1"/>
  <c r="J11" i="35"/>
  <c r="G11" i="35"/>
  <c r="K11" i="35" s="1"/>
  <c r="L11" i="35" s="1"/>
  <c r="J10" i="35"/>
  <c r="G10" i="35"/>
  <c r="K10" i="35" s="1"/>
  <c r="L10" i="35" s="1"/>
  <c r="J9" i="35"/>
  <c r="G9" i="35"/>
  <c r="K9" i="35" s="1"/>
  <c r="L9" i="35" s="1"/>
  <c r="J8" i="35"/>
  <c r="G8" i="35"/>
  <c r="K8" i="35" s="1"/>
  <c r="L8" i="35" s="1"/>
  <c r="J7" i="35"/>
  <c r="G7" i="35"/>
  <c r="K7" i="35" s="1"/>
  <c r="L7" i="35" s="1"/>
  <c r="J6" i="35"/>
  <c r="G6" i="35"/>
  <c r="K6" i="35" s="1"/>
  <c r="L6" i="35" s="1"/>
  <c r="J5" i="35"/>
  <c r="G5" i="35"/>
  <c r="K5" i="35" s="1"/>
  <c r="L5" i="35" s="1"/>
  <c r="J4" i="35"/>
  <c r="G4" i="35"/>
  <c r="J43" i="34"/>
  <c r="G43" i="34"/>
  <c r="K43" i="34" s="1"/>
  <c r="L43" i="34" s="1"/>
  <c r="J42" i="34"/>
  <c r="G42" i="34"/>
  <c r="K42" i="34" s="1"/>
  <c r="L42" i="34" s="1"/>
  <c r="J41" i="34"/>
  <c r="G41" i="34"/>
  <c r="K41" i="34" s="1"/>
  <c r="L41" i="34" s="1"/>
  <c r="J40" i="34"/>
  <c r="G40" i="34"/>
  <c r="K40" i="34" s="1"/>
  <c r="L40" i="34" s="1"/>
  <c r="J39" i="34"/>
  <c r="G39" i="34"/>
  <c r="K39" i="34" s="1"/>
  <c r="L39" i="34" s="1"/>
  <c r="J38" i="34"/>
  <c r="G38" i="34"/>
  <c r="K38" i="34" s="1"/>
  <c r="L38" i="34" s="1"/>
  <c r="J37" i="34"/>
  <c r="G37" i="34"/>
  <c r="K37" i="34" s="1"/>
  <c r="L37" i="34" s="1"/>
  <c r="J36" i="34"/>
  <c r="G36" i="34"/>
  <c r="K36" i="34" s="1"/>
  <c r="L36" i="34" s="1"/>
  <c r="J35" i="34"/>
  <c r="G35" i="34"/>
  <c r="K35" i="34" s="1"/>
  <c r="L35" i="34" s="1"/>
  <c r="J34" i="34"/>
  <c r="G34" i="34"/>
  <c r="K34" i="34" s="1"/>
  <c r="L34" i="34" s="1"/>
  <c r="J33" i="34"/>
  <c r="G33" i="34"/>
  <c r="K33" i="34" s="1"/>
  <c r="L33" i="34" s="1"/>
  <c r="J32" i="34"/>
  <c r="G32" i="34"/>
  <c r="K32" i="34" s="1"/>
  <c r="L32" i="34" s="1"/>
  <c r="J31" i="34"/>
  <c r="G31" i="34"/>
  <c r="K31" i="34" s="1"/>
  <c r="L31" i="34" s="1"/>
  <c r="J30" i="34"/>
  <c r="G30" i="34"/>
  <c r="K30" i="34" s="1"/>
  <c r="L30" i="34" s="1"/>
  <c r="J29" i="34"/>
  <c r="G29" i="34"/>
  <c r="K29" i="34" s="1"/>
  <c r="L29" i="34" s="1"/>
  <c r="J28" i="34"/>
  <c r="G28" i="34"/>
  <c r="K28" i="34" s="1"/>
  <c r="L28" i="34" s="1"/>
  <c r="J27" i="34"/>
  <c r="G27" i="34"/>
  <c r="K27" i="34" s="1"/>
  <c r="L27" i="34" s="1"/>
  <c r="J26" i="34"/>
  <c r="G26" i="34"/>
  <c r="K26" i="34" s="1"/>
  <c r="L26" i="34" s="1"/>
  <c r="J25" i="34"/>
  <c r="G25" i="34"/>
  <c r="K25" i="34" s="1"/>
  <c r="L25" i="34" s="1"/>
  <c r="J24" i="34"/>
  <c r="G24" i="34"/>
  <c r="K24" i="34" s="1"/>
  <c r="L24" i="34" s="1"/>
  <c r="J23" i="34"/>
  <c r="G23" i="34"/>
  <c r="K23" i="34" s="1"/>
  <c r="L23" i="34" s="1"/>
  <c r="J22" i="34"/>
  <c r="G22" i="34"/>
  <c r="K22" i="34" s="1"/>
  <c r="L22" i="34" s="1"/>
  <c r="J21" i="34"/>
  <c r="G21" i="34"/>
  <c r="K21" i="34" s="1"/>
  <c r="L21" i="34" s="1"/>
  <c r="J20" i="34"/>
  <c r="G20" i="34"/>
  <c r="K20" i="34" s="1"/>
  <c r="L20" i="34" s="1"/>
  <c r="J19" i="34"/>
  <c r="G19" i="34"/>
  <c r="K19" i="34" s="1"/>
  <c r="L19" i="34" s="1"/>
  <c r="J18" i="34"/>
  <c r="G18" i="34"/>
  <c r="K18" i="34" s="1"/>
  <c r="L18" i="34" s="1"/>
  <c r="J17" i="34"/>
  <c r="G17" i="34"/>
  <c r="K17" i="34" s="1"/>
  <c r="L17" i="34" s="1"/>
  <c r="J16" i="34"/>
  <c r="G16" i="34"/>
  <c r="K16" i="34" s="1"/>
  <c r="L16" i="34" s="1"/>
  <c r="J15" i="34"/>
  <c r="G15" i="34"/>
  <c r="K15" i="34" s="1"/>
  <c r="L15" i="34" s="1"/>
  <c r="J14" i="34"/>
  <c r="G14" i="34"/>
  <c r="K14" i="34" s="1"/>
  <c r="L14" i="34" s="1"/>
  <c r="J13" i="34"/>
  <c r="G13" i="34"/>
  <c r="K13" i="34" s="1"/>
  <c r="L13" i="34" s="1"/>
  <c r="J12" i="34"/>
  <c r="G12" i="34"/>
  <c r="K12" i="34" s="1"/>
  <c r="L12" i="34" s="1"/>
  <c r="J11" i="34"/>
  <c r="G11" i="34"/>
  <c r="K11" i="34" s="1"/>
  <c r="L11" i="34" s="1"/>
  <c r="J10" i="34"/>
  <c r="G10" i="34"/>
  <c r="K10" i="34" s="1"/>
  <c r="L10" i="34" s="1"/>
  <c r="J9" i="34"/>
  <c r="G9" i="34"/>
  <c r="K9" i="34" s="1"/>
  <c r="L9" i="34" s="1"/>
  <c r="J8" i="34"/>
  <c r="G8" i="34"/>
  <c r="K8" i="34" s="1"/>
  <c r="L8" i="34" s="1"/>
  <c r="J7" i="34"/>
  <c r="G7" i="34"/>
  <c r="K7" i="34" s="1"/>
  <c r="L7" i="34" s="1"/>
  <c r="J6" i="34"/>
  <c r="G6" i="34"/>
  <c r="K6" i="34" s="1"/>
  <c r="L6" i="34" s="1"/>
  <c r="J5" i="34"/>
  <c r="G5" i="34"/>
  <c r="K5" i="34" s="1"/>
  <c r="L5" i="34" s="1"/>
  <c r="J4" i="34"/>
  <c r="G4" i="34"/>
  <c r="J43" i="33"/>
  <c r="G43" i="33"/>
  <c r="K43" i="33" s="1"/>
  <c r="L43" i="33" s="1"/>
  <c r="J42" i="33"/>
  <c r="G42" i="33"/>
  <c r="K42" i="33" s="1"/>
  <c r="L42" i="33" s="1"/>
  <c r="J41" i="33"/>
  <c r="G41" i="33"/>
  <c r="K41" i="33" s="1"/>
  <c r="L41" i="33" s="1"/>
  <c r="J40" i="33"/>
  <c r="G40" i="33"/>
  <c r="K40" i="33" s="1"/>
  <c r="L40" i="33" s="1"/>
  <c r="J39" i="33"/>
  <c r="G39" i="33"/>
  <c r="K39" i="33" s="1"/>
  <c r="L39" i="33" s="1"/>
  <c r="J38" i="33"/>
  <c r="G38" i="33"/>
  <c r="K38" i="33" s="1"/>
  <c r="L38" i="33" s="1"/>
  <c r="J37" i="33"/>
  <c r="G37" i="33"/>
  <c r="K37" i="33" s="1"/>
  <c r="L37" i="33" s="1"/>
  <c r="J36" i="33"/>
  <c r="G36" i="33"/>
  <c r="K36" i="33" s="1"/>
  <c r="L36" i="33" s="1"/>
  <c r="J35" i="33"/>
  <c r="G35" i="33"/>
  <c r="K35" i="33" s="1"/>
  <c r="L35" i="33" s="1"/>
  <c r="J34" i="33"/>
  <c r="G34" i="33"/>
  <c r="K34" i="33" s="1"/>
  <c r="L34" i="33" s="1"/>
  <c r="J33" i="33"/>
  <c r="G33" i="33"/>
  <c r="K33" i="33" s="1"/>
  <c r="L33" i="33" s="1"/>
  <c r="J32" i="33"/>
  <c r="G32" i="33"/>
  <c r="K32" i="33" s="1"/>
  <c r="L32" i="33" s="1"/>
  <c r="J31" i="33"/>
  <c r="G31" i="33"/>
  <c r="K31" i="33" s="1"/>
  <c r="L31" i="33" s="1"/>
  <c r="J30" i="33"/>
  <c r="G30" i="33"/>
  <c r="K30" i="33" s="1"/>
  <c r="L30" i="33" s="1"/>
  <c r="J29" i="33"/>
  <c r="G29" i="33"/>
  <c r="K29" i="33" s="1"/>
  <c r="L29" i="33" s="1"/>
  <c r="J28" i="33"/>
  <c r="G28" i="33"/>
  <c r="K28" i="33" s="1"/>
  <c r="L28" i="33" s="1"/>
  <c r="J27" i="33"/>
  <c r="G27" i="33"/>
  <c r="K27" i="33" s="1"/>
  <c r="L27" i="33" s="1"/>
  <c r="J26" i="33"/>
  <c r="G26" i="33"/>
  <c r="K26" i="33" s="1"/>
  <c r="L26" i="33" s="1"/>
  <c r="J25" i="33"/>
  <c r="G25" i="33"/>
  <c r="K25" i="33" s="1"/>
  <c r="L25" i="33" s="1"/>
  <c r="J24" i="33"/>
  <c r="G24" i="33"/>
  <c r="K24" i="33" s="1"/>
  <c r="L24" i="33" s="1"/>
  <c r="J23" i="33"/>
  <c r="G23" i="33"/>
  <c r="K23" i="33" s="1"/>
  <c r="L23" i="33" s="1"/>
  <c r="J22" i="33"/>
  <c r="G22" i="33"/>
  <c r="K22" i="33" s="1"/>
  <c r="L22" i="33" s="1"/>
  <c r="J21" i="33"/>
  <c r="G21" i="33"/>
  <c r="K21" i="33" s="1"/>
  <c r="L21" i="33" s="1"/>
  <c r="J20" i="33"/>
  <c r="G20" i="33"/>
  <c r="K20" i="33" s="1"/>
  <c r="L20" i="33" s="1"/>
  <c r="J19" i="33"/>
  <c r="G19" i="33"/>
  <c r="K19" i="33" s="1"/>
  <c r="L19" i="33" s="1"/>
  <c r="J18" i="33"/>
  <c r="G18" i="33"/>
  <c r="K18" i="33" s="1"/>
  <c r="L18" i="33" s="1"/>
  <c r="J17" i="33"/>
  <c r="G17" i="33"/>
  <c r="K17" i="33" s="1"/>
  <c r="L17" i="33" s="1"/>
  <c r="J16" i="33"/>
  <c r="J44" i="33" s="1"/>
  <c r="G16" i="33"/>
  <c r="K16" i="33" s="1"/>
  <c r="J15" i="33"/>
  <c r="G15" i="33"/>
  <c r="K15" i="33" s="1"/>
  <c r="L15" i="33" s="1"/>
  <c r="J14" i="33"/>
  <c r="G14" i="33"/>
  <c r="K14" i="33" s="1"/>
  <c r="L14" i="33" s="1"/>
  <c r="J13" i="33"/>
  <c r="G13" i="33"/>
  <c r="K13" i="33" s="1"/>
  <c r="L13" i="33" s="1"/>
  <c r="J12" i="33"/>
  <c r="G12" i="33"/>
  <c r="K12" i="33" s="1"/>
  <c r="L12" i="33" s="1"/>
  <c r="J11" i="33"/>
  <c r="G11" i="33"/>
  <c r="K11" i="33" s="1"/>
  <c r="L11" i="33" s="1"/>
  <c r="J10" i="33"/>
  <c r="G10" i="33"/>
  <c r="K10" i="33" s="1"/>
  <c r="L10" i="33" s="1"/>
  <c r="J9" i="33"/>
  <c r="G9" i="33"/>
  <c r="K9" i="33" s="1"/>
  <c r="L9" i="33" s="1"/>
  <c r="J8" i="33"/>
  <c r="G8" i="33"/>
  <c r="K8" i="33" s="1"/>
  <c r="L8" i="33" s="1"/>
  <c r="J7" i="33"/>
  <c r="G7" i="33"/>
  <c r="K7" i="33" s="1"/>
  <c r="L7" i="33" s="1"/>
  <c r="J6" i="33"/>
  <c r="G6" i="33"/>
  <c r="K6" i="33" s="1"/>
  <c r="L6" i="33" s="1"/>
  <c r="J5" i="33"/>
  <c r="G5" i="33"/>
  <c r="K5" i="33" s="1"/>
  <c r="L5" i="33" s="1"/>
  <c r="J4" i="33"/>
  <c r="G4" i="33"/>
  <c r="K31" i="30"/>
  <c r="K32" i="30"/>
  <c r="J30" i="30"/>
  <c r="J31" i="30"/>
  <c r="G31" i="30"/>
  <c r="G32" i="30"/>
  <c r="G33" i="30"/>
  <c r="K33" i="30" s="1"/>
  <c r="G30" i="30"/>
  <c r="K30" i="30" s="1"/>
  <c r="J29" i="30"/>
  <c r="G28" i="30"/>
  <c r="G29" i="30"/>
  <c r="K29" i="30" s="1"/>
  <c r="J28" i="30"/>
  <c r="K28" i="30" s="1"/>
  <c r="J27" i="30"/>
  <c r="G27" i="30"/>
  <c r="K27" i="30" s="1"/>
  <c r="L5" i="25"/>
  <c r="L6" i="25"/>
  <c r="L7" i="25"/>
  <c r="L8" i="25"/>
  <c r="L9" i="25"/>
  <c r="L10" i="25"/>
  <c r="L11" i="25"/>
  <c r="L12" i="25"/>
  <c r="L14" i="25"/>
  <c r="L4" i="25"/>
  <c r="P12" i="24"/>
  <c r="J13" i="10"/>
  <c r="J8" i="10"/>
  <c r="J9" i="10"/>
  <c r="J10" i="10"/>
  <c r="J11" i="10"/>
  <c r="J12" i="10"/>
  <c r="F16" i="32"/>
  <c r="J16" i="32" s="1"/>
  <c r="F15" i="32"/>
  <c r="J15" i="32" s="1"/>
  <c r="I14" i="32"/>
  <c r="F14" i="32"/>
  <c r="J14" i="32" s="1"/>
  <c r="I13" i="32"/>
  <c r="F13" i="32"/>
  <c r="J13" i="32" s="1"/>
  <c r="K8" i="20"/>
  <c r="K9" i="20"/>
  <c r="K10" i="20"/>
  <c r="K11" i="20"/>
  <c r="G8" i="20"/>
  <c r="G9" i="20"/>
  <c r="G10" i="20"/>
  <c r="G11" i="20"/>
  <c r="J8" i="7"/>
  <c r="J9" i="7"/>
  <c r="J10" i="7"/>
  <c r="J11" i="7"/>
  <c r="J12" i="7"/>
  <c r="J13" i="7"/>
  <c r="K13" i="7"/>
  <c r="K8" i="7"/>
  <c r="K9" i="7"/>
  <c r="K10" i="7"/>
  <c r="K11" i="7"/>
  <c r="K12" i="7"/>
  <c r="G8" i="7"/>
  <c r="G9" i="7"/>
  <c r="G10" i="7"/>
  <c r="G11" i="7"/>
  <c r="G12" i="7"/>
  <c r="G13" i="7"/>
  <c r="J14" i="6"/>
  <c r="G26" i="30"/>
  <c r="G25" i="30"/>
  <c r="G24" i="30"/>
  <c r="J26" i="30"/>
  <c r="K26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K24" i="30" s="1"/>
  <c r="J25" i="30"/>
  <c r="K25" i="30" s="1"/>
  <c r="G21" i="30"/>
  <c r="K21" i="30" s="1"/>
  <c r="G22" i="30"/>
  <c r="K22" i="30" s="1"/>
  <c r="G23" i="30"/>
  <c r="K23" i="30" s="1"/>
  <c r="G20" i="30"/>
  <c r="K20" i="30" s="1"/>
  <c r="G19" i="30"/>
  <c r="K19" i="30" s="1"/>
  <c r="G18" i="30"/>
  <c r="K18" i="30" s="1"/>
  <c r="J8" i="9"/>
  <c r="J9" i="9"/>
  <c r="I11" i="32"/>
  <c r="I12" i="32"/>
  <c r="F12" i="32"/>
  <c r="J12" i="32" s="1"/>
  <c r="J9" i="16"/>
  <c r="G17" i="30"/>
  <c r="K17" i="30" s="1"/>
  <c r="G16" i="30"/>
  <c r="K16" i="30" s="1"/>
  <c r="G15" i="30"/>
  <c r="K15" i="30" s="1"/>
  <c r="G14" i="30"/>
  <c r="K14" i="30" s="1"/>
  <c r="G13" i="30"/>
  <c r="K13" i="30" s="1"/>
  <c r="F10" i="32"/>
  <c r="F11" i="32"/>
  <c r="J11" i="32"/>
  <c r="H22" i="29"/>
  <c r="H23" i="29"/>
  <c r="L23" i="29" s="1"/>
  <c r="K20" i="29"/>
  <c r="K21" i="29"/>
  <c r="K22" i="29"/>
  <c r="L22" i="29" s="1"/>
  <c r="H21" i="29"/>
  <c r="L21" i="29" s="1"/>
  <c r="H20" i="29"/>
  <c r="L20" i="29"/>
  <c r="K17" i="29"/>
  <c r="K18" i="29"/>
  <c r="K19" i="29"/>
  <c r="H19" i="29"/>
  <c r="L19" i="29" s="1"/>
  <c r="H18" i="29"/>
  <c r="L18" i="29" s="1"/>
  <c r="H17" i="29"/>
  <c r="L17" i="29" s="1"/>
  <c r="H4" i="31"/>
  <c r="I6" i="32"/>
  <c r="I7" i="32"/>
  <c r="I8" i="32"/>
  <c r="I9" i="32"/>
  <c r="I10" i="32"/>
  <c r="J7" i="2"/>
  <c r="G7" i="2"/>
  <c r="K7" i="2" s="1"/>
  <c r="G8" i="5"/>
  <c r="K8" i="5" s="1"/>
  <c r="H3" i="31"/>
  <c r="G12" i="30"/>
  <c r="K12" i="30" s="1"/>
  <c r="J11" i="30"/>
  <c r="G11" i="30"/>
  <c r="K11" i="30" s="1"/>
  <c r="J10" i="30"/>
  <c r="G10" i="30"/>
  <c r="K10" i="30" s="1"/>
  <c r="J9" i="30"/>
  <c r="G9" i="30"/>
  <c r="K9" i="30" s="1"/>
  <c r="J8" i="30"/>
  <c r="G8" i="30"/>
  <c r="K8" i="30" s="1"/>
  <c r="G7" i="30"/>
  <c r="K7" i="30" s="1"/>
  <c r="G6" i="30"/>
  <c r="K6" i="30" s="1"/>
  <c r="G5" i="30"/>
  <c r="K5" i="30" s="1"/>
  <c r="K16" i="29"/>
  <c r="H16" i="29"/>
  <c r="L16" i="29" s="1"/>
  <c r="K15" i="29"/>
  <c r="H15" i="29"/>
  <c r="L15" i="29" s="1"/>
  <c r="K13" i="29"/>
  <c r="K14" i="29"/>
  <c r="H14" i="29"/>
  <c r="L14" i="29" s="1"/>
  <c r="H13" i="29"/>
  <c r="L13" i="29" s="1"/>
  <c r="K11" i="29"/>
  <c r="K12" i="29"/>
  <c r="H12" i="29"/>
  <c r="L12" i="29" s="1"/>
  <c r="H10" i="29"/>
  <c r="H11" i="29"/>
  <c r="L11" i="29" s="1"/>
  <c r="K9" i="29"/>
  <c r="K10" i="29"/>
  <c r="L10" i="29" s="1"/>
  <c r="H6" i="29"/>
  <c r="H7" i="29"/>
  <c r="H8" i="29"/>
  <c r="H9" i="29"/>
  <c r="L9" i="29" s="1"/>
  <c r="K8" i="29"/>
  <c r="L8" i="29" s="1"/>
  <c r="K7" i="29"/>
  <c r="L7" i="29" s="1"/>
  <c r="K6" i="29"/>
  <c r="L6" i="29" s="1"/>
  <c r="M7" i="8"/>
  <c r="M8" i="8"/>
  <c r="G7" i="8"/>
  <c r="K7" i="8"/>
  <c r="J7" i="8"/>
  <c r="J5" i="10"/>
  <c r="J6" i="10"/>
  <c r="J7" i="10"/>
  <c r="J4" i="10"/>
  <c r="M8" i="16"/>
  <c r="J7" i="18"/>
  <c r="G7" i="18"/>
  <c r="K7" i="18" s="1"/>
  <c r="G6" i="15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K19" i="12" s="1"/>
  <c r="J19" i="12"/>
  <c r="G20" i="12"/>
  <c r="J20" i="12"/>
  <c r="K20" i="12"/>
  <c r="G21" i="12"/>
  <c r="J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5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F7" i="32"/>
  <c r="J7" i="32" s="1"/>
  <c r="F8" i="32"/>
  <c r="J8" i="32" s="1"/>
  <c r="F9" i="32"/>
  <c r="J9" i="32" s="1"/>
  <c r="I5" i="32"/>
  <c r="G5" i="19"/>
  <c r="J5" i="19"/>
  <c r="G6" i="19"/>
  <c r="J6" i="19"/>
  <c r="G7" i="19"/>
  <c r="J7" i="19"/>
  <c r="G8" i="19"/>
  <c r="J8" i="19"/>
  <c r="G9" i="19"/>
  <c r="J9" i="19"/>
  <c r="G10" i="19"/>
  <c r="J10" i="19"/>
  <c r="G11" i="19"/>
  <c r="J11" i="19"/>
  <c r="G12" i="19"/>
  <c r="J12" i="19"/>
  <c r="G13" i="19"/>
  <c r="J13" i="19"/>
  <c r="G14" i="19"/>
  <c r="G15" i="19"/>
  <c r="G5" i="26"/>
  <c r="J5" i="26"/>
  <c r="G6" i="26"/>
  <c r="J6" i="26"/>
  <c r="G7" i="26"/>
  <c r="J7" i="26"/>
  <c r="G8" i="26"/>
  <c r="J8" i="26"/>
  <c r="G9" i="26"/>
  <c r="J9" i="26"/>
  <c r="G10" i="26"/>
  <c r="J10" i="26"/>
  <c r="G11" i="26"/>
  <c r="J11" i="26"/>
  <c r="G12" i="26"/>
  <c r="J12" i="26"/>
  <c r="G13" i="26"/>
  <c r="J13" i="26"/>
  <c r="G14" i="26"/>
  <c r="J14" i="26"/>
  <c r="G15" i="26"/>
  <c r="J15" i="26"/>
  <c r="G16" i="26"/>
  <c r="J16" i="26"/>
  <c r="G17" i="26"/>
  <c r="J17" i="26"/>
  <c r="G18" i="26"/>
  <c r="J18" i="26"/>
  <c r="G19" i="26"/>
  <c r="J19" i="26"/>
  <c r="G20" i="26"/>
  <c r="J20" i="26"/>
  <c r="G21" i="26"/>
  <c r="J21" i="26"/>
  <c r="G22" i="26"/>
  <c r="J22" i="26"/>
  <c r="M3" i="9"/>
  <c r="G5" i="9"/>
  <c r="J5" i="9"/>
  <c r="G6" i="9"/>
  <c r="J6" i="9"/>
  <c r="G7" i="9"/>
  <c r="J7" i="9"/>
  <c r="G8" i="9"/>
  <c r="G9" i="9"/>
  <c r="G10" i="9"/>
  <c r="J10" i="9"/>
  <c r="G11" i="9"/>
  <c r="J11" i="9"/>
  <c r="G12" i="9"/>
  <c r="J12" i="9"/>
  <c r="G13" i="9"/>
  <c r="J13" i="9"/>
  <c r="G14" i="9"/>
  <c r="J14" i="9"/>
  <c r="K14" i="9" s="1"/>
  <c r="G15" i="9"/>
  <c r="J15" i="9"/>
  <c r="G16" i="9"/>
  <c r="J16" i="9"/>
  <c r="G17" i="9"/>
  <c r="J17" i="9"/>
  <c r="G18" i="9"/>
  <c r="J18" i="9"/>
  <c r="G19" i="9"/>
  <c r="J19" i="9"/>
  <c r="G20" i="9"/>
  <c r="J20" i="9"/>
  <c r="G21" i="9"/>
  <c r="J21" i="9"/>
  <c r="G22" i="9"/>
  <c r="J22" i="9"/>
  <c r="G23" i="9"/>
  <c r="J23" i="9"/>
  <c r="G24" i="9"/>
  <c r="J24" i="9"/>
  <c r="G25" i="9"/>
  <c r="G5" i="8"/>
  <c r="J5" i="8"/>
  <c r="K5" i="8"/>
  <c r="G6" i="8"/>
  <c r="J6" i="8"/>
  <c r="K6" i="8" s="1"/>
  <c r="G8" i="8"/>
  <c r="J8" i="8"/>
  <c r="G9" i="8"/>
  <c r="J9" i="8"/>
  <c r="K9" i="8"/>
  <c r="M9" i="8" s="1"/>
  <c r="G10" i="8"/>
  <c r="J10" i="8"/>
  <c r="K10" i="8"/>
  <c r="G11" i="8"/>
  <c r="J11" i="8"/>
  <c r="K11" i="8"/>
  <c r="G12" i="8"/>
  <c r="J12" i="8"/>
  <c r="K12" i="8"/>
  <c r="G13" i="8"/>
  <c r="J13" i="8"/>
  <c r="K13" i="8"/>
  <c r="G14" i="8"/>
  <c r="J14" i="8"/>
  <c r="K14" i="8"/>
  <c r="G15" i="8"/>
  <c r="J15" i="8"/>
  <c r="K15" i="8"/>
  <c r="G16" i="8"/>
  <c r="J16" i="8"/>
  <c r="K16" i="8"/>
  <c r="G17" i="8"/>
  <c r="J17" i="8"/>
  <c r="K17" i="8"/>
  <c r="G18" i="8"/>
  <c r="J18" i="8"/>
  <c r="K18" i="8"/>
  <c r="G19" i="8"/>
  <c r="J19" i="8"/>
  <c r="K19" i="8"/>
  <c r="G20" i="8"/>
  <c r="J20" i="8"/>
  <c r="K20" i="8"/>
  <c r="G21" i="8"/>
  <c r="J21" i="8"/>
  <c r="K21" i="8"/>
  <c r="G22" i="8"/>
  <c r="J22" i="8"/>
  <c r="K22" i="8"/>
  <c r="G23" i="8"/>
  <c r="J23" i="8"/>
  <c r="K23" i="8"/>
  <c r="G24" i="8"/>
  <c r="J24" i="8"/>
  <c r="K24" i="8"/>
  <c r="G25" i="8"/>
  <c r="J25" i="8"/>
  <c r="K25" i="8"/>
  <c r="G26" i="8"/>
  <c r="J26" i="8"/>
  <c r="K26" i="8"/>
  <c r="G27" i="8"/>
  <c r="J27" i="8"/>
  <c r="K27" i="8"/>
  <c r="G28" i="8"/>
  <c r="J28" i="8"/>
  <c r="K28" i="8"/>
  <c r="G29" i="8"/>
  <c r="J29" i="8"/>
  <c r="G30" i="8"/>
  <c r="J30" i="8"/>
  <c r="K30" i="8"/>
  <c r="G31" i="8"/>
  <c r="J31" i="8"/>
  <c r="K31" i="8"/>
  <c r="G32" i="8"/>
  <c r="J32" i="8"/>
  <c r="K32" i="8"/>
  <c r="M3" i="14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K6" i="22"/>
  <c r="K5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4" i="22"/>
  <c r="J4" i="22"/>
  <c r="G4" i="22"/>
  <c r="G5" i="25"/>
  <c r="J5" i="25"/>
  <c r="G6" i="25"/>
  <c r="J6" i="25"/>
  <c r="G7" i="25"/>
  <c r="J7" i="25"/>
  <c r="G8" i="25"/>
  <c r="J8" i="25"/>
  <c r="G9" i="25"/>
  <c r="J9" i="25"/>
  <c r="G10" i="25"/>
  <c r="J10" i="25"/>
  <c r="G11" i="25"/>
  <c r="J11" i="25"/>
  <c r="G12" i="25"/>
  <c r="J12" i="25"/>
  <c r="G13" i="25"/>
  <c r="J13" i="25"/>
  <c r="G14" i="25"/>
  <c r="J14" i="25"/>
  <c r="G15" i="25"/>
  <c r="J15" i="25"/>
  <c r="G16" i="25"/>
  <c r="J16" i="25"/>
  <c r="G17" i="25"/>
  <c r="J17" i="25"/>
  <c r="G18" i="25"/>
  <c r="J18" i="25"/>
  <c r="G19" i="25"/>
  <c r="J19" i="25"/>
  <c r="G20" i="25"/>
  <c r="J20" i="25"/>
  <c r="G21" i="25"/>
  <c r="J21" i="25"/>
  <c r="G22" i="25"/>
  <c r="J22" i="25"/>
  <c r="G23" i="25"/>
  <c r="J23" i="25"/>
  <c r="G24" i="25"/>
  <c r="J24" i="25"/>
  <c r="G25" i="25"/>
  <c r="K25" i="25" s="1"/>
  <c r="J25" i="25"/>
  <c r="G26" i="25"/>
  <c r="J26" i="25"/>
  <c r="G27" i="25"/>
  <c r="J27" i="25"/>
  <c r="G28" i="25"/>
  <c r="J28" i="25"/>
  <c r="G29" i="25"/>
  <c r="J29" i="25"/>
  <c r="G30" i="25"/>
  <c r="J30" i="25"/>
  <c r="G31" i="25"/>
  <c r="J31" i="25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M3" i="10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2" i="11"/>
  <c r="J22" i="11"/>
  <c r="G23" i="11"/>
  <c r="J23" i="11"/>
  <c r="G24" i="11"/>
  <c r="J24" i="11"/>
  <c r="G25" i="11"/>
  <c r="J25" i="11"/>
  <c r="G26" i="11"/>
  <c r="J26" i="11"/>
  <c r="G27" i="11"/>
  <c r="J27" i="11"/>
  <c r="G28" i="11"/>
  <c r="J28" i="11"/>
  <c r="G29" i="11"/>
  <c r="J29" i="11"/>
  <c r="G30" i="11"/>
  <c r="J30" i="11"/>
  <c r="G31" i="11"/>
  <c r="J31" i="11"/>
  <c r="G5" i="23"/>
  <c r="G6" i="23"/>
  <c r="K6" i="23"/>
  <c r="G5" i="24"/>
  <c r="J5" i="24"/>
  <c r="G6" i="24"/>
  <c r="J6" i="24"/>
  <c r="G7" i="24"/>
  <c r="J7" i="24"/>
  <c r="G8" i="24"/>
  <c r="J8" i="24"/>
  <c r="G9" i="24"/>
  <c r="J9" i="24"/>
  <c r="G10" i="24"/>
  <c r="J10" i="24"/>
  <c r="G11" i="24"/>
  <c r="J11" i="24"/>
  <c r="G12" i="24"/>
  <c r="J12" i="24"/>
  <c r="J32" i="24" s="1"/>
  <c r="G13" i="24"/>
  <c r="J13" i="24"/>
  <c r="G14" i="24"/>
  <c r="J14" i="24"/>
  <c r="G15" i="24"/>
  <c r="J15" i="24"/>
  <c r="G16" i="24"/>
  <c r="J16" i="24"/>
  <c r="G17" i="24"/>
  <c r="J17" i="24"/>
  <c r="G18" i="24"/>
  <c r="J18" i="24"/>
  <c r="G19" i="24"/>
  <c r="J19" i="24"/>
  <c r="G20" i="24"/>
  <c r="J20" i="24"/>
  <c r="G21" i="24"/>
  <c r="J21" i="24"/>
  <c r="G22" i="24"/>
  <c r="J22" i="24"/>
  <c r="G23" i="24"/>
  <c r="J23" i="24"/>
  <c r="G24" i="24"/>
  <c r="J24" i="24"/>
  <c r="G25" i="24"/>
  <c r="J25" i="24"/>
  <c r="G26" i="24"/>
  <c r="J26" i="24"/>
  <c r="G27" i="24"/>
  <c r="J27" i="24"/>
  <c r="G28" i="24"/>
  <c r="J28" i="24"/>
  <c r="G29" i="24"/>
  <c r="J29" i="24"/>
  <c r="G30" i="24"/>
  <c r="J30" i="24"/>
  <c r="G31" i="24"/>
  <c r="J31" i="24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G7" i="3"/>
  <c r="K7" i="3"/>
  <c r="G5" i="16"/>
  <c r="G6" i="16"/>
  <c r="G7" i="16"/>
  <c r="G8" i="16"/>
  <c r="G9" i="16"/>
  <c r="G10" i="16"/>
  <c r="G11" i="16"/>
  <c r="G12" i="16"/>
  <c r="M3" i="16"/>
  <c r="M3" i="1"/>
  <c r="G5" i="1"/>
  <c r="J5" i="1"/>
  <c r="G6" i="1"/>
  <c r="J6" i="1"/>
  <c r="G7" i="1"/>
  <c r="J7" i="1"/>
  <c r="G8" i="1"/>
  <c r="J8" i="1"/>
  <c r="G9" i="1"/>
  <c r="J9" i="1"/>
  <c r="G10" i="1"/>
  <c r="K10" i="1" s="1"/>
  <c r="J10" i="1"/>
  <c r="G11" i="1"/>
  <c r="K11" i="1" s="1"/>
  <c r="J11" i="1"/>
  <c r="G12" i="1"/>
  <c r="K12" i="1" s="1"/>
  <c r="J12" i="1"/>
  <c r="G13" i="1"/>
  <c r="K13" i="1" s="1"/>
  <c r="J13" i="1"/>
  <c r="G14" i="1"/>
  <c r="K14" i="1" s="1"/>
  <c r="J14" i="1"/>
  <c r="G5" i="2"/>
  <c r="J5" i="2"/>
  <c r="K5" i="2"/>
  <c r="G6" i="2"/>
  <c r="J6" i="2"/>
  <c r="K6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6" i="17"/>
  <c r="J5" i="17"/>
  <c r="G5" i="17"/>
  <c r="J4" i="17"/>
  <c r="G4" i="17"/>
  <c r="J8" i="18"/>
  <c r="G7" i="17"/>
  <c r="J7" i="17"/>
  <c r="G8" i="17"/>
  <c r="J8" i="17"/>
  <c r="G9" i="17"/>
  <c r="J9" i="17"/>
  <c r="G10" i="17"/>
  <c r="J10" i="17"/>
  <c r="G11" i="17"/>
  <c r="J11" i="17"/>
  <c r="G12" i="17"/>
  <c r="J12" i="17"/>
  <c r="G13" i="17"/>
  <c r="J13" i="17"/>
  <c r="G14" i="17"/>
  <c r="J14" i="17"/>
  <c r="G15" i="17"/>
  <c r="J15" i="17"/>
  <c r="G16" i="17"/>
  <c r="J16" i="17"/>
  <c r="G17" i="17"/>
  <c r="J17" i="17"/>
  <c r="G18" i="17"/>
  <c r="K18" i="17" s="1"/>
  <c r="J18" i="17"/>
  <c r="G19" i="17"/>
  <c r="J19" i="17"/>
  <c r="J32" i="17" s="1"/>
  <c r="G20" i="17"/>
  <c r="J20" i="17"/>
  <c r="G21" i="17"/>
  <c r="J21" i="17"/>
  <c r="G22" i="17"/>
  <c r="J22" i="17"/>
  <c r="G23" i="17"/>
  <c r="J23" i="17"/>
  <c r="G24" i="17"/>
  <c r="J24" i="17"/>
  <c r="G25" i="17"/>
  <c r="J25" i="17"/>
  <c r="G26" i="17"/>
  <c r="J26" i="17"/>
  <c r="G27" i="17"/>
  <c r="J27" i="17"/>
  <c r="G28" i="17"/>
  <c r="J28" i="17"/>
  <c r="G29" i="17"/>
  <c r="J29" i="17"/>
  <c r="G30" i="17"/>
  <c r="J30" i="17"/>
  <c r="G31" i="17"/>
  <c r="J31" i="17"/>
  <c r="M3" i="18"/>
  <c r="J6" i="18"/>
  <c r="G6" i="18"/>
  <c r="K6" i="18" s="1"/>
  <c r="J5" i="18"/>
  <c r="G5" i="18"/>
  <c r="K5" i="18" s="1"/>
  <c r="J4" i="18"/>
  <c r="G4" i="18"/>
  <c r="K4" i="18" s="1"/>
  <c r="G8" i="18"/>
  <c r="K8" i="18" s="1"/>
  <c r="G9" i="18"/>
  <c r="J9" i="18"/>
  <c r="G10" i="18"/>
  <c r="J10" i="18"/>
  <c r="G11" i="18"/>
  <c r="J11" i="18"/>
  <c r="G12" i="18"/>
  <c r="J12" i="18"/>
  <c r="J13" i="18"/>
  <c r="G14" i="18"/>
  <c r="J14" i="18"/>
  <c r="G15" i="18"/>
  <c r="J15" i="18"/>
  <c r="G16" i="18"/>
  <c r="J16" i="18"/>
  <c r="G17" i="18"/>
  <c r="J17" i="18"/>
  <c r="G18" i="18"/>
  <c r="J18" i="18"/>
  <c r="G19" i="18"/>
  <c r="J19" i="18"/>
  <c r="G20" i="18"/>
  <c r="J20" i="18"/>
  <c r="G21" i="18"/>
  <c r="J21" i="18"/>
  <c r="G22" i="18"/>
  <c r="J22" i="18"/>
  <c r="G23" i="18"/>
  <c r="J23" i="18"/>
  <c r="G24" i="18"/>
  <c r="J24" i="18"/>
  <c r="G25" i="18"/>
  <c r="J25" i="18"/>
  <c r="G26" i="18"/>
  <c r="J26" i="18"/>
  <c r="G27" i="18"/>
  <c r="G28" i="18"/>
  <c r="G29" i="18"/>
  <c r="J29" i="18"/>
  <c r="G30" i="18"/>
  <c r="J30" i="18"/>
  <c r="G31" i="18"/>
  <c r="J31" i="18"/>
  <c r="M3" i="6"/>
  <c r="J5" i="6"/>
  <c r="J6" i="6"/>
  <c r="J7" i="6"/>
  <c r="J8" i="6"/>
  <c r="J9" i="6"/>
  <c r="J10" i="6"/>
  <c r="J11" i="6"/>
  <c r="J12" i="6"/>
  <c r="J13" i="6"/>
  <c r="J15" i="6"/>
  <c r="J16" i="6"/>
  <c r="J4" i="6"/>
  <c r="G5" i="6"/>
  <c r="G6" i="6"/>
  <c r="K6" i="6" s="1"/>
  <c r="G7" i="6"/>
  <c r="G8" i="6"/>
  <c r="G9" i="6"/>
  <c r="G10" i="6"/>
  <c r="G11" i="6"/>
  <c r="G12" i="6"/>
  <c r="G13" i="6"/>
  <c r="G14" i="6"/>
  <c r="G15" i="6"/>
  <c r="G4" i="6"/>
  <c r="J32" i="18"/>
  <c r="K36" i="6"/>
  <c r="G28" i="5"/>
  <c r="K28" i="5" s="1"/>
  <c r="K31" i="18"/>
  <c r="K34" i="6"/>
  <c r="K35" i="6"/>
  <c r="J25" i="5"/>
  <c r="J26" i="5"/>
  <c r="J27" i="5"/>
  <c r="K27" i="5"/>
  <c r="G25" i="5"/>
  <c r="K25" i="5" s="1"/>
  <c r="G26" i="5"/>
  <c r="K26" i="5" s="1"/>
  <c r="J33" i="6"/>
  <c r="K33" i="6"/>
  <c r="K30" i="18"/>
  <c r="J31" i="6"/>
  <c r="J32" i="6"/>
  <c r="K32" i="6"/>
  <c r="J15" i="5"/>
  <c r="J16" i="5"/>
  <c r="J17" i="5"/>
  <c r="J18" i="5"/>
  <c r="J19" i="5"/>
  <c r="J20" i="5"/>
  <c r="J21" i="5"/>
  <c r="J22" i="5"/>
  <c r="J23" i="5"/>
  <c r="J24" i="5"/>
  <c r="G24" i="5"/>
  <c r="K24" i="5" s="1"/>
  <c r="F6" i="32"/>
  <c r="J6" i="32" s="1"/>
  <c r="F5" i="32"/>
  <c r="I4" i="32"/>
  <c r="F4" i="32"/>
  <c r="E32" i="19"/>
  <c r="L30" i="12"/>
  <c r="L32" i="14"/>
  <c r="K13" i="19"/>
  <c r="L13" i="19" s="1"/>
  <c r="K24" i="9"/>
  <c r="G31" i="23"/>
  <c r="K31" i="23" s="1"/>
  <c r="K29" i="18"/>
  <c r="K31" i="6"/>
  <c r="G23" i="5"/>
  <c r="K23" i="5" s="1"/>
  <c r="K29" i="11"/>
  <c r="K30" i="11"/>
  <c r="K31" i="11"/>
  <c r="K23" i="9"/>
  <c r="K31" i="25"/>
  <c r="K30" i="24"/>
  <c r="G30" i="23"/>
  <c r="K30" i="23" s="1"/>
  <c r="L14" i="16"/>
  <c r="J30" i="6"/>
  <c r="K30" i="6"/>
  <c r="G21" i="5"/>
  <c r="K21" i="5" s="1"/>
  <c r="G22" i="5"/>
  <c r="K22" i="5" s="1"/>
  <c r="K31" i="17"/>
  <c r="K28" i="18"/>
  <c r="G29" i="23"/>
  <c r="K29" i="23" s="1"/>
  <c r="K22" i="9"/>
  <c r="K21" i="9"/>
  <c r="K31" i="15"/>
  <c r="G14" i="14"/>
  <c r="K14" i="14" s="1"/>
  <c r="K27" i="24"/>
  <c r="K28" i="24"/>
  <c r="K29" i="24"/>
  <c r="K9" i="1"/>
  <c r="K8" i="1"/>
  <c r="J28" i="6"/>
  <c r="J29" i="6"/>
  <c r="K29" i="6"/>
  <c r="K27" i="18"/>
  <c r="J7" i="7"/>
  <c r="G7" i="7"/>
  <c r="K28" i="11"/>
  <c r="K20" i="9"/>
  <c r="J28" i="15"/>
  <c r="J29" i="15"/>
  <c r="J30" i="15"/>
  <c r="K28" i="15"/>
  <c r="K29" i="15"/>
  <c r="K30" i="15"/>
  <c r="K29" i="25"/>
  <c r="G27" i="23"/>
  <c r="K27" i="23" s="1"/>
  <c r="G28" i="23"/>
  <c r="K28" i="23" s="1"/>
  <c r="L9" i="20"/>
  <c r="L10" i="20"/>
  <c r="L13" i="16"/>
  <c r="K30" i="17"/>
  <c r="K29" i="17"/>
  <c r="K26" i="18"/>
  <c r="K24" i="18"/>
  <c r="K28" i="6"/>
  <c r="J27" i="6"/>
  <c r="K27" i="6"/>
  <c r="G20" i="5"/>
  <c r="K20" i="5" s="1"/>
  <c r="G18" i="5"/>
  <c r="K18" i="5" s="1"/>
  <c r="G19" i="5"/>
  <c r="K19" i="5" s="1"/>
  <c r="G13" i="14"/>
  <c r="K13" i="14" s="1"/>
  <c r="G26" i="23"/>
  <c r="K27" i="11"/>
  <c r="K28" i="25"/>
  <c r="K19" i="9"/>
  <c r="K27" i="15"/>
  <c r="J26" i="15"/>
  <c r="K26" i="15"/>
  <c r="K12" i="16"/>
  <c r="J25" i="6"/>
  <c r="J26" i="6"/>
  <c r="K25" i="6"/>
  <c r="K26" i="6"/>
  <c r="K26" i="24"/>
  <c r="K25" i="24"/>
  <c r="G25" i="23"/>
  <c r="K25" i="23" s="1"/>
  <c r="K24" i="24"/>
  <c r="K26" i="11"/>
  <c r="K27" i="25"/>
  <c r="K18" i="9"/>
  <c r="J25" i="15"/>
  <c r="K25" i="15" s="1"/>
  <c r="K12" i="19"/>
  <c r="L12" i="19" s="1"/>
  <c r="K23" i="18"/>
  <c r="G17" i="5"/>
  <c r="K17" i="5" s="1"/>
  <c r="K17" i="9"/>
  <c r="K25" i="11"/>
  <c r="K24" i="11"/>
  <c r="K23" i="24"/>
  <c r="G24" i="23"/>
  <c r="K24" i="23" s="1"/>
  <c r="J22" i="15"/>
  <c r="J23" i="15"/>
  <c r="J24" i="15"/>
  <c r="K24" i="15"/>
  <c r="K11" i="16"/>
  <c r="L11" i="16" s="1"/>
  <c r="J6" i="7"/>
  <c r="G6" i="7"/>
  <c r="K22" i="18"/>
  <c r="K21" i="18"/>
  <c r="J21" i="6"/>
  <c r="J22" i="6"/>
  <c r="J23" i="6"/>
  <c r="J24" i="6"/>
  <c r="K24" i="6"/>
  <c r="G16" i="5"/>
  <c r="K16" i="5" s="1"/>
  <c r="G23" i="23"/>
  <c r="K23" i="23" s="1"/>
  <c r="K16" i="9"/>
  <c r="K23" i="15"/>
  <c r="K10" i="19"/>
  <c r="L10" i="19" s="1"/>
  <c r="K11" i="19"/>
  <c r="L11" i="19" s="1"/>
  <c r="K23" i="6"/>
  <c r="G15" i="5"/>
  <c r="K15" i="5" s="1"/>
  <c r="M3" i="24"/>
  <c r="K22" i="24"/>
  <c r="K21" i="24"/>
  <c r="K20" i="24"/>
  <c r="K19" i="24"/>
  <c r="K24" i="25"/>
  <c r="K23" i="25"/>
  <c r="K22" i="25"/>
  <c r="K21" i="25"/>
  <c r="K20" i="25"/>
  <c r="K19" i="25"/>
  <c r="P20" i="17"/>
  <c r="K20" i="18"/>
  <c r="K19" i="18"/>
  <c r="K22" i="6"/>
  <c r="J14" i="5"/>
  <c r="G14" i="5"/>
  <c r="K14" i="5" s="1"/>
  <c r="K10" i="16"/>
  <c r="L10" i="16" s="1"/>
  <c r="K22" i="15"/>
  <c r="J21" i="15"/>
  <c r="K21" i="15"/>
  <c r="J20" i="15"/>
  <c r="K20" i="15"/>
  <c r="K15" i="9"/>
  <c r="K22" i="11"/>
  <c r="K21" i="11"/>
  <c r="K15" i="10"/>
  <c r="K14" i="10"/>
  <c r="K13" i="10"/>
  <c r="K12" i="10"/>
  <c r="G22" i="23"/>
  <c r="K22" i="23" s="1"/>
  <c r="G21" i="23"/>
  <c r="K21" i="23"/>
  <c r="G20" i="23"/>
  <c r="K20" i="23" s="1"/>
  <c r="K5" i="29"/>
  <c r="H5" i="29"/>
  <c r="K22" i="26"/>
  <c r="L22" i="26" s="1"/>
  <c r="M3" i="15"/>
  <c r="J19" i="15"/>
  <c r="K18" i="18"/>
  <c r="J13" i="5"/>
  <c r="G13" i="5"/>
  <c r="K13" i="5" s="1"/>
  <c r="M4" i="30"/>
  <c r="K21" i="26"/>
  <c r="L21" i="26" s="1"/>
  <c r="K20" i="26"/>
  <c r="L20" i="26" s="1"/>
  <c r="K19" i="26"/>
  <c r="L19" i="26" s="1"/>
  <c r="K18" i="26"/>
  <c r="L18" i="26" s="1"/>
  <c r="K17" i="26"/>
  <c r="L17" i="26" s="1"/>
  <c r="K16" i="26"/>
  <c r="L16" i="26" s="1"/>
  <c r="K15" i="26"/>
  <c r="L15" i="26" s="1"/>
  <c r="K14" i="26"/>
  <c r="L14" i="26" s="1"/>
  <c r="K13" i="26"/>
  <c r="L13" i="26" s="1"/>
  <c r="K12" i="26"/>
  <c r="L12" i="26" s="1"/>
  <c r="K11" i="26"/>
  <c r="L11" i="26" s="1"/>
  <c r="K10" i="26"/>
  <c r="L10" i="26" s="1"/>
  <c r="K9" i="26"/>
  <c r="L9" i="26" s="1"/>
  <c r="K8" i="26"/>
  <c r="L8" i="26" s="1"/>
  <c r="K7" i="26"/>
  <c r="L7" i="26" s="1"/>
  <c r="K6" i="26"/>
  <c r="L6" i="26" s="1"/>
  <c r="K5" i="26"/>
  <c r="L5" i="26" s="1"/>
  <c r="J4" i="26"/>
  <c r="G4" i="26"/>
  <c r="G23" i="26" s="1"/>
  <c r="J4" i="9"/>
  <c r="J32" i="9" s="1"/>
  <c r="J5" i="15"/>
  <c r="J6" i="15"/>
  <c r="J7" i="15"/>
  <c r="J8" i="15"/>
  <c r="J9" i="15"/>
  <c r="J10" i="15"/>
  <c r="J11" i="15"/>
  <c r="J12" i="15"/>
  <c r="J13" i="15"/>
  <c r="J14" i="15"/>
  <c r="J18" i="15"/>
  <c r="J4" i="15"/>
  <c r="G4" i="15"/>
  <c r="M3" i="11"/>
  <c r="M3" i="8"/>
  <c r="M3" i="20"/>
  <c r="M3" i="22"/>
  <c r="M3" i="25"/>
  <c r="G4" i="7"/>
  <c r="M3" i="7"/>
  <c r="K21" i="6"/>
  <c r="M3" i="23"/>
  <c r="K9" i="16"/>
  <c r="M3" i="3"/>
  <c r="M3" i="2"/>
  <c r="M3" i="17"/>
  <c r="A8" i="18"/>
  <c r="A9" i="18"/>
  <c r="A11" i="18"/>
  <c r="A12" i="18"/>
  <c r="A14" i="18"/>
  <c r="A15" i="18"/>
  <c r="A17" i="18"/>
  <c r="A18" i="18"/>
  <c r="J17" i="6"/>
  <c r="J18" i="6"/>
  <c r="J19" i="6"/>
  <c r="J20" i="6"/>
  <c r="K20" i="6"/>
  <c r="K4" i="6"/>
  <c r="R8" i="5"/>
  <c r="M3" i="5"/>
  <c r="G4" i="5"/>
  <c r="J4" i="5"/>
  <c r="K4" i="5"/>
  <c r="G4" i="25"/>
  <c r="J4" i="25"/>
  <c r="G4" i="24"/>
  <c r="K6" i="24"/>
  <c r="J4" i="24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4" i="23"/>
  <c r="J4" i="23"/>
  <c r="J5" i="20"/>
  <c r="J6" i="20"/>
  <c r="J7" i="20"/>
  <c r="J4" i="20"/>
  <c r="G5" i="20"/>
  <c r="K5" i="20" s="1"/>
  <c r="L5" i="20" s="1"/>
  <c r="G6" i="20"/>
  <c r="K6" i="20" s="1"/>
  <c r="L6" i="20" s="1"/>
  <c r="G7" i="20"/>
  <c r="K7" i="20" s="1"/>
  <c r="L7" i="20" s="1"/>
  <c r="G4" i="20"/>
  <c r="K11" i="18"/>
  <c r="K14" i="18"/>
  <c r="K15" i="18"/>
  <c r="K16" i="18"/>
  <c r="K17" i="18"/>
  <c r="G4" i="19"/>
  <c r="J4" i="19"/>
  <c r="K4" i="19"/>
  <c r="K5" i="19"/>
  <c r="L5" i="19" s="1"/>
  <c r="K6" i="19"/>
  <c r="L6" i="19" s="1"/>
  <c r="K7" i="19"/>
  <c r="L7" i="19" s="1"/>
  <c r="K8" i="19"/>
  <c r="L8" i="19" s="1"/>
  <c r="K9" i="19"/>
  <c r="J5" i="16"/>
  <c r="J6" i="16"/>
  <c r="J7" i="16"/>
  <c r="J8" i="16"/>
  <c r="J4" i="16"/>
  <c r="K5" i="16"/>
  <c r="L5" i="16" s="1"/>
  <c r="K6" i="16"/>
  <c r="L6" i="16" s="1"/>
  <c r="K8" i="16"/>
  <c r="L8" i="16" s="1"/>
  <c r="G4" i="16"/>
  <c r="A5" i="18"/>
  <c r="A6" i="18"/>
  <c r="A5" i="17"/>
  <c r="A6" i="17"/>
  <c r="A7" i="17"/>
  <c r="A8" i="17"/>
  <c r="A9" i="17"/>
  <c r="A10" i="17"/>
  <c r="A11" i="17"/>
  <c r="A12" i="17"/>
  <c r="A13" i="17"/>
  <c r="A14" i="17"/>
  <c r="K6" i="15"/>
  <c r="K7" i="15"/>
  <c r="K8" i="15"/>
  <c r="K9" i="15"/>
  <c r="K10" i="15"/>
  <c r="K11" i="15"/>
  <c r="K12" i="15"/>
  <c r="K13" i="15"/>
  <c r="K14" i="15"/>
  <c r="K15" i="15"/>
  <c r="K16" i="15"/>
  <c r="K19" i="15"/>
  <c r="K18" i="15"/>
  <c r="K17" i="15"/>
  <c r="K5" i="15"/>
  <c r="J5" i="14"/>
  <c r="J12" i="14"/>
  <c r="J4" i="14"/>
  <c r="G12" i="14"/>
  <c r="G11" i="14"/>
  <c r="G5" i="14"/>
  <c r="G6" i="14"/>
  <c r="G7" i="14"/>
  <c r="G8" i="14"/>
  <c r="G9" i="14"/>
  <c r="G10" i="14"/>
  <c r="G4" i="14"/>
  <c r="K12" i="14"/>
  <c r="K11" i="14"/>
  <c r="K10" i="14"/>
  <c r="K9" i="14"/>
  <c r="K8" i="14"/>
  <c r="K7" i="14"/>
  <c r="K6" i="14"/>
  <c r="K5" i="14"/>
  <c r="K4" i="14"/>
  <c r="K32" i="14" s="1"/>
  <c r="G5" i="7"/>
  <c r="J5" i="7"/>
  <c r="K5" i="7"/>
  <c r="K10" i="9"/>
  <c r="K11" i="9"/>
  <c r="K13" i="9"/>
  <c r="J4" i="7"/>
  <c r="K7" i="6"/>
  <c r="K5" i="6"/>
  <c r="G4" i="12"/>
  <c r="J4" i="12"/>
  <c r="G4" i="11"/>
  <c r="J4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G4" i="10"/>
  <c r="K5" i="10"/>
  <c r="K6" i="10"/>
  <c r="K7" i="10"/>
  <c r="K8" i="10"/>
  <c r="K9" i="10"/>
  <c r="K10" i="10"/>
  <c r="K5" i="9"/>
  <c r="K6" i="9"/>
  <c r="K7" i="9"/>
  <c r="K8" i="9"/>
  <c r="K9" i="9"/>
  <c r="G4" i="9"/>
  <c r="K9" i="6"/>
  <c r="K10" i="6"/>
  <c r="K11" i="6"/>
  <c r="K12" i="6"/>
  <c r="K13" i="6"/>
  <c r="K14" i="6"/>
  <c r="K15" i="6"/>
  <c r="K18" i="6"/>
  <c r="K19" i="6"/>
  <c r="J5" i="3"/>
  <c r="J6" i="3"/>
  <c r="J8" i="3"/>
  <c r="G5" i="3"/>
  <c r="K5" i="3" s="1"/>
  <c r="G6" i="3"/>
  <c r="K6" i="3" s="1"/>
  <c r="G8" i="3"/>
  <c r="K8" i="3" s="1"/>
  <c r="J4" i="3"/>
  <c r="G4" i="3"/>
  <c r="J4" i="8"/>
  <c r="J5" i="5"/>
  <c r="J6" i="5"/>
  <c r="J7" i="5"/>
  <c r="J9" i="5"/>
  <c r="J10" i="5"/>
  <c r="J11" i="5"/>
  <c r="J12" i="5"/>
  <c r="G5" i="5"/>
  <c r="G6" i="5"/>
  <c r="K6" i="5" s="1"/>
  <c r="G7" i="5"/>
  <c r="G9" i="5"/>
  <c r="K9" i="5" s="1"/>
  <c r="G10" i="5"/>
  <c r="K10" i="5" s="1"/>
  <c r="G11" i="5"/>
  <c r="K11" i="5" s="1"/>
  <c r="G12" i="5"/>
  <c r="K12" i="5" s="1"/>
  <c r="G4" i="8"/>
  <c r="K6" i="7"/>
  <c r="J4" i="2"/>
  <c r="G4" i="2"/>
  <c r="J4" i="1"/>
  <c r="G4" i="1"/>
  <c r="K4" i="1"/>
  <c r="K5" i="1"/>
  <c r="K6" i="1"/>
  <c r="K7" i="1"/>
  <c r="F33" i="43" l="1"/>
  <c r="K26" i="23"/>
  <c r="K33" i="23" s="1"/>
  <c r="K37" i="23" s="1"/>
  <c r="J33" i="23"/>
  <c r="L16" i="33"/>
  <c r="K44" i="33"/>
  <c r="J33" i="11"/>
  <c r="G33" i="11"/>
  <c r="G32" i="17"/>
  <c r="K9" i="17"/>
  <c r="K32" i="17" s="1"/>
  <c r="J33" i="18"/>
  <c r="M4" i="18"/>
  <c r="M5" i="18" s="1"/>
  <c r="M6" i="18" s="1"/>
  <c r="M7" i="18" s="1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I35" i="42"/>
  <c r="L2" i="42"/>
  <c r="K4" i="38"/>
  <c r="L4" i="38" s="1"/>
  <c r="K27" i="39"/>
  <c r="N173" i="29"/>
  <c r="K31" i="40"/>
  <c r="M68" i="30"/>
  <c r="M69" i="30"/>
  <c r="M70" i="30" s="1"/>
  <c r="N150" i="29"/>
  <c r="N151" i="29" s="1"/>
  <c r="N152" i="29" s="1"/>
  <c r="N153" i="29" s="1"/>
  <c r="N154" i="29"/>
  <c r="N155" i="29" s="1"/>
  <c r="N156" i="29"/>
  <c r="N157" i="29" s="1"/>
  <c r="M25" i="20"/>
  <c r="M26" i="20" s="1"/>
  <c r="M27" i="20" s="1"/>
  <c r="K31" i="41"/>
  <c r="M22" i="22"/>
  <c r="M23" i="22" s="1"/>
  <c r="M24" i="22" s="1"/>
  <c r="M25" i="22" s="1"/>
  <c r="M26" i="22" s="1"/>
  <c r="M27" i="22" s="1"/>
  <c r="M28" i="22" s="1"/>
  <c r="M29" i="22" s="1"/>
  <c r="M58" i="30"/>
  <c r="M59" i="30" s="1"/>
  <c r="M10" i="3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J25" i="32"/>
  <c r="L71" i="29"/>
  <c r="J19" i="32"/>
  <c r="G32" i="39"/>
  <c r="K20" i="39"/>
  <c r="M20" i="39" s="1"/>
  <c r="M21" i="39" s="1"/>
  <c r="M22" i="39" s="1"/>
  <c r="M23" i="39" s="1"/>
  <c r="M24" i="39" s="1"/>
  <c r="M25" i="39" s="1"/>
  <c r="M26" i="39" s="1"/>
  <c r="M27" i="39" s="1"/>
  <c r="M28" i="39" s="1"/>
  <c r="M29" i="39" s="1"/>
  <c r="M30" i="39" s="1"/>
  <c r="M31" i="39" s="1"/>
  <c r="M4" i="6"/>
  <c r="K17" i="6"/>
  <c r="K16" i="6"/>
  <c r="L50" i="29"/>
  <c r="L54" i="29"/>
  <c r="K4" i="37"/>
  <c r="K4" i="36"/>
  <c r="G43" i="35"/>
  <c r="K4" i="35"/>
  <c r="K4" i="34"/>
  <c r="K4" i="33"/>
  <c r="J5" i="32"/>
  <c r="J10" i="32"/>
  <c r="M10" i="8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9" i="16"/>
  <c r="M10" i="16" s="1"/>
  <c r="M11" i="16" s="1"/>
  <c r="M12" i="16" s="1"/>
  <c r="M13" i="16" s="1"/>
  <c r="M14" i="16" s="1"/>
  <c r="M15" i="16" s="1"/>
  <c r="M16" i="16" s="1"/>
  <c r="M17" i="16" s="1"/>
  <c r="M18" i="16" s="1"/>
  <c r="M5" i="30"/>
  <c r="M6" i="30" s="1"/>
  <c r="M7" i="30" s="1"/>
  <c r="M8" i="30" s="1"/>
  <c r="M9" i="30" s="1"/>
  <c r="M10" i="30" s="1"/>
  <c r="M11" i="30" s="1"/>
  <c r="M12" i="30" s="1"/>
  <c r="M13" i="30" s="1"/>
  <c r="M14" i="30" s="1"/>
  <c r="M15" i="30" s="1"/>
  <c r="M16" i="30" s="1"/>
  <c r="M17" i="30" s="1"/>
  <c r="M18" i="30" s="1"/>
  <c r="M19" i="30" s="1"/>
  <c r="M20" i="30" s="1"/>
  <c r="M21" i="30" s="1"/>
  <c r="M22" i="30" s="1"/>
  <c r="M23" i="30" s="1"/>
  <c r="M24" i="30" s="1"/>
  <c r="M25" i="30" s="1"/>
  <c r="M26" i="30" s="1"/>
  <c r="M27" i="30" s="1"/>
  <c r="M28" i="30" s="1"/>
  <c r="M29" i="30" s="1"/>
  <c r="M30" i="30" s="1"/>
  <c r="M31" i="30" s="1"/>
  <c r="M32" i="30" s="1"/>
  <c r="M33" i="30" s="1"/>
  <c r="K8" i="8"/>
  <c r="K7" i="16"/>
  <c r="K7" i="5"/>
  <c r="J30" i="12"/>
  <c r="L4" i="19"/>
  <c r="G32" i="19"/>
  <c r="K7" i="7"/>
  <c r="J4" i="32"/>
  <c r="L9" i="19"/>
  <c r="K25" i="18"/>
  <c r="K5" i="24"/>
  <c r="K8" i="6"/>
  <c r="K4" i="7"/>
  <c r="M4" i="11"/>
  <c r="L8" i="20"/>
  <c r="M4" i="14"/>
  <c r="M5" i="14" s="1"/>
  <c r="M6" i="14" s="1"/>
  <c r="M7" i="14" s="1"/>
  <c r="M8" i="14" s="1"/>
  <c r="M9" i="14" s="1"/>
  <c r="M10" i="14" s="1"/>
  <c r="K4" i="16"/>
  <c r="K17" i="25"/>
  <c r="K18" i="25"/>
  <c r="K4" i="9"/>
  <c r="K4" i="10"/>
  <c r="K23" i="11"/>
  <c r="K4" i="8"/>
  <c r="K34" i="8" s="1"/>
  <c r="L4" i="16"/>
  <c r="M4" i="16"/>
  <c r="K4" i="2"/>
  <c r="K32" i="2" s="1"/>
  <c r="K12" i="9"/>
  <c r="K4" i="26"/>
  <c r="K23" i="26" s="1"/>
  <c r="K5" i="5"/>
  <c r="K17" i="24"/>
  <c r="K18" i="24"/>
  <c r="M11" i="14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L5" i="29"/>
  <c r="N5" i="29" s="1"/>
  <c r="N6" i="29" s="1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3" i="29" s="1"/>
  <c r="N134" i="29" s="1"/>
  <c r="N135" i="29" s="1"/>
  <c r="N136" i="29" s="1"/>
  <c r="N137" i="29" s="1"/>
  <c r="M4" i="8"/>
  <c r="M5" i="8" s="1"/>
  <c r="M6" i="8" s="1"/>
  <c r="K11" i="10"/>
  <c r="M5" i="11"/>
  <c r="M6" i="11" s="1"/>
  <c r="M7" i="11" s="1"/>
  <c r="M8" i="11" s="1"/>
  <c r="M9" i="11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K4" i="24"/>
  <c r="K16" i="24"/>
  <c r="K15" i="24"/>
  <c r="K14" i="24"/>
  <c r="K13" i="24"/>
  <c r="K12" i="24"/>
  <c r="K32" i="24" s="1"/>
  <c r="K36" i="24" s="1"/>
  <c r="K11" i="24"/>
  <c r="K10" i="24"/>
  <c r="K9" i="24"/>
  <c r="K8" i="24"/>
  <c r="K7" i="24"/>
  <c r="M5" i="16"/>
  <c r="M6" i="16" s="1"/>
  <c r="M7" i="16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K4" i="20"/>
  <c r="K4" i="25"/>
  <c r="K26" i="25"/>
  <c r="K16" i="25"/>
  <c r="K15" i="25"/>
  <c r="K14" i="25"/>
  <c r="L32" i="25"/>
  <c r="K12" i="25"/>
  <c r="K11" i="25"/>
  <c r="K10" i="25"/>
  <c r="K9" i="25"/>
  <c r="K8" i="25"/>
  <c r="K7" i="25"/>
  <c r="K6" i="25"/>
  <c r="K5" i="25"/>
  <c r="M5" i="6"/>
  <c r="M6" i="6" s="1"/>
  <c r="M7" i="6" s="1"/>
  <c r="M8" i="6" s="1"/>
  <c r="K4" i="23"/>
  <c r="K19" i="23"/>
  <c r="K18" i="23"/>
  <c r="K17" i="23"/>
  <c r="K16" i="23"/>
  <c r="K15" i="23"/>
  <c r="K14" i="23"/>
  <c r="K13" i="23"/>
  <c r="K12" i="23"/>
  <c r="K11" i="23"/>
  <c r="K10" i="23"/>
  <c r="K9" i="23"/>
  <c r="K8" i="23"/>
  <c r="K7" i="23"/>
  <c r="K5" i="23"/>
  <c r="M4" i="17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K12" i="18"/>
  <c r="K10" i="18"/>
  <c r="K9" i="18"/>
  <c r="K33" i="18" s="1"/>
  <c r="M4" i="5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K4" i="15"/>
  <c r="K32" i="15" s="1"/>
  <c r="K4" i="3"/>
  <c r="K33" i="43" l="1"/>
  <c r="K32" i="9"/>
  <c r="L31" i="40"/>
  <c r="M29" i="17"/>
  <c r="M30" i="17" s="1"/>
  <c r="M31" i="17" s="1"/>
  <c r="M29" i="8"/>
  <c r="M30" i="8" s="1"/>
  <c r="M31" i="8" s="1"/>
  <c r="M32" i="8" s="1"/>
  <c r="M25" i="5"/>
  <c r="M26" i="5" s="1"/>
  <c r="M27" i="5" s="1"/>
  <c r="M28" i="5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L4" i="35"/>
  <c r="L43" i="35" s="1"/>
  <c r="K44" i="34"/>
  <c r="L4" i="34"/>
  <c r="L4" i="33"/>
  <c r="L44" i="33" s="1"/>
  <c r="M4" i="24"/>
  <c r="M5" i="24" s="1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9" i="6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4" i="7"/>
  <c r="M5" i="7" s="1"/>
  <c r="M6" i="7" s="1"/>
  <c r="M7" i="7" s="1"/>
  <c r="M8" i="7" s="1"/>
  <c r="M9" i="7" s="1"/>
  <c r="M10" i="7" s="1"/>
  <c r="M11" i="7" s="1"/>
  <c r="M12" i="7" s="1"/>
  <c r="M13" i="7" s="1"/>
  <c r="M4" i="23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4" i="25"/>
  <c r="M4" i="9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0" i="9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L4" i="26"/>
  <c r="L23" i="26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4" i="22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5" i="25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5" i="23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4" i="3"/>
  <c r="M5" i="3" s="1"/>
  <c r="M6" i="3" s="1"/>
  <c r="M7" i="3" s="1"/>
  <c r="M8" i="3" s="1"/>
  <c r="L4" i="20"/>
  <c r="F39" i="23"/>
  <c r="M33" i="43" l="1"/>
  <c r="L32" i="40"/>
  <c r="M31" i="40"/>
  <c r="M21" i="37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15" i="22"/>
  <c r="M16" i="22" s="1"/>
  <c r="M17" i="22" s="1"/>
  <c r="M18" i="22" s="1"/>
  <c r="M19" i="22" s="1"/>
  <c r="M20" i="22" s="1"/>
  <c r="M21" i="22" s="1"/>
  <c r="M24" i="23"/>
  <c r="M25" i="23" s="1"/>
  <c r="M26" i="23" s="1"/>
  <c r="M27" i="23" s="1"/>
  <c r="M28" i="23" s="1"/>
  <c r="M29" i="23" s="1"/>
  <c r="M30" i="23" s="1"/>
  <c r="M31" i="23" s="1"/>
  <c r="F40" i="23"/>
  <c r="F41" i="23" s="1"/>
  <c r="M4" i="20"/>
  <c r="M5" i="20" s="1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M3" authorId="0" shapeId="0" xr:uid="{C9A01949-3A49-4A33-A5C7-67350E79F084}">
      <text>
        <r>
          <rPr>
            <sz val="11"/>
            <color theme="1"/>
            <rFont val="Calibri"/>
            <family val="2"/>
            <scheme val="minor"/>
          </rPr>
          <t>MIS:
this payment is for JK Makavi fuel station. 
amount paid on 10.02.2025 through account transfer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tc={D3860396-7C09-4E3D-97B9-42AB77A5450F}</author>
  </authors>
  <commentList>
    <comment ref="F136" authorId="0" shapeId="0" xr:uid="{D3860396-7C09-4E3D-97B9-42AB77A5450F}">
      <text>
        <t>[Threaded comment]
Your version of Excel allows you to read this threaded comment; however, any edits to it will get removed if the file is opened in a newer version of Excel. Learn more: https://go.microsoft.com/fwlink/?linkid=870924
Comment:
     'LUBRICANT 50000 Include</t>
      </text>
    </comment>
  </commentList>
</comments>
</file>

<file path=xl/sharedStrings.xml><?xml version="1.0" encoding="utf-8"?>
<sst xmlns="http://schemas.openxmlformats.org/spreadsheetml/2006/main" count="1720" uniqueCount="287">
  <si>
    <t>Pallavi Petrolium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</si>
  <si>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</si>
  <si>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</si>
  <si>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</si>
  <si>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</si>
  <si>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</si>
  <si>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</si>
  <si>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</si>
  <si>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</si>
  <si>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</si>
  <si>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</si>
  <si>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</si>
  <si>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</si>
  <si>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</si>
  <si>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 </t>
  </si>
  <si>
    <t>Lakshmi Manikanta Filling Station</t>
  </si>
  <si>
    <t>1047/1048</t>
  </si>
  <si>
    <t>1050/1151</t>
  </si>
  <si>
    <t>1154/1155/1156</t>
  </si>
  <si>
    <t>1157/1158</t>
  </si>
  <si>
    <t>1160/1161/1162</t>
  </si>
  <si>
    <t>1163/1164</t>
  </si>
  <si>
    <t>1167/1168</t>
  </si>
  <si>
    <t>1169/1170/1171</t>
  </si>
  <si>
    <t>1175/1176</t>
  </si>
  <si>
    <t>1177/1178/1179/1180</t>
  </si>
  <si>
    <t>Sri Ramakotaiah Fuel Point</t>
  </si>
  <si>
    <t>As 0n Date</t>
  </si>
  <si>
    <t>145/146</t>
  </si>
  <si>
    <t>147/148</t>
  </si>
  <si>
    <t>149/150</t>
  </si>
  <si>
    <t>151/152</t>
  </si>
  <si>
    <t>153/154/155/</t>
  </si>
  <si>
    <t>156/157</t>
  </si>
  <si>
    <t>158/159</t>
  </si>
  <si>
    <t>160/161</t>
  </si>
  <si>
    <t>162/163</t>
  </si>
  <si>
    <t>164/165/166/167</t>
  </si>
  <si>
    <t>168/169</t>
  </si>
  <si>
    <t>.</t>
  </si>
  <si>
    <t>170/171/172</t>
  </si>
  <si>
    <t>173/174</t>
  </si>
  <si>
    <t>175/176/177</t>
  </si>
  <si>
    <t>178/179</t>
  </si>
  <si>
    <t>181/182</t>
  </si>
  <si>
    <t>184/185/186</t>
  </si>
  <si>
    <t>187/188</t>
  </si>
  <si>
    <t>189/190/191/192</t>
  </si>
  <si>
    <t>193/194/195</t>
  </si>
  <si>
    <t>196/197/198/199</t>
  </si>
  <si>
    <t>Sai Baba Fuel Station</t>
  </si>
  <si>
    <t>As on date</t>
  </si>
  <si>
    <t>Bhavani Filling Station</t>
  </si>
  <si>
    <t xml:space="preserve">Uttara Enterprises </t>
  </si>
  <si>
    <t>petrol</t>
  </si>
  <si>
    <t>Vishal Service Station</t>
  </si>
  <si>
    <t>Merchant Petroliums</t>
  </si>
  <si>
    <t xml:space="preserve"> IOCL - Card Swipe </t>
  </si>
  <si>
    <t>1458/1459</t>
  </si>
  <si>
    <t>4488/4486</t>
  </si>
  <si>
    <t>1466/1469/1470</t>
  </si>
  <si>
    <t>B4805/FEB-831094/FEB-831097</t>
  </si>
  <si>
    <t>1474/1475</t>
  </si>
  <si>
    <t>FEB-832105/832106</t>
  </si>
  <si>
    <t>1477/1478</t>
  </si>
  <si>
    <t>B1016/Feb-833456/B8051</t>
  </si>
  <si>
    <t>1481/1482</t>
  </si>
  <si>
    <t>4702&amp;4701/B1088</t>
  </si>
  <si>
    <t>Sri Vishnu Baba Petroleum</t>
  </si>
  <si>
    <t>Sri Ramanjuneya Service Station</t>
  </si>
  <si>
    <t>Sreenithya Petroleum</t>
  </si>
  <si>
    <t>Date of payment</t>
  </si>
  <si>
    <t>Sri Sai Petrol Pump</t>
  </si>
  <si>
    <t>S.no</t>
  </si>
  <si>
    <t>Site Name</t>
  </si>
  <si>
    <t>bunk Name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</si>
  <si>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</si>
  <si>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</si>
  <si>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</si>
  <si>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</si>
  <si>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</si>
  <si>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</si>
  <si>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</si>
  <si>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</si>
  <si>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</si>
  <si>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>Khammam-2</t>
  </si>
  <si>
    <t>Jedcherla-1</t>
  </si>
  <si>
    <t>Jadcherla-2</t>
  </si>
  <si>
    <t>Jadcherla-3</t>
  </si>
  <si>
    <t>Sangareddy</t>
  </si>
  <si>
    <t>Shree lakshmi ganapathi F/S</t>
  </si>
  <si>
    <t>YG Gudda</t>
  </si>
  <si>
    <t>Hosadurga</t>
  </si>
  <si>
    <t>Malebenur(KUWASDB)</t>
  </si>
  <si>
    <t>Kadur</t>
  </si>
  <si>
    <t>Hiriyur(VJNL)</t>
  </si>
  <si>
    <t>Sri Balaji Agencies</t>
  </si>
  <si>
    <t>Chellakere(KUWSDB)</t>
  </si>
  <si>
    <t>Munavalli</t>
  </si>
  <si>
    <t>Shahapur Petroleum</t>
  </si>
  <si>
    <t>Khanapur</t>
  </si>
  <si>
    <t>J K Makavi</t>
  </si>
  <si>
    <t>Ugar,Kudichi</t>
  </si>
  <si>
    <t>Shiri Bhrhmanath Petrolium</t>
  </si>
  <si>
    <t>Kabbur</t>
  </si>
  <si>
    <t>Shri Jai Hanuman Petrolium</t>
  </si>
  <si>
    <t>Borgaon</t>
  </si>
  <si>
    <t>Aadisagar Petrolium</t>
  </si>
  <si>
    <t xml:space="preserve">Kumta </t>
  </si>
  <si>
    <t>Krishma fuel station</t>
  </si>
  <si>
    <t>Jalgaon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</si>
  <si>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</si>
  <si>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</si>
  <si>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</si>
  <si>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</si>
  <si>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</si>
  <si>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</si>
  <si>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</si>
  <si>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 Shree Siri Gowari petroliam</t>
  </si>
  <si>
    <t>Gajendragada</t>
  </si>
  <si>
    <t>Vanasri Petrol Pump</t>
  </si>
  <si>
    <t>Ghattaprabha</t>
  </si>
  <si>
    <t>Vivek Petrol Pump</t>
  </si>
  <si>
    <t>Gokak</t>
  </si>
  <si>
    <t>AJ Petrolinks</t>
  </si>
  <si>
    <t>Ankalgi</t>
  </si>
  <si>
    <t>Niwarini pertoliam</t>
  </si>
  <si>
    <t>Talikote</t>
  </si>
  <si>
    <t>Raykar Oil Agencies</t>
  </si>
  <si>
    <t>Chadchan</t>
  </si>
  <si>
    <t>Khavekar Petrolium</t>
  </si>
  <si>
    <t>Sindagi</t>
  </si>
  <si>
    <t>Shiddeshwar Petroleums</t>
  </si>
  <si>
    <t>Muddebihal</t>
  </si>
  <si>
    <t xml:space="preserve"> Bhosle Service Station</t>
  </si>
  <si>
    <t>Almela</t>
  </si>
  <si>
    <t>Srirangapatna</t>
  </si>
  <si>
    <t>Sri Chakra Fuel Station</t>
  </si>
  <si>
    <t>Total</t>
  </si>
  <si>
    <t>Ind no/Bill No</t>
  </si>
  <si>
    <t>Payment Amount</t>
  </si>
  <si>
    <t xml:space="preserve">Opening Balance- 100,000.00 	</t>
  </si>
  <si>
    <t>30.01.2025</t>
  </si>
  <si>
    <t>Cash Payment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</si>
  <si>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</si>
  <si>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</si>
  <si>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</si>
  <si>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</si>
  <si>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</si>
  <si>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</si>
  <si>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</si>
  <si>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</si>
  <si>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</si>
  <si>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</si>
  <si>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</si>
  <si>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</si>
  <si>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</si>
  <si>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</si>
  <si>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</si>
  <si>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</si>
  <si>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</si>
  <si>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</si>
  <si>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</si>
  <si>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</si>
  <si>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</si>
  <si>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</si>
  <si>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</si>
  <si>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</si>
  <si>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</si>
  <si>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</si>
  <si>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</si>
  <si>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</si>
  <si>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IOCL CARD</t>
  </si>
  <si>
    <t>NA</t>
  </si>
  <si>
    <t>IOCL Card</t>
  </si>
  <si>
    <t>G.P Porwal</t>
  </si>
  <si>
    <t>Cash</t>
  </si>
  <si>
    <t>IOCL Card/Cash</t>
  </si>
  <si>
    <t>23.02.2025</t>
  </si>
  <si>
    <t>16.02.2024</t>
  </si>
  <si>
    <t>28.2.2025</t>
  </si>
  <si>
    <t>Payable Amount</t>
  </si>
  <si>
    <t xml:space="preserve"> Opening Balance </t>
  </si>
  <si>
    <t>Balance Amount</t>
  </si>
  <si>
    <t>BPCL/HO</t>
  </si>
  <si>
    <t>V.V.Varde</t>
  </si>
  <si>
    <t>Nirwani Petroleums</t>
  </si>
  <si>
    <t>Cash Transfer</t>
  </si>
  <si>
    <t>IOCL Card Ledger</t>
  </si>
  <si>
    <t>Petrol Bunk Name</t>
  </si>
  <si>
    <t>Location</t>
  </si>
  <si>
    <t>Card No</t>
  </si>
  <si>
    <t>Recharge Amount</t>
  </si>
  <si>
    <t>Redeem</t>
  </si>
  <si>
    <t>Loyalty Redeem</t>
  </si>
  <si>
    <t>KRISHNA FUEL STATION</t>
  </si>
  <si>
    <t>KUMTA</t>
  </si>
  <si>
    <t>7126022478060039</t>
  </si>
  <si>
    <t>BHOSLE SERVICE STATION</t>
  </si>
  <si>
    <t>7126022478060245</t>
  </si>
  <si>
    <t>RAYKAR OIL AGENCIES</t>
  </si>
  <si>
    <t>7126022478060252</t>
  </si>
  <si>
    <t>SHIVALINGESHWAR PETROLEUM</t>
  </si>
  <si>
    <t>Guttal Road</t>
  </si>
  <si>
    <t>7126022478060096</t>
  </si>
  <si>
    <t>SRI RAMANJANEYA SERVICE STN</t>
  </si>
  <si>
    <t>NITTUR CROSS      -DAVANGERE</t>
  </si>
  <si>
    <t>7126022478060120</t>
  </si>
  <si>
    <t>MERCHANT PETROLEUMS</t>
  </si>
  <si>
    <t>HOSADURGA</t>
  </si>
  <si>
    <t>7126022478060187</t>
  </si>
  <si>
    <t>SREE VISHNUBABA PETROLEUM</t>
  </si>
  <si>
    <t>Chellakere</t>
  </si>
  <si>
    <t>7126022478060146</t>
  </si>
  <si>
    <t>SHRI SAI PETROL PUMP</t>
  </si>
  <si>
    <t>MALKAPUR CITY</t>
  </si>
  <si>
    <t>7126022478060062</t>
  </si>
  <si>
    <t>PALLAVI PETROLEUM</t>
  </si>
  <si>
    <t>Ramanagaram</t>
  </si>
  <si>
    <t>7126022478060138</t>
  </si>
  <si>
    <t>G.P.PORWAL</t>
  </si>
  <si>
    <t>7126022478060237</t>
  </si>
  <si>
    <t>SHREE SIRI GOWRI PETROLEUM</t>
  </si>
  <si>
    <t>MASUR</t>
  </si>
  <si>
    <t>7126022478060286</t>
  </si>
  <si>
    <t>SIDDESWARA PETROLEUMS</t>
  </si>
  <si>
    <t>JAYARAM FUEL STATION</t>
  </si>
  <si>
    <t>MYSORE</t>
  </si>
  <si>
    <t>7126022478060179</t>
  </si>
  <si>
    <t>TAWARE FILLING STATION</t>
  </si>
  <si>
    <t>Guital</t>
  </si>
  <si>
    <t>7126022478060278</t>
  </si>
  <si>
    <t>Minerva Service Station</t>
  </si>
  <si>
    <t>Honnalli</t>
  </si>
  <si>
    <t>SREENITHYA PETROLEUM</t>
  </si>
  <si>
    <t>Challakere</t>
  </si>
  <si>
    <t>SRI CHAKRA FUEL STATION</t>
  </si>
  <si>
    <t>7126022478060104</t>
  </si>
  <si>
    <t>SINDGI</t>
  </si>
  <si>
    <t>NIRWANI PETROLEUMS</t>
  </si>
  <si>
    <t>7126022478060047</t>
  </si>
  <si>
    <t>Hiriyur</t>
  </si>
  <si>
    <t>7126022478060161</t>
  </si>
  <si>
    <t>NAGAREMGERE</t>
  </si>
  <si>
    <t>SHREE LAKSHMI GANAPATHI FILLING STATION</t>
  </si>
  <si>
    <t>Pulkal Mandal</t>
  </si>
  <si>
    <t>7161000000114868</t>
  </si>
  <si>
    <t>SHRI JAI HANUMAN PETROLEUMS</t>
  </si>
  <si>
    <t>KABBUR</t>
  </si>
  <si>
    <t>7126022478060195</t>
  </si>
  <si>
    <t>M/S. NH-9 Durga Indhan</t>
  </si>
  <si>
    <t xml:space="preserve">Kandi   Sangareddy. </t>
  </si>
  <si>
    <t>7126022478060211</t>
  </si>
  <si>
    <t xml:space="preserve">NITTUR CROSS </t>
  </si>
  <si>
    <t>AWATI PETROLEUMS</t>
  </si>
  <si>
    <t>Bandal</t>
  </si>
  <si>
    <t>ff</t>
  </si>
  <si>
    <t>BPCL Card Ledger</t>
  </si>
  <si>
    <t>V.V.VARDE BHARAT PETROLEUM DEALERS</t>
  </si>
  <si>
    <t>FC8000207649</t>
  </si>
  <si>
    <t>LAKSHMI MANIKANTA FILLING STAT</t>
  </si>
  <si>
    <t>FC3450563997</t>
  </si>
  <si>
    <t xml:space="preserve">SAI BABA FILLING STATION  </t>
  </si>
  <si>
    <t>FC3450563998</t>
  </si>
  <si>
    <t xml:space="preserve">SHAHAPUR PETROLEUM </t>
  </si>
  <si>
    <t>FC8000207648</t>
  </si>
  <si>
    <t xml:space="preserve">MAHMOOD FILLING STATION </t>
  </si>
  <si>
    <t>FC3450563999</t>
  </si>
  <si>
    <t xml:space="preserve">SHREE SAI SAMARTH PETROLEUM  </t>
  </si>
  <si>
    <t>FC0323247261</t>
  </si>
  <si>
    <t xml:space="preserve">SANDHYA FUEL STATION </t>
  </si>
  <si>
    <t xml:space="preserve">PREMIUM FUELS </t>
  </si>
  <si>
    <t>JUBILEE HILLS FILL. STN</t>
  </si>
  <si>
    <t xml:space="preserve">SAI PRIYA FILLING STATION  </t>
  </si>
  <si>
    <t>FC8000207658</t>
  </si>
  <si>
    <t xml:space="preserve">SANDHYA FUEL STATION  </t>
  </si>
  <si>
    <t xml:space="preserve">SAI PRIYA FILLING STATION </t>
  </si>
  <si>
    <t>BP RUDRARAM BHARAT PETROLEUM DEALERS</t>
  </si>
  <si>
    <t>HPCL Card Ledger</t>
  </si>
  <si>
    <t>Recharge</t>
  </si>
  <si>
    <t>Purchase</t>
  </si>
  <si>
    <t>Fuel Station</t>
  </si>
  <si>
    <t>Site/Veh No.</t>
  </si>
  <si>
    <t>Card Balance</t>
  </si>
  <si>
    <t>M/s. Sri Rama Kotaiah Fuel Point</t>
  </si>
  <si>
    <t xml:space="preserve">Khammam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</si>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</sst>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d\-mmm\-yy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charset val="134"/>
    </font>
    <font>
      <b/>
      <sz val="11"/>
      <color rgb="FF000000"/>
      <name val="Calibri"/>
    </font>
    <font>
      <sz val="11"/>
      <color rgb="FF000000"/>
      <name val="Arial"/>
    </font>
    <font>
      <sz val="11"/>
      <color theme="1"/>
      <name val="Calibri"/>
      <family val="2"/>
    </font>
    <font>
      <sz val="11"/>
      <color theme="1"/>
      <name val="Cambria"/>
      <charset val="134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2"/>
      <color theme="0"/>
      <name val="Calibri"/>
      <charset val="1"/>
    </font>
    <font>
      <sz val="11"/>
      <color theme="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78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8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9" xfId="1" applyFont="1" applyBorder="1" applyAlignment="1">
      <alignment vertical="center"/>
    </xf>
    <xf numFmtId="0" fontId="6" fillId="0" borderId="10" xfId="0" applyFont="1" applyBorder="1" applyAlignment="1">
      <alignment horizontal="center"/>
    </xf>
    <xf numFmtId="164" fontId="4" fillId="0" borderId="2" xfId="1" applyFont="1" applyBorder="1" applyAlignment="1">
      <alignment horizontal="center" vertical="top"/>
    </xf>
    <xf numFmtId="164" fontId="4" fillId="0" borderId="9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center"/>
    </xf>
    <xf numFmtId="0" fontId="0" fillId="0" borderId="8" xfId="0" applyBorder="1"/>
    <xf numFmtId="0" fontId="4" fillId="0" borderId="8" xfId="0" applyFont="1" applyBorder="1" applyAlignment="1">
      <alignment horizontal="center" vertical="center" wrapText="1"/>
    </xf>
    <xf numFmtId="164" fontId="4" fillId="0" borderId="17" xfId="1" applyFont="1" applyBorder="1" applyAlignment="1">
      <alignment horizontal="center" vertical="center"/>
    </xf>
    <xf numFmtId="164" fontId="4" fillId="0" borderId="10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164" fontId="10" fillId="0" borderId="8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64" fontId="11" fillId="0" borderId="2" xfId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64" fontId="11" fillId="0" borderId="9" xfId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64" fontId="11" fillId="0" borderId="8" xfId="1" applyFont="1" applyFill="1" applyBorder="1" applyAlignment="1">
      <alignment horizontal="center" vertical="center"/>
    </xf>
    <xf numFmtId="164" fontId="11" fillId="0" borderId="8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2" fontId="13" fillId="0" borderId="8" xfId="0" applyNumberFormat="1" applyFont="1" applyBorder="1" applyAlignment="1">
      <alignment horizontal="right" vertical="center"/>
    </xf>
    <xf numFmtId="2" fontId="0" fillId="0" borderId="8" xfId="0" applyNumberFormat="1" applyBorder="1"/>
    <xf numFmtId="164" fontId="4" fillId="0" borderId="8" xfId="1" applyFont="1" applyBorder="1" applyAlignment="1">
      <alignment horizontal="left" vertical="top"/>
    </xf>
    <xf numFmtId="164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right" vertical="center" wrapText="1"/>
    </xf>
    <xf numFmtId="43" fontId="4" fillId="0" borderId="8" xfId="0" applyNumberFormat="1" applyFont="1" applyBorder="1" applyAlignment="1">
      <alignment vertical="center" wrapText="1"/>
    </xf>
    <xf numFmtId="164" fontId="10" fillId="4" borderId="11" xfId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64" fontId="10" fillId="2" borderId="0" xfId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2" fontId="10" fillId="4" borderId="8" xfId="0" applyNumberFormat="1" applyFont="1" applyFill="1" applyBorder="1" applyAlignment="1">
      <alignment horizontal="center" vertical="center"/>
    </xf>
    <xf numFmtId="164" fontId="10" fillId="4" borderId="8" xfId="1" applyFont="1" applyFill="1" applyBorder="1" applyAlignment="1">
      <alignment horizontal="center" vertical="center"/>
    </xf>
    <xf numFmtId="0" fontId="6" fillId="0" borderId="8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3" fontId="4" fillId="0" borderId="8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43" fontId="4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14" fillId="0" borderId="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43" fontId="15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43" fontId="15" fillId="3" borderId="2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/>
    <xf numFmtId="2" fontId="5" fillId="4" borderId="8" xfId="0" applyNumberFormat="1" applyFont="1" applyFill="1" applyBorder="1" applyAlignment="1">
      <alignment horizontal="center" vertical="center"/>
    </xf>
    <xf numFmtId="164" fontId="5" fillId="4" borderId="8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/>
    </xf>
    <xf numFmtId="2" fontId="4" fillId="0" borderId="8" xfId="0" applyNumberFormat="1" applyFont="1" applyBorder="1"/>
    <xf numFmtId="0" fontId="4" fillId="0" borderId="8" xfId="0" applyFont="1" applyBorder="1" applyAlignment="1">
      <alignment vertical="center"/>
    </xf>
    <xf numFmtId="164" fontId="4" fillId="0" borderId="8" xfId="1" applyFont="1" applyBorder="1" applyAlignment="1">
      <alignment horizontal="center" vertical="top"/>
    </xf>
    <xf numFmtId="164" fontId="11" fillId="0" borderId="10" xfId="1" applyFont="1" applyBorder="1" applyAlignment="1">
      <alignment horizontal="center" vertical="center"/>
    </xf>
    <xf numFmtId="1" fontId="4" fillId="0" borderId="4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" fontId="4" fillId="0" borderId="7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164" fontId="4" fillId="4" borderId="8" xfId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4" fillId="0" borderId="8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8" xfId="0" applyNumberFormat="1" applyFont="1" applyBorder="1" applyAlignment="1">
      <alignment vertical="center"/>
    </xf>
    <xf numFmtId="0" fontId="15" fillId="3" borderId="8" xfId="0" applyFont="1" applyFill="1" applyBorder="1" applyAlignment="1">
      <alignment horizontal="center" vertical="center" wrapText="1"/>
    </xf>
    <xf numFmtId="43" fontId="15" fillId="3" borderId="8" xfId="0" applyNumberFormat="1" applyFont="1" applyFill="1" applyBorder="1" applyAlignment="1">
      <alignment horizontal="center" vertical="center" wrapText="1"/>
    </xf>
    <xf numFmtId="43" fontId="15" fillId="3" borderId="8" xfId="0" applyNumberFormat="1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2" fontId="15" fillId="3" borderId="8" xfId="0" applyNumberFormat="1" applyFont="1" applyFill="1" applyBorder="1" applyAlignment="1">
      <alignment horizontal="center" vertical="center" wrapText="1"/>
    </xf>
    <xf numFmtId="2" fontId="1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7" xfId="0" applyFont="1" applyBorder="1"/>
    <xf numFmtId="0" fontId="9" fillId="0" borderId="8" xfId="0" applyFont="1" applyBorder="1"/>
    <xf numFmtId="0" fontId="0" fillId="0" borderId="18" xfId="0" applyBorder="1"/>
    <xf numFmtId="0" fontId="19" fillId="0" borderId="8" xfId="0" applyFont="1" applyBorder="1"/>
    <xf numFmtId="2" fontId="19" fillId="0" borderId="8" xfId="0" applyNumberFormat="1" applyFont="1" applyBorder="1"/>
    <xf numFmtId="0" fontId="0" fillId="0" borderId="15" xfId="0" applyBorder="1"/>
    <xf numFmtId="0" fontId="15" fillId="3" borderId="1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8" xfId="0" applyFont="1" applyFill="1" applyBorder="1" applyAlignment="1">
      <alignment horizontal="center" vertical="center"/>
    </xf>
    <xf numFmtId="43" fontId="4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/>
    <xf numFmtId="164" fontId="10" fillId="4" borderId="23" xfId="1" applyFont="1" applyFill="1" applyBorder="1" applyAlignment="1">
      <alignment horizontal="center" vertical="center"/>
    </xf>
    <xf numFmtId="164" fontId="11" fillId="0" borderId="13" xfId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12" fillId="3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4" fontId="4" fillId="0" borderId="24" xfId="1" applyFont="1" applyFill="1" applyBorder="1" applyAlignment="1">
      <alignment horizontal="center" vertical="center"/>
    </xf>
    <xf numFmtId="43" fontId="12" fillId="3" borderId="22" xfId="0" applyNumberFormat="1" applyFont="1" applyFill="1" applyBorder="1" applyAlignment="1">
      <alignment horizontal="center" vertical="center" wrapText="1"/>
    </xf>
    <xf numFmtId="43" fontId="12" fillId="3" borderId="9" xfId="0" applyNumberFormat="1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/>
    </xf>
    <xf numFmtId="0" fontId="12" fillId="3" borderId="9" xfId="0" applyFont="1" applyFill="1" applyBorder="1" applyAlignment="1">
      <alignment horizontal="center" vertical="center"/>
    </xf>
    <xf numFmtId="43" fontId="12" fillId="3" borderId="9" xfId="0" applyNumberFormat="1" applyFont="1" applyFill="1" applyBorder="1" applyAlignment="1">
      <alignment horizontal="center" vertical="center"/>
    </xf>
    <xf numFmtId="43" fontId="12" fillId="3" borderId="22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14" fillId="0" borderId="10" xfId="3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" fontId="7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/>
    </xf>
    <xf numFmtId="0" fontId="15" fillId="3" borderId="1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43" fontId="15" fillId="3" borderId="18" xfId="0" applyNumberFormat="1" applyFont="1" applyFill="1" applyBorder="1" applyAlignment="1">
      <alignment horizontal="center" vertical="center" wrapText="1"/>
    </xf>
    <xf numFmtId="43" fontId="15" fillId="3" borderId="18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164" fontId="4" fillId="0" borderId="17" xfId="0" applyNumberFormat="1" applyFont="1" applyBorder="1" applyAlignment="1">
      <alignment vertical="center"/>
    </xf>
    <xf numFmtId="164" fontId="4" fillId="0" borderId="17" xfId="1" applyFont="1" applyBorder="1" applyAlignment="1">
      <alignment horizontal="center" vertical="top"/>
    </xf>
    <xf numFmtId="4" fontId="4" fillId="0" borderId="8" xfId="0" applyNumberFormat="1" applyFont="1" applyBorder="1" applyAlignment="1">
      <alignment horizontal="right"/>
    </xf>
    <xf numFmtId="164" fontId="4" fillId="0" borderId="8" xfId="1" applyFont="1" applyBorder="1" applyAlignment="1">
      <alignment horizontal="right" vertical="top"/>
    </xf>
    <xf numFmtId="164" fontId="10" fillId="0" borderId="8" xfId="1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26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164" fontId="0" fillId="0" borderId="0" xfId="0" applyNumberFormat="1"/>
    <xf numFmtId="43" fontId="0" fillId="0" borderId="8" xfId="0" applyNumberFormat="1" applyBorder="1"/>
    <xf numFmtId="164" fontId="22" fillId="0" borderId="28" xfId="1" applyFont="1" applyBorder="1" applyAlignment="1">
      <alignment horizontal="center"/>
    </xf>
    <xf numFmtId="0" fontId="0" fillId="0" borderId="17" xfId="0" applyBorder="1"/>
    <xf numFmtId="43" fontId="15" fillId="3" borderId="9" xfId="0" applyNumberFormat="1" applyFont="1" applyFill="1" applyBorder="1" applyAlignment="1">
      <alignment horizontal="center" vertical="center" wrapText="1"/>
    </xf>
    <xf numFmtId="43" fontId="15" fillId="3" borderId="9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10" xfId="1" applyFont="1" applyBorder="1" applyAlignment="1">
      <alignment horizontal="center" vertical="top"/>
    </xf>
    <xf numFmtId="164" fontId="4" fillId="0" borderId="10" xfId="1" applyFont="1" applyBorder="1" applyAlignment="1">
      <alignment vertical="center"/>
    </xf>
    <xf numFmtId="43" fontId="15" fillId="3" borderId="22" xfId="0" applyNumberFormat="1" applyFont="1" applyFill="1" applyBorder="1" applyAlignment="1">
      <alignment horizontal="center" vertical="center"/>
    </xf>
    <xf numFmtId="4" fontId="21" fillId="0" borderId="8" xfId="0" applyNumberFormat="1" applyFont="1" applyBorder="1"/>
    <xf numFmtId="43" fontId="4" fillId="0" borderId="17" xfId="0" applyNumberFormat="1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43" fontId="4" fillId="0" borderId="17" xfId="0" applyNumberFormat="1" applyFont="1" applyBorder="1" applyAlignment="1">
      <alignment horizontal="center" vertical="center" wrapText="1"/>
    </xf>
    <xf numFmtId="164" fontId="0" fillId="0" borderId="16" xfId="0" applyNumberFormat="1" applyBorder="1"/>
    <xf numFmtId="0" fontId="12" fillId="3" borderId="1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43" fontId="4" fillId="2" borderId="8" xfId="0" applyNumberFormat="1" applyFont="1" applyFill="1" applyBorder="1" applyAlignment="1">
      <alignment horizontal="center" vertical="center" wrapText="1"/>
    </xf>
    <xf numFmtId="43" fontId="4" fillId="2" borderId="8" xfId="0" applyNumberFormat="1" applyFont="1" applyFill="1" applyBorder="1" applyAlignment="1">
      <alignment horizontal="center" vertical="center"/>
    </xf>
    <xf numFmtId="43" fontId="6" fillId="2" borderId="8" xfId="0" applyNumberFormat="1" applyFont="1" applyFill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64" fontId="4" fillId="0" borderId="10" xfId="0" applyNumberFormat="1" applyFont="1" applyBorder="1" applyAlignment="1">
      <alignment vertical="center"/>
    </xf>
    <xf numFmtId="166" fontId="4" fillId="0" borderId="17" xfId="0" applyNumberFormat="1" applyFont="1" applyBorder="1" applyAlignment="1">
      <alignment horizontal="center"/>
    </xf>
    <xf numFmtId="2" fontId="4" fillId="0" borderId="17" xfId="0" applyNumberFormat="1" applyFont="1" applyBorder="1"/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43" fontId="15" fillId="2" borderId="8" xfId="0" applyNumberFormat="1" applyFont="1" applyFill="1" applyBorder="1" applyAlignment="1">
      <alignment horizontal="center" vertical="center" wrapText="1"/>
    </xf>
    <xf numFmtId="43" fontId="15" fillId="2" borderId="8" xfId="0" applyNumberFormat="1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vertical="center"/>
    </xf>
    <xf numFmtId="2" fontId="5" fillId="4" borderId="17" xfId="0" applyNumberFormat="1" applyFont="1" applyFill="1" applyBorder="1" applyAlignment="1">
      <alignment horizontal="center" vertical="center"/>
    </xf>
    <xf numFmtId="164" fontId="5" fillId="4" borderId="17" xfId="1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right"/>
    </xf>
    <xf numFmtId="164" fontId="5" fillId="0" borderId="8" xfId="1" applyFont="1" applyBorder="1" applyAlignment="1">
      <alignment horizontal="center" vertical="center" indent="1"/>
    </xf>
    <xf numFmtId="0" fontId="6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43" fontId="12" fillId="3" borderId="8" xfId="0" applyNumberFormat="1" applyFont="1" applyFill="1" applyBorder="1" applyAlignment="1">
      <alignment horizontal="center" vertical="center"/>
    </xf>
    <xf numFmtId="0" fontId="0" fillId="2" borderId="8" xfId="0" applyFill="1" applyBorder="1"/>
    <xf numFmtId="0" fontId="20" fillId="2" borderId="8" xfId="0" applyFont="1" applyFill="1" applyBorder="1"/>
    <xf numFmtId="0" fontId="0" fillId="2" borderId="16" xfId="0" applyFill="1" applyBorder="1"/>
    <xf numFmtId="2" fontId="0" fillId="2" borderId="8" xfId="0" applyNumberFormat="1" applyFill="1" applyBorder="1"/>
    <xf numFmtId="2" fontId="0" fillId="2" borderId="18" xfId="0" applyNumberFormat="1" applyFill="1" applyBorder="1"/>
    <xf numFmtId="0" fontId="6" fillId="0" borderId="18" xfId="0" applyFont="1" applyBorder="1" applyAlignment="1">
      <alignment horizontal="center"/>
    </xf>
    <xf numFmtId="1" fontId="11" fillId="0" borderId="32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0" fontId="4" fillId="0" borderId="18" xfId="0" applyFont="1" applyBorder="1"/>
    <xf numFmtId="14" fontId="4" fillId="0" borderId="18" xfId="0" applyNumberFormat="1" applyFont="1" applyBorder="1" applyAlignment="1">
      <alignment horizontal="center"/>
    </xf>
    <xf numFmtId="166" fontId="4" fillId="0" borderId="18" xfId="0" applyNumberFormat="1" applyFont="1" applyBorder="1" applyAlignment="1">
      <alignment horizontal="center"/>
    </xf>
    <xf numFmtId="2" fontId="4" fillId="0" borderId="18" xfId="0" applyNumberFormat="1" applyFont="1" applyBorder="1"/>
    <xf numFmtId="2" fontId="4" fillId="0" borderId="18" xfId="0" applyNumberFormat="1" applyFont="1" applyBorder="1" applyAlignment="1">
      <alignment horizontal="right"/>
    </xf>
    <xf numFmtId="43" fontId="6" fillId="2" borderId="18" xfId="0" applyNumberFormat="1" applyFont="1" applyFill="1" applyBorder="1" applyAlignment="1">
      <alignment horizontal="center" vertical="center"/>
    </xf>
    <xf numFmtId="165" fontId="15" fillId="3" borderId="8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43" fontId="0" fillId="0" borderId="0" xfId="0" applyNumberFormat="1"/>
    <xf numFmtId="0" fontId="4" fillId="0" borderId="17" xfId="0" applyFont="1" applyBorder="1" applyAlignment="1">
      <alignment horizontal="center" vertical="center"/>
    </xf>
    <xf numFmtId="43" fontId="23" fillId="0" borderId="30" xfId="0" applyNumberFormat="1" applyFont="1" applyBorder="1"/>
    <xf numFmtId="0" fontId="0" fillId="0" borderId="33" xfId="0" applyBorder="1"/>
    <xf numFmtId="2" fontId="15" fillId="3" borderId="18" xfId="0" applyNumberFormat="1" applyFont="1" applyFill="1" applyBorder="1" applyAlignment="1">
      <alignment horizontal="center" vertical="center"/>
    </xf>
    <xf numFmtId="0" fontId="4" fillId="0" borderId="8" xfId="1" applyNumberFormat="1" applyFont="1" applyBorder="1" applyAlignment="1">
      <alignment vertical="center"/>
    </xf>
    <xf numFmtId="0" fontId="4" fillId="0" borderId="16" xfId="0" applyFont="1" applyBorder="1"/>
    <xf numFmtId="164" fontId="4" fillId="0" borderId="9" xfId="1" applyFont="1" applyBorder="1" applyAlignment="1">
      <alignment horizontal="center" vertical="center"/>
    </xf>
    <xf numFmtId="2" fontId="5" fillId="0" borderId="0" xfId="0" applyNumberFormat="1" applyFont="1"/>
    <xf numFmtId="0" fontId="11" fillId="0" borderId="18" xfId="0" applyFont="1" applyBorder="1" applyAlignment="1">
      <alignment horizontal="center" vertical="center" wrapText="1"/>
    </xf>
    <xf numFmtId="2" fontId="10" fillId="4" borderId="11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4" fontId="6" fillId="0" borderId="34" xfId="0" applyNumberFormat="1" applyFont="1" applyBorder="1" applyAlignment="1">
      <alignment horizontal="center"/>
    </xf>
    <xf numFmtId="2" fontId="10" fillId="4" borderId="0" xfId="0" applyNumberFormat="1" applyFont="1" applyFill="1" applyAlignment="1">
      <alignment horizontal="center" vertical="center"/>
    </xf>
    <xf numFmtId="164" fontId="10" fillId="4" borderId="0" xfId="1" applyFont="1" applyFill="1" applyBorder="1" applyAlignment="1">
      <alignment horizontal="center" vertical="center"/>
    </xf>
    <xf numFmtId="2" fontId="0" fillId="0" borderId="17" xfId="0" applyNumberFormat="1" applyBorder="1"/>
    <xf numFmtId="0" fontId="11" fillId="0" borderId="18" xfId="0" applyFont="1" applyBorder="1" applyAlignment="1">
      <alignment horizontal="center" vertical="center"/>
    </xf>
    <xf numFmtId="15" fontId="20" fillId="0" borderId="8" xfId="0" applyNumberFormat="1" applyFont="1" applyBorder="1"/>
    <xf numFmtId="0" fontId="20" fillId="0" borderId="18" xfId="0" applyFont="1" applyBorder="1"/>
    <xf numFmtId="2" fontId="10" fillId="4" borderId="36" xfId="0" applyNumberFormat="1" applyFont="1" applyFill="1" applyBorder="1" applyAlignment="1">
      <alignment horizontal="center" vertical="center"/>
    </xf>
    <xf numFmtId="164" fontId="4" fillId="0" borderId="16" xfId="1" applyFont="1" applyBorder="1" applyAlignment="1">
      <alignment vertical="center"/>
    </xf>
    <xf numFmtId="164" fontId="4" fillId="0" borderId="18" xfId="1" applyFont="1" applyBorder="1" applyAlignment="1">
      <alignment horizontal="center" vertical="center"/>
    </xf>
    <xf numFmtId="164" fontId="4" fillId="0" borderId="21" xfId="1" applyFont="1" applyBorder="1" applyAlignment="1">
      <alignment horizontal="center" vertical="top"/>
    </xf>
    <xf numFmtId="164" fontId="4" fillId="4" borderId="17" xfId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right" vertical="center" wrapText="1"/>
    </xf>
    <xf numFmtId="0" fontId="0" fillId="0" borderId="8" xfId="0" applyBorder="1" applyAlignment="1">
      <alignment horizontal="right"/>
    </xf>
    <xf numFmtId="164" fontId="4" fillId="0" borderId="13" xfId="1" applyFont="1" applyBorder="1" applyAlignment="1">
      <alignment horizontal="right" vertical="center"/>
    </xf>
    <xf numFmtId="164" fontId="4" fillId="0" borderId="8" xfId="1" applyFont="1" applyBorder="1" applyAlignment="1">
      <alignment horizontal="right" vertical="center"/>
    </xf>
    <xf numFmtId="164" fontId="4" fillId="0" borderId="0" xfId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43" fontId="15" fillId="3" borderId="9" xfId="0" applyNumberFormat="1" applyFont="1" applyFill="1" applyBorder="1" applyAlignment="1">
      <alignment horizontal="right" vertical="center" wrapText="1"/>
    </xf>
    <xf numFmtId="164" fontId="4" fillId="0" borderId="10" xfId="1" applyFont="1" applyBorder="1" applyAlignment="1">
      <alignment horizontal="right" vertical="center"/>
    </xf>
    <xf numFmtId="0" fontId="4" fillId="0" borderId="8" xfId="3" applyNumberFormat="1" applyFont="1" applyBorder="1" applyAlignment="1">
      <alignment vertical="center"/>
    </xf>
    <xf numFmtId="3" fontId="4" fillId="0" borderId="8" xfId="3" applyNumberFormat="1" applyFont="1" applyBorder="1" applyAlignment="1">
      <alignment vertical="center"/>
    </xf>
    <xf numFmtId="1" fontId="11" fillId="0" borderId="1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 vertical="center"/>
    </xf>
    <xf numFmtId="1" fontId="4" fillId="0" borderId="32" xfId="0" applyNumberFormat="1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18" xfId="0" applyFont="1" applyBorder="1" applyAlignment="1">
      <alignment vertical="center" wrapText="1"/>
    </xf>
    <xf numFmtId="2" fontId="4" fillId="4" borderId="17" xfId="0" applyNumberFormat="1" applyFont="1" applyFill="1" applyBorder="1" applyAlignment="1">
      <alignment horizontal="center" vertical="center"/>
    </xf>
    <xf numFmtId="164" fontId="4" fillId="0" borderId="18" xfId="1" applyFont="1" applyBorder="1" applyAlignment="1">
      <alignment vertical="center"/>
    </xf>
    <xf numFmtId="164" fontId="4" fillId="0" borderId="37" xfId="1" applyFont="1" applyBorder="1" applyAlignment="1">
      <alignment horizontal="center" vertical="center"/>
    </xf>
    <xf numFmtId="164" fontId="4" fillId="0" borderId="16" xfId="1" applyFont="1" applyBorder="1" applyAlignment="1">
      <alignment horizontal="center" vertical="center"/>
    </xf>
    <xf numFmtId="164" fontId="4" fillId="0" borderId="22" xfId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12" fillId="3" borderId="8" xfId="0" applyFont="1" applyFill="1" applyBorder="1" applyAlignment="1">
      <alignment horizontal="right" vertical="center" wrapText="1"/>
    </xf>
    <xf numFmtId="164" fontId="11" fillId="0" borderId="8" xfId="1" applyFont="1" applyBorder="1" applyAlignment="1">
      <alignment horizontal="right" vertical="center"/>
    </xf>
    <xf numFmtId="164" fontId="10" fillId="4" borderId="8" xfId="1" applyFont="1" applyFill="1" applyBorder="1" applyAlignment="1">
      <alignment horizontal="right" vertical="center"/>
    </xf>
    <xf numFmtId="164" fontId="10" fillId="4" borderId="0" xfId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164" fontId="4" fillId="0" borderId="26" xfId="1" applyFont="1" applyBorder="1" applyAlignment="1">
      <alignment horizontal="center" vertical="center"/>
    </xf>
    <xf numFmtId="164" fontId="4" fillId="0" borderId="31" xfId="1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0" fillId="0" borderId="18" xfId="0" applyBorder="1" applyAlignment="1">
      <alignment horizontal="center"/>
    </xf>
    <xf numFmtId="0" fontId="24" fillId="0" borderId="18" xfId="0" applyFont="1" applyBorder="1" applyAlignment="1">
      <alignment horizontal="center"/>
    </xf>
    <xf numFmtId="43" fontId="6" fillId="2" borderId="17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1" fontId="4" fillId="0" borderId="17" xfId="0" applyNumberFormat="1" applyFont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center" vertical="center" wrapText="1"/>
    </xf>
    <xf numFmtId="2" fontId="19" fillId="0" borderId="8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right" vertical="center" wrapText="1"/>
    </xf>
    <xf numFmtId="164" fontId="11" fillId="0" borderId="15" xfId="1" applyFont="1" applyBorder="1" applyAlignment="1">
      <alignment horizontal="center" vertical="center"/>
    </xf>
    <xf numFmtId="164" fontId="11" fillId="0" borderId="16" xfId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right" vertical="center"/>
    </xf>
    <xf numFmtId="164" fontId="11" fillId="0" borderId="8" xfId="1" applyFont="1" applyBorder="1" applyAlignment="1">
      <alignment horizontal="left" vertical="top"/>
    </xf>
    <xf numFmtId="164" fontId="11" fillId="0" borderId="8" xfId="1" applyFont="1" applyBorder="1" applyAlignment="1">
      <alignment horizontal="left" vertical="center"/>
    </xf>
    <xf numFmtId="165" fontId="4" fillId="0" borderId="15" xfId="0" applyNumberFormat="1" applyFont="1" applyBorder="1" applyAlignment="1">
      <alignment horizontal="center"/>
    </xf>
    <xf numFmtId="164" fontId="10" fillId="0" borderId="18" xfId="1" applyFont="1" applyBorder="1" applyAlignment="1">
      <alignment horizontal="center" vertical="center"/>
    </xf>
    <xf numFmtId="0" fontId="11" fillId="0" borderId="18" xfId="0" applyFont="1" applyBorder="1"/>
    <xf numFmtId="164" fontId="11" fillId="0" borderId="18" xfId="0" applyNumberFormat="1" applyFont="1" applyBorder="1"/>
    <xf numFmtId="2" fontId="10" fillId="4" borderId="17" xfId="0" applyNumberFormat="1" applyFont="1" applyFill="1" applyBorder="1" applyAlignment="1">
      <alignment horizontal="center" vertical="center"/>
    </xf>
    <xf numFmtId="164" fontId="10" fillId="4" borderId="17" xfId="1" applyFont="1" applyFill="1" applyBorder="1" applyAlignment="1">
      <alignment horizontal="center" vertical="center"/>
    </xf>
    <xf numFmtId="0" fontId="14" fillId="0" borderId="8" xfId="3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4" fillId="0" borderId="22" xfId="3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4" fillId="0" borderId="17" xfId="1" applyNumberFormat="1" applyFont="1" applyBorder="1" applyAlignment="1">
      <alignment vertical="center"/>
    </xf>
    <xf numFmtId="0" fontId="4" fillId="0" borderId="17" xfId="0" applyFont="1" applyBorder="1"/>
    <xf numFmtId="164" fontId="4" fillId="0" borderId="17" xfId="1" applyFont="1" applyBorder="1" applyAlignment="1">
      <alignment vertical="center"/>
    </xf>
    <xf numFmtId="2" fontId="6" fillId="2" borderId="8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66" fontId="25" fillId="0" borderId="8" xfId="0" applyNumberFormat="1" applyFont="1" applyBorder="1" applyAlignment="1">
      <alignment horizontal="center"/>
    </xf>
    <xf numFmtId="164" fontId="4" fillId="0" borderId="43" xfId="1" applyFont="1" applyBorder="1" applyAlignment="1">
      <alignment horizontal="center" vertical="center"/>
    </xf>
    <xf numFmtId="164" fontId="4" fillId="0" borderId="13" xfId="1" applyFont="1" applyBorder="1" applyAlignment="1">
      <alignment horizontal="center" vertical="top"/>
    </xf>
    <xf numFmtId="164" fontId="4" fillId="0" borderId="14" xfId="1" applyFont="1" applyBorder="1" applyAlignment="1">
      <alignment horizontal="center" vertical="top"/>
    </xf>
    <xf numFmtId="0" fontId="4" fillId="0" borderId="9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2" fontId="20" fillId="0" borderId="8" xfId="0" applyNumberFormat="1" applyFont="1" applyBorder="1"/>
    <xf numFmtId="15" fontId="20" fillId="2" borderId="16" xfId="0" applyNumberFormat="1" applyFont="1" applyFill="1" applyBorder="1"/>
    <xf numFmtId="15" fontId="20" fillId="0" borderId="16" xfId="0" applyNumberFormat="1" applyFont="1" applyBorder="1"/>
    <xf numFmtId="15" fontId="20" fillId="0" borderId="31" xfId="0" applyNumberFormat="1" applyFont="1" applyBorder="1"/>
    <xf numFmtId="15" fontId="20" fillId="0" borderId="27" xfId="0" applyNumberFormat="1" applyFont="1" applyBorder="1"/>
    <xf numFmtId="15" fontId="20" fillId="0" borderId="33" xfId="0" applyNumberFormat="1" applyFont="1" applyBorder="1"/>
    <xf numFmtId="15" fontId="20" fillId="0" borderId="18" xfId="0" applyNumberFormat="1" applyFont="1" applyBorder="1"/>
    <xf numFmtId="0" fontId="20" fillId="0" borderId="15" xfId="0" applyFont="1" applyBorder="1"/>
    <xf numFmtId="0" fontId="20" fillId="0" borderId="30" xfId="0" applyFont="1" applyBorder="1"/>
    <xf numFmtId="0" fontId="0" fillId="0" borderId="16" xfId="0" applyBorder="1"/>
    <xf numFmtId="0" fontId="20" fillId="0" borderId="17" xfId="0" applyFont="1" applyBorder="1"/>
    <xf numFmtId="0" fontId="20" fillId="0" borderId="17" xfId="0" quotePrefix="1" applyFont="1" applyBorder="1"/>
    <xf numFmtId="43" fontId="6" fillId="0" borderId="8" xfId="0" applyNumberFormat="1" applyFont="1" applyBorder="1" applyAlignment="1">
      <alignment horizontal="center"/>
    </xf>
    <xf numFmtId="165" fontId="4" fillId="0" borderId="8" xfId="0" applyNumberFormat="1" applyFont="1" applyBorder="1"/>
    <xf numFmtId="43" fontId="4" fillId="0" borderId="8" xfId="0" applyNumberFormat="1" applyFont="1" applyBorder="1"/>
    <xf numFmtId="0" fontId="6" fillId="0" borderId="8" xfId="0" quotePrefix="1" applyFont="1" applyBorder="1"/>
    <xf numFmtId="0" fontId="4" fillId="0" borderId="8" xfId="0" quotePrefix="1" applyFont="1" applyBorder="1"/>
    <xf numFmtId="165" fontId="0" fillId="0" borderId="44" xfId="0" applyNumberFormat="1" applyBorder="1"/>
    <xf numFmtId="0" fontId="0" fillId="0" borderId="44" xfId="0" applyBorder="1"/>
    <xf numFmtId="43" fontId="4" fillId="0" borderId="18" xfId="0" applyNumberFormat="1" applyFont="1" applyBorder="1"/>
    <xf numFmtId="165" fontId="0" fillId="0" borderId="8" xfId="0" applyNumberFormat="1" applyBorder="1"/>
    <xf numFmtId="165" fontId="0" fillId="0" borderId="45" xfId="0" applyNumberFormat="1" applyBorder="1"/>
    <xf numFmtId="0" fontId="6" fillId="0" borderId="18" xfId="0" applyFont="1" applyBorder="1"/>
    <xf numFmtId="2" fontId="0" fillId="0" borderId="46" xfId="0" applyNumberFormat="1" applyBorder="1"/>
    <xf numFmtId="2" fontId="0" fillId="0" borderId="18" xfId="0" applyNumberFormat="1" applyBorder="1"/>
    <xf numFmtId="43" fontId="0" fillId="0" borderId="18" xfId="0" applyNumberFormat="1" applyBorder="1"/>
    <xf numFmtId="0" fontId="6" fillId="0" borderId="15" xfId="0" quotePrefix="1" applyFont="1" applyBorder="1"/>
    <xf numFmtId="0" fontId="4" fillId="0" borderId="30" xfId="0" quotePrefix="1" applyFont="1" applyBorder="1"/>
    <xf numFmtId="0" fontId="20" fillId="0" borderId="15" xfId="0" quotePrefix="1" applyFont="1" applyBorder="1"/>
    <xf numFmtId="0" fontId="0" fillId="0" borderId="47" xfId="0" applyBorder="1"/>
    <xf numFmtId="164" fontId="11" fillId="6" borderId="10" xfId="1" applyFont="1" applyFill="1" applyBorder="1" applyAlignment="1">
      <alignment horizontal="center" vertical="center"/>
    </xf>
    <xf numFmtId="164" fontId="11" fillId="2" borderId="10" xfId="1" applyFont="1" applyFill="1" applyBorder="1" applyAlignment="1">
      <alignment horizontal="center" vertical="center"/>
    </xf>
    <xf numFmtId="166" fontId="26" fillId="0" borderId="8" xfId="0" applyNumberFormat="1" applyFont="1" applyBorder="1" applyAlignment="1">
      <alignment horizontal="center"/>
    </xf>
    <xf numFmtId="0" fontId="0" fillId="0" borderId="8" xfId="0" quotePrefix="1" applyBorder="1"/>
    <xf numFmtId="0" fontId="20" fillId="0" borderId="8" xfId="0" quotePrefix="1" applyFont="1" applyBorder="1"/>
    <xf numFmtId="165" fontId="0" fillId="0" borderId="18" xfId="0" applyNumberFormat="1" applyBorder="1"/>
    <xf numFmtId="0" fontId="20" fillId="0" borderId="30" xfId="0" quotePrefix="1" applyFont="1" applyBorder="1"/>
    <xf numFmtId="0" fontId="0" fillId="0" borderId="45" xfId="0" applyBorder="1"/>
    <xf numFmtId="0" fontId="4" fillId="2" borderId="8" xfId="0" applyFont="1" applyFill="1" applyBorder="1"/>
    <xf numFmtId="0" fontId="0" fillId="0" borderId="31" xfId="0" applyBorder="1"/>
    <xf numFmtId="165" fontId="0" fillId="0" borderId="31" xfId="0" applyNumberFormat="1" applyBorder="1"/>
    <xf numFmtId="0" fontId="20" fillId="0" borderId="18" xfId="0" quotePrefix="1" applyFont="1" applyBorder="1"/>
    <xf numFmtId="4" fontId="0" fillId="0" borderId="8" xfId="0" applyNumberFormat="1" applyBorder="1"/>
    <xf numFmtId="0" fontId="0" fillId="0" borderId="0" xfId="0" quotePrefix="1"/>
    <xf numFmtId="0" fontId="6" fillId="0" borderId="18" xfId="0" quotePrefix="1" applyFont="1" applyBorder="1"/>
    <xf numFmtId="2" fontId="0" fillId="0" borderId="15" xfId="0" applyNumberFormat="1" applyBorder="1"/>
    <xf numFmtId="2" fontId="0" fillId="0" borderId="30" xfId="0" applyNumberFormat="1" applyBorder="1"/>
    <xf numFmtId="2" fontId="0" fillId="0" borderId="47" xfId="0" applyNumberFormat="1" applyBorder="1"/>
    <xf numFmtId="43" fontId="0" fillId="0" borderId="47" xfId="0" applyNumberFormat="1" applyBorder="1"/>
    <xf numFmtId="0" fontId="15" fillId="2" borderId="4" xfId="0" applyFont="1" applyFill="1" applyBorder="1" applyAlignment="1">
      <alignment horizontal="center" vertical="center"/>
    </xf>
    <xf numFmtId="2" fontId="15" fillId="3" borderId="18" xfId="0" applyNumberFormat="1" applyFont="1" applyFill="1" applyBorder="1" applyAlignment="1">
      <alignment horizontal="center" vertical="center" wrapText="1"/>
    </xf>
    <xf numFmtId="164" fontId="26" fillId="0" borderId="8" xfId="1" applyFont="1" applyBorder="1" applyAlignment="1">
      <alignment vertical="center"/>
    </xf>
    <xf numFmtId="0" fontId="20" fillId="2" borderId="18" xfId="0" applyFont="1" applyFill="1" applyBorder="1"/>
    <xf numFmtId="43" fontId="5" fillId="6" borderId="8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164" fontId="4" fillId="0" borderId="15" xfId="1" applyFont="1" applyBorder="1" applyAlignment="1">
      <alignment horizontal="center" vertical="center"/>
    </xf>
    <xf numFmtId="166" fontId="4" fillId="6" borderId="18" xfId="0" applyNumberFormat="1" applyFont="1" applyFill="1" applyBorder="1" applyAlignment="1">
      <alignment horizontal="center"/>
    </xf>
    <xf numFmtId="2" fontId="0" fillId="6" borderId="8" xfId="0" applyNumberFormat="1" applyFill="1" applyBorder="1"/>
    <xf numFmtId="0" fontId="4" fillId="0" borderId="15" xfId="0" applyFont="1" applyBorder="1"/>
    <xf numFmtId="0" fontId="4" fillId="0" borderId="30" xfId="0" applyFont="1" applyBorder="1"/>
    <xf numFmtId="2" fontId="0" fillId="0" borderId="18" xfId="0" applyNumberFormat="1" applyBorder="1" applyAlignment="1">
      <alignment horizontal="center"/>
    </xf>
    <xf numFmtId="0" fontId="15" fillId="2" borderId="18" xfId="0" applyFont="1" applyFill="1" applyBorder="1" applyAlignment="1">
      <alignment horizontal="center" vertical="center" wrapText="1"/>
    </xf>
    <xf numFmtId="0" fontId="9" fillId="0" borderId="17" xfId="0" applyFont="1" applyBorder="1"/>
    <xf numFmtId="4" fontId="0" fillId="0" borderId="0" xfId="0" applyNumberFormat="1"/>
    <xf numFmtId="0" fontId="0" fillId="0" borderId="18" xfId="0" quotePrefix="1" applyBorder="1"/>
    <xf numFmtId="0" fontId="20" fillId="0" borderId="0" xfId="0" applyFont="1"/>
    <xf numFmtId="165" fontId="4" fillId="0" borderId="18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8" fillId="7" borderId="8" xfId="0" applyFont="1" applyFill="1" applyBorder="1"/>
    <xf numFmtId="2" fontId="28" fillId="7" borderId="8" xfId="0" applyNumberFormat="1" applyFont="1" applyFill="1" applyBorder="1"/>
    <xf numFmtId="0" fontId="27" fillId="8" borderId="48" xfId="0" applyFont="1" applyFill="1" applyBorder="1"/>
    <xf numFmtId="0" fontId="27" fillId="8" borderId="49" xfId="0" applyFont="1" applyFill="1" applyBorder="1"/>
    <xf numFmtId="2" fontId="27" fillId="8" borderId="49" xfId="0" applyNumberFormat="1" applyFont="1" applyFill="1" applyBorder="1"/>
    <xf numFmtId="2" fontId="27" fillId="8" borderId="50" xfId="0" applyNumberFormat="1" applyFont="1" applyFill="1" applyBorder="1"/>
    <xf numFmtId="0" fontId="0" fillId="9" borderId="0" xfId="0" applyFill="1"/>
    <xf numFmtId="0" fontId="0" fillId="9" borderId="8" xfId="0" applyFill="1" applyBorder="1"/>
    <xf numFmtId="164" fontId="11" fillId="2" borderId="10" xfId="0" applyNumberFormat="1" applyFont="1" applyFill="1" applyBorder="1" applyAlignment="1">
      <alignment horizontal="center" vertical="center"/>
    </xf>
    <xf numFmtId="165" fontId="4" fillId="0" borderId="51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7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167" fontId="0" fillId="0" borderId="8" xfId="0" applyNumberFormat="1" applyBorder="1"/>
    <xf numFmtId="167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16" fillId="5" borderId="14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33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5" fillId="5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5" fillId="5" borderId="18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16" fillId="5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43" fontId="5" fillId="6" borderId="41" xfId="0" applyNumberFormat="1" applyFont="1" applyFill="1" applyBorder="1" applyAlignment="1">
      <alignment horizontal="center" vertical="center"/>
    </xf>
    <xf numFmtId="43" fontId="5" fillId="6" borderId="42" xfId="0" applyNumberFormat="1" applyFont="1" applyFill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29" fillId="5" borderId="27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43" fontId="5" fillId="2" borderId="15" xfId="0" applyNumberFormat="1" applyFont="1" applyFill="1" applyBorder="1" applyAlignment="1">
      <alignment horizontal="center" vertical="center"/>
    </xf>
    <xf numFmtId="43" fontId="5" fillId="2" borderId="16" xfId="0" applyNumberFormat="1" applyFont="1" applyFill="1" applyBorder="1" applyAlignment="1">
      <alignment horizontal="center" vertical="center"/>
    </xf>
    <xf numFmtId="0" fontId="30" fillId="5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" fontId="16" fillId="5" borderId="8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wrapText="1"/>
    </xf>
    <xf numFmtId="0" fontId="5" fillId="0" borderId="2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1" xfId="0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2" fontId="1" fillId="0" borderId="8" xfId="0" applyNumberFormat="1" applyFont="1" applyBorder="1"/>
    <xf numFmtId="2" fontId="1" fillId="2" borderId="8" xfId="0" applyNumberFormat="1" applyFont="1" applyFill="1" applyBorder="1"/>
    <xf numFmtId="2" fontId="1" fillId="6" borderId="8" xfId="0" applyNumberFormat="1" applyFont="1" applyFill="1" applyBorder="1"/>
    <xf numFmtId="0" fontId="1" fillId="7" borderId="8" xfId="0" applyFont="1" applyFill="1" applyBorder="1"/>
  </cellXfs>
  <cellStyles count="4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E9E36FE2-C816-4F37-A6AF-71C6FC4EDE34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6" dT="2025-02-24T09:43:59.53" personId="{E9E36FE2-C816-4F37-A6AF-71C6FC4EDE34}" id="{D3860396-7C09-4E3D-97B9-42AB77A5450F}">
    <text xml:space="preserve"> 'LUBRICANT 50000 Include</text>
  </threadedComment>
</ThreadedComment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O33"/>
  <sheetViews>
    <sheetView workbookViewId="0">
      <pane ySplit="2" topLeftCell="A3" activePane="bottomLeft" state="frozen"/>
      <selection pane="bottomLeft" activeCell="M39" sqref="M39"/>
    </sheetView>
  </sheetViews>
  <sheetFormatPr defaultRowHeight="15"/>
  <cols>
    <col min="1" max="1" width="4.7109375" style="66" bestFit="1" customWidth="1"/>
    <col min="2" max="2" width="10.42578125" style="66" bestFit="1" customWidth="1"/>
    <col min="3" max="3" width="7.140625" style="66" bestFit="1" customWidth="1"/>
    <col min="4" max="4" width="16" style="66" bestFit="1" customWidth="1"/>
    <col min="5" max="5" width="9.7109375" style="66" bestFit="1" customWidth="1"/>
    <col min="6" max="6" width="11.5703125" style="66" bestFit="1" customWidth="1"/>
    <col min="7" max="7" width="11.85546875" style="66" bestFit="1" customWidth="1"/>
    <col min="8" max="8" width="10.42578125" style="66" bestFit="1" customWidth="1"/>
    <col min="9" max="9" width="7.140625" style="66" bestFit="1" customWidth="1"/>
    <col min="10" max="10" width="10.85546875" style="72" bestFit="1" customWidth="1"/>
    <col min="11" max="11" width="11.85546875" style="66" bestFit="1" customWidth="1"/>
    <col min="12" max="12" width="12.42578125" style="72" bestFit="1" customWidth="1"/>
    <col min="13" max="13" width="12.42578125" style="72" customWidth="1"/>
    <col min="14" max="14" width="17.7109375" style="66" bestFit="1" customWidth="1"/>
    <col min="15" max="16384" width="9.140625" style="66"/>
  </cols>
  <sheetData>
    <row r="1" spans="1:15">
      <c r="A1" s="421" t="s">
        <v>0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</row>
    <row r="2" spans="1:15">
      <c r="A2" s="118" t="s">
        <v>1</v>
      </c>
      <c r="B2" s="119" t="s">
        <v>2</v>
      </c>
      <c r="C2" s="119" t="s">
        <v>3</v>
      </c>
      <c r="D2" s="119" t="s">
        <v>4</v>
      </c>
      <c r="E2" s="119" t="s">
        <v>5</v>
      </c>
      <c r="F2" s="119" t="s">
        <v>6</v>
      </c>
      <c r="G2" s="119" t="s">
        <v>7</v>
      </c>
      <c r="H2" s="119" t="s">
        <v>8</v>
      </c>
      <c r="I2" s="119" t="s">
        <v>6</v>
      </c>
      <c r="J2" s="148" t="s">
        <v>7</v>
      </c>
      <c r="K2" s="119" t="s">
        <v>9</v>
      </c>
      <c r="L2" s="148" t="s">
        <v>10</v>
      </c>
      <c r="M2" s="147" t="s">
        <v>11</v>
      </c>
      <c r="N2" s="120" t="s">
        <v>12</v>
      </c>
      <c r="O2" s="36"/>
    </row>
    <row r="3" spans="1:15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24"/>
      <c r="K3" s="31">
        <v>139097.51000000007</v>
      </c>
      <c r="L3" s="67"/>
      <c r="M3" s="149">
        <f>+K3</f>
        <v>139097.51000000007</v>
      </c>
      <c r="N3" s="67"/>
      <c r="O3" s="36"/>
    </row>
    <row r="4" spans="1:15">
      <c r="A4" s="67">
        <v>1</v>
      </c>
      <c r="B4" s="116">
        <v>45689</v>
      </c>
      <c r="C4" s="68" t="s">
        <v>14</v>
      </c>
      <c r="D4" s="69" t="s">
        <v>14</v>
      </c>
      <c r="E4" s="68">
        <v>0</v>
      </c>
      <c r="F4" s="68"/>
      <c r="G4" s="67">
        <f t="shared" ref="G4:G18" si="0">E4*F4</f>
        <v>0</v>
      </c>
      <c r="H4" s="68">
        <v>0</v>
      </c>
      <c r="I4" s="68"/>
      <c r="J4" s="70">
        <f t="shared" ref="J4:J18" si="1">H4*I4</f>
        <v>0</v>
      </c>
      <c r="K4" s="67">
        <f t="shared" ref="K4:K18" si="2">G4+J4</f>
        <v>0</v>
      </c>
      <c r="L4" s="144"/>
      <c r="M4" s="70">
        <f>M3+K4-L4</f>
        <v>139097.51000000007</v>
      </c>
      <c r="N4" s="137"/>
    </row>
    <row r="5" spans="1:15">
      <c r="A5" s="67">
        <v>2</v>
      </c>
      <c r="B5" s="116">
        <v>45690</v>
      </c>
      <c r="C5" s="68">
        <v>0</v>
      </c>
      <c r="D5" s="69">
        <v>0</v>
      </c>
      <c r="E5" s="68">
        <v>0</v>
      </c>
      <c r="F5" s="68">
        <v>0</v>
      </c>
      <c r="G5" s="67">
        <f t="shared" ref="G5:G28" si="3">E5*F5</f>
        <v>0</v>
      </c>
      <c r="H5" s="68">
        <v>0</v>
      </c>
      <c r="I5" s="68">
        <v>0</v>
      </c>
      <c r="J5" s="70">
        <f t="shared" ref="J5:J23" si="4">H5*I5</f>
        <v>0</v>
      </c>
      <c r="K5" s="67">
        <f t="shared" ref="K5:K23" si="5">G5+J5</f>
        <v>0</v>
      </c>
      <c r="L5" s="144"/>
      <c r="M5" s="70">
        <f t="shared" ref="M5:M28" si="6">M4+K5-L5</f>
        <v>139097.51000000007</v>
      </c>
      <c r="N5" s="137"/>
    </row>
    <row r="6" spans="1:15">
      <c r="A6" s="67">
        <v>3</v>
      </c>
      <c r="B6" s="116">
        <v>45691</v>
      </c>
      <c r="C6" s="68" t="s">
        <v>14</v>
      </c>
      <c r="D6" s="69" t="s">
        <v>14</v>
      </c>
      <c r="E6" s="68">
        <v>0</v>
      </c>
      <c r="F6" s="68"/>
      <c r="G6" s="67">
        <f t="shared" si="3"/>
        <v>0</v>
      </c>
      <c r="H6" s="68">
        <v>0</v>
      </c>
      <c r="I6" s="68"/>
      <c r="J6" s="70">
        <f t="shared" si="4"/>
        <v>0</v>
      </c>
      <c r="K6" s="67">
        <f t="shared" si="5"/>
        <v>0</v>
      </c>
      <c r="L6" s="144"/>
      <c r="M6" s="70">
        <f t="shared" si="6"/>
        <v>139097.51000000007</v>
      </c>
      <c r="N6" s="146"/>
    </row>
    <row r="7" spans="1:15">
      <c r="A7" s="67">
        <v>4</v>
      </c>
      <c r="B7" s="29">
        <v>45692</v>
      </c>
      <c r="C7" s="68">
        <v>821</v>
      </c>
      <c r="D7" s="69">
        <v>34653</v>
      </c>
      <c r="E7" s="68">
        <v>1500</v>
      </c>
      <c r="F7" s="68">
        <v>89.29</v>
      </c>
      <c r="G7" s="67">
        <f t="shared" ref="G7" si="7">E7*F7</f>
        <v>133935</v>
      </c>
      <c r="H7" s="68">
        <v>70</v>
      </c>
      <c r="I7" s="68">
        <v>103.24</v>
      </c>
      <c r="J7" s="70">
        <f t="shared" ref="J7" si="8">H7*I7</f>
        <v>7226.7999999999993</v>
      </c>
      <c r="K7" s="67">
        <f t="shared" ref="K7" si="9">G7+J7</f>
        <v>141161.79999999999</v>
      </c>
      <c r="L7" s="144"/>
      <c r="M7" s="70">
        <f t="shared" si="6"/>
        <v>280259.31000000006</v>
      </c>
      <c r="N7" s="146"/>
    </row>
    <row r="8" spans="1:15">
      <c r="A8" s="67">
        <v>5</v>
      </c>
      <c r="B8" s="29">
        <v>45693</v>
      </c>
      <c r="C8" s="68" t="s">
        <v>14</v>
      </c>
      <c r="D8" s="69" t="s">
        <v>14</v>
      </c>
      <c r="E8" s="68">
        <v>0</v>
      </c>
      <c r="F8" s="68"/>
      <c r="G8" s="67">
        <f t="shared" si="3"/>
        <v>0</v>
      </c>
      <c r="H8" s="68">
        <v>0</v>
      </c>
      <c r="I8" s="68"/>
      <c r="J8" s="70">
        <f t="shared" si="4"/>
        <v>0</v>
      </c>
      <c r="K8" s="67">
        <f t="shared" si="5"/>
        <v>0</v>
      </c>
      <c r="L8" s="144">
        <v>199897.8</v>
      </c>
      <c r="M8" s="70">
        <f t="shared" si="6"/>
        <v>80361.510000000068</v>
      </c>
      <c r="N8" s="137"/>
    </row>
    <row r="9" spans="1:15">
      <c r="A9" s="67">
        <v>6</v>
      </c>
      <c r="B9" s="29">
        <v>45694</v>
      </c>
      <c r="C9" s="68" t="s">
        <v>14</v>
      </c>
      <c r="D9" s="69" t="s">
        <v>14</v>
      </c>
      <c r="E9" s="68">
        <v>0</v>
      </c>
      <c r="F9" s="68"/>
      <c r="G9" s="67">
        <f t="shared" si="3"/>
        <v>0</v>
      </c>
      <c r="H9" s="68">
        <v>0</v>
      </c>
      <c r="I9" s="68"/>
      <c r="J9" s="70">
        <f t="shared" si="4"/>
        <v>0</v>
      </c>
      <c r="K9" s="67">
        <f t="shared" si="5"/>
        <v>0</v>
      </c>
      <c r="L9" s="144"/>
      <c r="M9" s="70">
        <f t="shared" si="6"/>
        <v>80361.510000000068</v>
      </c>
      <c r="N9" s="146"/>
    </row>
    <row r="10" spans="1:15">
      <c r="A10" s="67">
        <v>7</v>
      </c>
      <c r="B10" s="29">
        <v>45695</v>
      </c>
      <c r="C10" s="68" t="s">
        <v>14</v>
      </c>
      <c r="D10" s="69" t="s">
        <v>14</v>
      </c>
      <c r="E10" s="68">
        <v>0</v>
      </c>
      <c r="F10" s="68"/>
      <c r="G10" s="67">
        <f t="shared" si="3"/>
        <v>0</v>
      </c>
      <c r="H10" s="68">
        <v>0</v>
      </c>
      <c r="I10" s="68"/>
      <c r="J10" s="70">
        <f t="shared" si="4"/>
        <v>0</v>
      </c>
      <c r="K10" s="67">
        <f t="shared" si="5"/>
        <v>0</v>
      </c>
      <c r="L10" s="144"/>
      <c r="M10" s="70">
        <f t="shared" si="6"/>
        <v>80361.510000000068</v>
      </c>
      <c r="N10" s="137"/>
    </row>
    <row r="11" spans="1:15">
      <c r="A11" s="67">
        <v>8</v>
      </c>
      <c r="B11" s="29">
        <v>45696</v>
      </c>
      <c r="C11" s="68" t="s">
        <v>14</v>
      </c>
      <c r="D11" s="69" t="s">
        <v>14</v>
      </c>
      <c r="E11" s="68">
        <v>0</v>
      </c>
      <c r="F11" s="68"/>
      <c r="G11" s="67">
        <f t="shared" si="3"/>
        <v>0</v>
      </c>
      <c r="H11" s="68">
        <v>0</v>
      </c>
      <c r="I11" s="68"/>
      <c r="J11" s="70">
        <f t="shared" si="4"/>
        <v>0</v>
      </c>
      <c r="K11" s="67">
        <f t="shared" si="5"/>
        <v>0</v>
      </c>
      <c r="L11" s="144"/>
      <c r="M11" s="70">
        <f t="shared" si="6"/>
        <v>80361.510000000068</v>
      </c>
      <c r="N11" s="145"/>
    </row>
    <row r="12" spans="1:15">
      <c r="A12" s="67">
        <v>9</v>
      </c>
      <c r="B12" s="29">
        <v>45697</v>
      </c>
      <c r="C12" s="68">
        <v>830</v>
      </c>
      <c r="D12" s="69">
        <v>34705</v>
      </c>
      <c r="E12" s="68">
        <v>1000</v>
      </c>
      <c r="F12" s="68">
        <v>89.29</v>
      </c>
      <c r="G12" s="67">
        <f t="shared" si="3"/>
        <v>89290</v>
      </c>
      <c r="H12" s="68">
        <v>105</v>
      </c>
      <c r="I12" s="68">
        <v>103.24</v>
      </c>
      <c r="J12" s="70">
        <f t="shared" si="4"/>
        <v>10840.199999999999</v>
      </c>
      <c r="K12" s="67">
        <f t="shared" si="5"/>
        <v>100130.2</v>
      </c>
      <c r="L12" s="144"/>
      <c r="M12" s="70">
        <f t="shared" si="6"/>
        <v>180491.71000000008</v>
      </c>
      <c r="N12" s="137"/>
    </row>
    <row r="13" spans="1:15">
      <c r="A13" s="67">
        <v>10</v>
      </c>
      <c r="B13" s="29">
        <v>45698</v>
      </c>
      <c r="C13" s="68"/>
      <c r="D13" s="69"/>
      <c r="E13" s="68">
        <v>0</v>
      </c>
      <c r="F13" s="68">
        <v>89.29</v>
      </c>
      <c r="G13" s="67">
        <f t="shared" si="3"/>
        <v>0</v>
      </c>
      <c r="H13" s="68">
        <v>0</v>
      </c>
      <c r="I13" s="68">
        <v>103.24</v>
      </c>
      <c r="J13" s="70">
        <f t="shared" si="4"/>
        <v>0</v>
      </c>
      <c r="K13" s="67">
        <f t="shared" si="5"/>
        <v>0</v>
      </c>
      <c r="L13" s="144"/>
      <c r="M13" s="70">
        <f t="shared" si="6"/>
        <v>180491.71000000008</v>
      </c>
      <c r="N13" s="137"/>
    </row>
    <row r="14" spans="1:15">
      <c r="A14" s="67">
        <v>11</v>
      </c>
      <c r="B14" s="29">
        <v>45699</v>
      </c>
      <c r="C14" s="68">
        <v>835</v>
      </c>
      <c r="D14" s="69">
        <v>34718</v>
      </c>
      <c r="E14" s="68">
        <v>1500</v>
      </c>
      <c r="F14" s="68">
        <v>89.29</v>
      </c>
      <c r="G14" s="67">
        <f t="shared" si="3"/>
        <v>133935</v>
      </c>
      <c r="H14" s="68">
        <v>70</v>
      </c>
      <c r="I14" s="68">
        <v>103.24</v>
      </c>
      <c r="J14" s="70">
        <f t="shared" si="4"/>
        <v>7226.7999999999993</v>
      </c>
      <c r="K14" s="67">
        <f t="shared" si="5"/>
        <v>141161.79999999999</v>
      </c>
      <c r="L14" s="144">
        <v>180491.2</v>
      </c>
      <c r="M14" s="70">
        <f t="shared" si="6"/>
        <v>141162.31000000006</v>
      </c>
      <c r="N14" s="137"/>
    </row>
    <row r="15" spans="1:15">
      <c r="A15" s="67">
        <v>12</v>
      </c>
      <c r="B15" s="29">
        <v>45700</v>
      </c>
      <c r="C15" s="68" t="s">
        <v>14</v>
      </c>
      <c r="D15" s="69" t="s">
        <v>14</v>
      </c>
      <c r="E15" s="68">
        <v>0</v>
      </c>
      <c r="F15" s="68">
        <v>89.29</v>
      </c>
      <c r="G15" s="67">
        <f t="shared" si="3"/>
        <v>0</v>
      </c>
      <c r="H15" s="68">
        <v>0</v>
      </c>
      <c r="I15" s="68"/>
      <c r="J15" s="70">
        <f t="shared" si="4"/>
        <v>0</v>
      </c>
      <c r="K15" s="67">
        <f t="shared" si="5"/>
        <v>0</v>
      </c>
      <c r="L15" s="144"/>
      <c r="M15" s="70">
        <f t="shared" si="6"/>
        <v>141162.31000000006</v>
      </c>
      <c r="N15" s="137"/>
    </row>
    <row r="16" spans="1:15">
      <c r="A16" s="67">
        <v>13</v>
      </c>
      <c r="B16" s="29">
        <v>45701</v>
      </c>
      <c r="C16" s="68" t="s">
        <v>14</v>
      </c>
      <c r="D16" s="69" t="s">
        <v>14</v>
      </c>
      <c r="E16" s="68">
        <v>0</v>
      </c>
      <c r="F16" s="68">
        <v>89.29</v>
      </c>
      <c r="G16" s="67">
        <f t="shared" si="3"/>
        <v>0</v>
      </c>
      <c r="H16" s="68">
        <v>0</v>
      </c>
      <c r="I16" s="68"/>
      <c r="J16" s="70">
        <f t="shared" si="4"/>
        <v>0</v>
      </c>
      <c r="K16" s="67">
        <f t="shared" si="5"/>
        <v>0</v>
      </c>
      <c r="L16" s="144"/>
      <c r="M16" s="70">
        <f t="shared" si="6"/>
        <v>141162.31000000006</v>
      </c>
      <c r="N16" s="137"/>
    </row>
    <row r="17" spans="1:15">
      <c r="A17" s="67">
        <v>14</v>
      </c>
      <c r="B17" s="29">
        <v>45702</v>
      </c>
      <c r="C17" s="68" t="s">
        <v>14</v>
      </c>
      <c r="D17" s="69" t="s">
        <v>14</v>
      </c>
      <c r="E17" s="68">
        <v>0</v>
      </c>
      <c r="F17" s="68">
        <v>89.29</v>
      </c>
      <c r="G17" s="67">
        <f t="shared" si="3"/>
        <v>0</v>
      </c>
      <c r="H17" s="68">
        <v>0</v>
      </c>
      <c r="I17" s="68"/>
      <c r="J17" s="70">
        <f t="shared" si="4"/>
        <v>0</v>
      </c>
      <c r="K17" s="67">
        <f t="shared" si="5"/>
        <v>0</v>
      </c>
      <c r="L17" s="144"/>
      <c r="M17" s="70">
        <f t="shared" si="6"/>
        <v>141162.31000000006</v>
      </c>
      <c r="N17" s="137"/>
    </row>
    <row r="18" spans="1:15">
      <c r="A18" s="67">
        <v>15</v>
      </c>
      <c r="B18" s="29">
        <v>45703</v>
      </c>
      <c r="C18" s="68" t="s">
        <v>14</v>
      </c>
      <c r="D18" s="69" t="s">
        <v>14</v>
      </c>
      <c r="E18" s="68">
        <v>0</v>
      </c>
      <c r="F18" s="68">
        <v>89.29</v>
      </c>
      <c r="G18" s="67">
        <f t="shared" si="3"/>
        <v>0</v>
      </c>
      <c r="H18" s="68">
        <v>0</v>
      </c>
      <c r="I18" s="68"/>
      <c r="J18" s="70">
        <f t="shared" si="4"/>
        <v>0</v>
      </c>
      <c r="K18" s="67">
        <f t="shared" si="5"/>
        <v>0</v>
      </c>
      <c r="L18" s="144"/>
      <c r="M18" s="70">
        <f t="shared" si="6"/>
        <v>141162.31000000006</v>
      </c>
      <c r="N18" s="137"/>
    </row>
    <row r="19" spans="1:15">
      <c r="A19" s="67">
        <v>16</v>
      </c>
      <c r="B19" s="29">
        <v>45704</v>
      </c>
      <c r="C19" s="68">
        <v>842</v>
      </c>
      <c r="D19" s="69">
        <v>34768</v>
      </c>
      <c r="E19" s="68">
        <v>1500</v>
      </c>
      <c r="F19" s="68">
        <v>89.29</v>
      </c>
      <c r="G19" s="67">
        <f t="shared" si="3"/>
        <v>133935</v>
      </c>
      <c r="H19" s="68">
        <v>85</v>
      </c>
      <c r="I19" s="68">
        <v>103.24</v>
      </c>
      <c r="J19" s="70">
        <f t="shared" si="4"/>
        <v>8775.4</v>
      </c>
      <c r="K19" s="67">
        <f t="shared" si="5"/>
        <v>142710.39999999999</v>
      </c>
      <c r="L19" s="144"/>
      <c r="M19" s="70">
        <f t="shared" si="6"/>
        <v>283872.71000000008</v>
      </c>
      <c r="N19" s="137"/>
    </row>
    <row r="20" spans="1:15">
      <c r="A20" s="67">
        <v>17</v>
      </c>
      <c r="B20" s="29">
        <v>45705</v>
      </c>
      <c r="C20" s="67"/>
      <c r="D20" s="67"/>
      <c r="E20" s="67"/>
      <c r="F20" s="68">
        <v>89.29</v>
      </c>
      <c r="G20" s="67">
        <f t="shared" si="3"/>
        <v>0</v>
      </c>
      <c r="H20" s="67"/>
      <c r="I20" s="68"/>
      <c r="J20" s="70">
        <f t="shared" si="4"/>
        <v>0</v>
      </c>
      <c r="K20" s="67">
        <f t="shared" si="5"/>
        <v>0</v>
      </c>
      <c r="L20" s="91"/>
      <c r="M20" s="70">
        <f t="shared" si="6"/>
        <v>283872.71000000008</v>
      </c>
      <c r="N20" s="137"/>
    </row>
    <row r="21" spans="1:15">
      <c r="A21" s="67">
        <v>18</v>
      </c>
      <c r="B21" s="29">
        <v>45706</v>
      </c>
      <c r="C21" s="67"/>
      <c r="D21" s="67">
        <v>0</v>
      </c>
      <c r="E21" s="67"/>
      <c r="F21" s="68">
        <v>89.29</v>
      </c>
      <c r="G21" s="67">
        <f t="shared" si="3"/>
        <v>0</v>
      </c>
      <c r="H21" s="67">
        <v>0</v>
      </c>
      <c r="I21" s="68"/>
      <c r="J21" s="70">
        <f t="shared" si="4"/>
        <v>0</v>
      </c>
      <c r="K21" s="67">
        <f t="shared" si="5"/>
        <v>0</v>
      </c>
      <c r="L21" s="387">
        <f>89290+89290+55359.8+16002.2</f>
        <v>249942</v>
      </c>
      <c r="M21" s="70">
        <f t="shared" si="6"/>
        <v>33930.710000000079</v>
      </c>
      <c r="N21" s="137"/>
    </row>
    <row r="22" spans="1:15">
      <c r="A22" s="67">
        <v>19</v>
      </c>
      <c r="B22" s="29">
        <v>45707</v>
      </c>
      <c r="C22" s="67"/>
      <c r="D22" s="67"/>
      <c r="E22" s="67"/>
      <c r="F22" s="68">
        <v>89.29</v>
      </c>
      <c r="G22" s="67">
        <f t="shared" si="3"/>
        <v>0</v>
      </c>
      <c r="H22" s="67"/>
      <c r="I22" s="68"/>
      <c r="J22" s="70">
        <f t="shared" si="4"/>
        <v>0</v>
      </c>
      <c r="K22" s="67">
        <f t="shared" si="5"/>
        <v>0</v>
      </c>
      <c r="L22" s="91"/>
      <c r="M22" s="70">
        <f t="shared" si="6"/>
        <v>33930.710000000079</v>
      </c>
      <c r="N22" s="137"/>
    </row>
    <row r="23" spans="1:15">
      <c r="A23" s="67">
        <v>20</v>
      </c>
      <c r="B23" s="29">
        <v>45708</v>
      </c>
      <c r="C23" s="67">
        <v>847</v>
      </c>
      <c r="D23" s="67">
        <v>45610</v>
      </c>
      <c r="E23" s="67">
        <v>1800</v>
      </c>
      <c r="F23" s="68">
        <v>89.29</v>
      </c>
      <c r="G23" s="67">
        <f t="shared" si="3"/>
        <v>160722</v>
      </c>
      <c r="H23" s="67">
        <v>85</v>
      </c>
      <c r="I23" s="68">
        <v>103.24</v>
      </c>
      <c r="J23" s="70">
        <f t="shared" si="4"/>
        <v>8775.4</v>
      </c>
      <c r="K23" s="67">
        <f t="shared" si="5"/>
        <v>169497.4</v>
      </c>
      <c r="L23" s="91"/>
      <c r="M23" s="70">
        <f t="shared" si="6"/>
        <v>203428.11000000007</v>
      </c>
      <c r="N23" s="137"/>
    </row>
    <row r="24" spans="1:15">
      <c r="A24" s="67">
        <v>21</v>
      </c>
      <c r="B24" s="29">
        <v>45709</v>
      </c>
      <c r="C24" s="67"/>
      <c r="D24" s="67"/>
      <c r="E24" s="67"/>
      <c r="F24" s="68"/>
      <c r="G24" s="67">
        <f t="shared" si="3"/>
        <v>0</v>
      </c>
      <c r="H24" s="67"/>
      <c r="I24" s="68"/>
      <c r="J24" s="70">
        <f t="shared" ref="J24:J28" si="10">H24*I24</f>
        <v>0</v>
      </c>
      <c r="K24" s="67">
        <f t="shared" ref="K24:K28" si="11">G24+J24</f>
        <v>0</v>
      </c>
      <c r="L24" s="91"/>
      <c r="M24" s="70">
        <f t="shared" si="6"/>
        <v>203428.11000000007</v>
      </c>
      <c r="N24" s="137"/>
    </row>
    <row r="25" spans="1:15">
      <c r="A25" s="67">
        <v>22</v>
      </c>
      <c r="B25" s="29">
        <v>45710</v>
      </c>
      <c r="C25" s="67"/>
      <c r="D25" s="67"/>
      <c r="E25" s="67"/>
      <c r="F25" s="68"/>
      <c r="G25" s="67">
        <f t="shared" si="3"/>
        <v>0</v>
      </c>
      <c r="H25" s="67"/>
      <c r="I25" s="68"/>
      <c r="J25" s="70">
        <f t="shared" si="10"/>
        <v>0</v>
      </c>
      <c r="K25" s="67">
        <f t="shared" si="11"/>
        <v>0</v>
      </c>
      <c r="L25" s="91"/>
      <c r="M25" s="70">
        <f t="shared" si="6"/>
        <v>203428.11000000007</v>
      </c>
      <c r="N25" s="137"/>
    </row>
    <row r="26" spans="1:15">
      <c r="A26" s="67">
        <v>23</v>
      </c>
      <c r="B26" s="29">
        <v>45711</v>
      </c>
      <c r="C26" s="67"/>
      <c r="D26" s="67"/>
      <c r="E26" s="67"/>
      <c r="F26" s="68"/>
      <c r="G26" s="67">
        <f t="shared" si="3"/>
        <v>0</v>
      </c>
      <c r="H26" s="67"/>
      <c r="I26" s="68"/>
      <c r="J26" s="70">
        <f t="shared" si="10"/>
        <v>0</v>
      </c>
      <c r="K26" s="67">
        <f t="shared" si="11"/>
        <v>0</v>
      </c>
      <c r="L26" s="91"/>
      <c r="M26" s="70">
        <f t="shared" si="6"/>
        <v>203428.11000000007</v>
      </c>
      <c r="N26" s="137"/>
    </row>
    <row r="27" spans="1:15">
      <c r="A27" s="67">
        <v>24</v>
      </c>
      <c r="B27" s="29">
        <v>45712</v>
      </c>
      <c r="C27" s="67"/>
      <c r="D27" s="67"/>
      <c r="E27" s="67"/>
      <c r="F27" s="68"/>
      <c r="G27" s="67">
        <f t="shared" si="3"/>
        <v>0</v>
      </c>
      <c r="H27" s="67"/>
      <c r="I27" s="68"/>
      <c r="J27" s="70">
        <f t="shared" si="10"/>
        <v>0</v>
      </c>
      <c r="K27" s="67">
        <f t="shared" si="11"/>
        <v>0</v>
      </c>
      <c r="L27" s="91"/>
      <c r="M27" s="70">
        <f t="shared" si="6"/>
        <v>203428.11000000007</v>
      </c>
      <c r="N27" s="137"/>
    </row>
    <row r="28" spans="1:15">
      <c r="A28" s="67">
        <v>25</v>
      </c>
      <c r="B28" s="29">
        <v>45713</v>
      </c>
      <c r="C28" s="67">
        <v>849</v>
      </c>
      <c r="D28" s="67">
        <v>45650</v>
      </c>
      <c r="E28" s="67">
        <v>2000</v>
      </c>
      <c r="F28" s="68">
        <v>89.29</v>
      </c>
      <c r="G28" s="67">
        <f t="shared" si="3"/>
        <v>178580</v>
      </c>
      <c r="H28" s="67">
        <v>105</v>
      </c>
      <c r="I28" s="68">
        <v>103.24</v>
      </c>
      <c r="J28" s="70">
        <f t="shared" si="10"/>
        <v>10840.199999999999</v>
      </c>
      <c r="K28" s="67">
        <f t="shared" si="11"/>
        <v>189420.2</v>
      </c>
      <c r="L28" s="91"/>
      <c r="M28" s="70">
        <f t="shared" si="6"/>
        <v>392848.31000000006</v>
      </c>
      <c r="N28" s="137"/>
    </row>
    <row r="29" spans="1:15">
      <c r="A29" s="67">
        <v>26</v>
      </c>
      <c r="B29" s="29">
        <v>45714</v>
      </c>
      <c r="C29" s="67"/>
      <c r="D29" s="67"/>
      <c r="E29" s="67"/>
      <c r="F29" s="68"/>
      <c r="G29" s="67"/>
      <c r="H29" s="67"/>
      <c r="I29" s="68"/>
      <c r="J29" s="70"/>
      <c r="K29" s="67"/>
      <c r="L29" s="91"/>
      <c r="M29" s="70"/>
      <c r="N29" s="137"/>
    </row>
    <row r="30" spans="1:15">
      <c r="A30" s="67">
        <v>27</v>
      </c>
      <c r="B30" s="29">
        <v>45715</v>
      </c>
      <c r="C30" s="67"/>
      <c r="D30" s="67"/>
      <c r="E30" s="67"/>
      <c r="F30" s="68"/>
      <c r="G30" s="67"/>
      <c r="H30" s="67"/>
      <c r="I30" s="68"/>
      <c r="J30" s="70"/>
      <c r="K30" s="67"/>
      <c r="L30" s="91"/>
      <c r="M30" s="70"/>
      <c r="N30" s="137"/>
    </row>
    <row r="31" spans="1:15">
      <c r="A31" s="67">
        <v>28</v>
      </c>
      <c r="B31" s="29">
        <v>45716</v>
      </c>
      <c r="C31" s="67"/>
      <c r="D31" s="67"/>
      <c r="E31" s="67"/>
      <c r="F31" s="68"/>
      <c r="G31" s="67"/>
      <c r="H31" s="67"/>
      <c r="I31" s="68"/>
      <c r="J31" s="70"/>
      <c r="K31" s="67"/>
      <c r="L31" s="91"/>
      <c r="M31" s="70"/>
      <c r="N31" s="137"/>
    </row>
    <row r="32" spans="1:15">
      <c r="A32" s="63"/>
      <c r="B32" s="63"/>
      <c r="C32" s="63"/>
      <c r="D32" s="63"/>
      <c r="E32" s="64">
        <f>SUM(E4:E31)</f>
        <v>9300</v>
      </c>
      <c r="F32" s="64"/>
      <c r="G32" s="64">
        <f>SUM(G4:G31)</f>
        <v>830397</v>
      </c>
      <c r="H32" s="64">
        <f>SUM(H4:H31)</f>
        <v>520</v>
      </c>
      <c r="I32" s="64"/>
      <c r="J32" s="64">
        <f>SUM(J4:J31)</f>
        <v>53684.799999999996</v>
      </c>
      <c r="K32" s="64">
        <f>SUM(K4:K31)</f>
        <v>884081.8</v>
      </c>
      <c r="L32" s="64">
        <f>SUM(L4:L31)</f>
        <v>630331</v>
      </c>
      <c r="M32" s="64"/>
      <c r="N32" s="64"/>
      <c r="O32" s="36"/>
    </row>
    <row r="33" spans="1:15" s="71" customFormat="1">
      <c r="A33" s="60"/>
      <c r="B33" s="60"/>
      <c r="C33" s="60"/>
      <c r="D33" s="60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</row>
  </sheetData>
  <mergeCells count="2">
    <mergeCell ref="A1:N1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D09-8842-4F6A-8828-1D1304B346C4}">
  <dimension ref="A1:R37"/>
  <sheetViews>
    <sheetView workbookViewId="0">
      <pane ySplit="2" topLeftCell="A3" activePane="bottomLeft" state="frozen"/>
      <selection pane="bottomLeft" activeCell="E32" sqref="E32"/>
    </sheetView>
  </sheetViews>
  <sheetFormatPr defaultColWidth="11" defaultRowHeight="15"/>
  <cols>
    <col min="1" max="1" width="9.42578125" style="5" customWidth="1"/>
    <col min="2" max="3" width="11" style="5"/>
    <col min="4" max="4" width="16" style="5" bestFit="1" customWidth="1"/>
    <col min="5" max="5" width="11" style="5"/>
    <col min="6" max="6" width="15.5703125" style="5" customWidth="1"/>
    <col min="7" max="7" width="13.28515625" style="5" customWidth="1"/>
    <col min="8" max="9" width="11" style="5"/>
    <col min="10" max="10" width="11.5703125" style="5" customWidth="1"/>
    <col min="11" max="11" width="16.140625" style="5" customWidth="1"/>
    <col min="12" max="13" width="13.140625" style="5" customWidth="1"/>
    <col min="14" max="14" width="17.85546875" style="5" customWidth="1"/>
    <col min="15" max="16384" width="11" style="5"/>
  </cols>
  <sheetData>
    <row r="1" spans="1:18" ht="15.75" customHeight="1">
      <c r="A1" s="425" t="s">
        <v>15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77"/>
    </row>
    <row r="2" spans="1:18" ht="16.5" customHeight="1">
      <c r="A2" s="89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6</v>
      </c>
      <c r="J2" s="114" t="s">
        <v>7</v>
      </c>
      <c r="K2" s="89" t="s">
        <v>9</v>
      </c>
      <c r="L2" s="115" t="s">
        <v>10</v>
      </c>
      <c r="M2" s="115" t="s">
        <v>11</v>
      </c>
      <c r="N2" s="113" t="s">
        <v>12</v>
      </c>
      <c r="O2" s="84"/>
    </row>
    <row r="3" spans="1:18">
      <c r="A3" s="426" t="s">
        <v>13</v>
      </c>
      <c r="B3" s="426"/>
      <c r="C3" s="426"/>
      <c r="D3" s="426"/>
      <c r="E3" s="426"/>
      <c r="F3" s="426"/>
      <c r="G3" s="426"/>
      <c r="H3" s="426"/>
      <c r="I3" s="426"/>
      <c r="J3" s="426"/>
      <c r="K3" s="134">
        <v>2366214.696</v>
      </c>
      <c r="L3" s="184"/>
      <c r="M3" s="167">
        <f>K3</f>
        <v>2366214.696</v>
      </c>
      <c r="N3" s="6"/>
      <c r="O3" s="1"/>
    </row>
    <row r="4" spans="1:18">
      <c r="A4" s="28">
        <v>1</v>
      </c>
      <c r="B4" s="29">
        <v>45689</v>
      </c>
      <c r="C4" s="27"/>
      <c r="D4" s="27">
        <v>1046</v>
      </c>
      <c r="E4" s="8">
        <v>3000</v>
      </c>
      <c r="F4" s="8">
        <v>95.72</v>
      </c>
      <c r="G4" s="8">
        <f>E4*F4</f>
        <v>287160</v>
      </c>
      <c r="H4" s="9">
        <v>0</v>
      </c>
      <c r="I4" s="9">
        <v>0</v>
      </c>
      <c r="J4" s="8">
        <f>H4*I4</f>
        <v>0</v>
      </c>
      <c r="K4" s="8">
        <f>G4+J4</f>
        <v>287160</v>
      </c>
      <c r="L4" s="54">
        <v>1000000</v>
      </c>
      <c r="M4" s="168">
        <f>M3+K4-L4</f>
        <v>1653374.696</v>
      </c>
      <c r="N4" s="8"/>
      <c r="O4" s="1"/>
    </row>
    <row r="5" spans="1:18">
      <c r="A5" s="28">
        <v>2</v>
      </c>
      <c r="B5" s="303">
        <v>45690</v>
      </c>
      <c r="C5" s="27"/>
      <c r="D5" s="27" t="s">
        <v>16</v>
      </c>
      <c r="E5" s="8">
        <v>1662</v>
      </c>
      <c r="F5" s="8">
        <v>95.72</v>
      </c>
      <c r="G5" s="8">
        <f t="shared" ref="G5:G28" si="0">E5*F5</f>
        <v>159086.63999999998</v>
      </c>
      <c r="H5" s="9">
        <v>30</v>
      </c>
      <c r="I5" s="9">
        <v>107.5</v>
      </c>
      <c r="J5" s="8">
        <f t="shared" ref="J5:J27" si="1">H5*I5</f>
        <v>3225</v>
      </c>
      <c r="K5" s="8">
        <f t="shared" ref="K5:K28" si="2">G5+J5</f>
        <v>162311.63999999998</v>
      </c>
      <c r="L5" s="54"/>
      <c r="M5" s="168">
        <f t="shared" ref="M5:M28" si="3">M4+K5-L5</f>
        <v>1815686.3359999999</v>
      </c>
      <c r="N5" s="8"/>
      <c r="O5" s="1"/>
    </row>
    <row r="6" spans="1:18">
      <c r="A6" s="28">
        <v>3</v>
      </c>
      <c r="B6" s="29">
        <v>46056</v>
      </c>
      <c r="C6" s="27"/>
      <c r="D6" s="27">
        <v>1049</v>
      </c>
      <c r="E6" s="8">
        <v>1000</v>
      </c>
      <c r="F6" s="8">
        <v>95.72</v>
      </c>
      <c r="G6" s="8">
        <f t="shared" si="0"/>
        <v>95720</v>
      </c>
      <c r="H6" s="9">
        <v>0</v>
      </c>
      <c r="I6" s="9">
        <v>0</v>
      </c>
      <c r="J6" s="8">
        <f t="shared" si="1"/>
        <v>0</v>
      </c>
      <c r="K6" s="8">
        <f t="shared" si="2"/>
        <v>95720</v>
      </c>
      <c r="L6" s="8"/>
      <c r="M6" s="168">
        <f t="shared" si="3"/>
        <v>1911406.3359999999</v>
      </c>
      <c r="N6" s="8"/>
      <c r="O6" s="1"/>
    </row>
    <row r="7" spans="1:18">
      <c r="A7" s="28">
        <v>4</v>
      </c>
      <c r="B7" s="29">
        <v>45692</v>
      </c>
      <c r="C7" s="27"/>
      <c r="D7" s="27" t="s">
        <v>17</v>
      </c>
      <c r="E7" s="8">
        <v>1942</v>
      </c>
      <c r="F7" s="8">
        <v>95.72</v>
      </c>
      <c r="G7" s="8">
        <f t="shared" si="0"/>
        <v>185888.24</v>
      </c>
      <c r="H7" s="9">
        <v>35</v>
      </c>
      <c r="I7" s="9">
        <v>107.5</v>
      </c>
      <c r="J7" s="8">
        <f t="shared" si="1"/>
        <v>3762.5</v>
      </c>
      <c r="K7" s="8">
        <f t="shared" si="2"/>
        <v>189650.74</v>
      </c>
      <c r="L7" s="8"/>
      <c r="M7" s="168">
        <f t="shared" si="3"/>
        <v>2101057.0759999999</v>
      </c>
      <c r="N7" s="8"/>
      <c r="O7" s="1"/>
    </row>
    <row r="8" spans="1:18">
      <c r="A8" s="28">
        <v>5</v>
      </c>
      <c r="B8" s="29">
        <v>45693</v>
      </c>
      <c r="C8" s="27"/>
      <c r="D8" s="27">
        <v>1152</v>
      </c>
      <c r="E8" s="8">
        <v>524</v>
      </c>
      <c r="F8" s="8">
        <v>95.72</v>
      </c>
      <c r="G8" s="8">
        <f t="shared" si="0"/>
        <v>50157.279999999999</v>
      </c>
      <c r="H8" s="9">
        <v>0</v>
      </c>
      <c r="I8" s="9">
        <v>0</v>
      </c>
      <c r="J8" s="8">
        <v>0</v>
      </c>
      <c r="K8" s="8">
        <f t="shared" si="2"/>
        <v>50157.279999999999</v>
      </c>
      <c r="L8" s="8">
        <v>1000000</v>
      </c>
      <c r="M8" s="168">
        <f t="shared" si="3"/>
        <v>1151214.3559999997</v>
      </c>
      <c r="N8" s="137"/>
      <c r="O8" s="1"/>
      <c r="R8" s="5">
        <f>1800+1551.45</f>
        <v>3351.45</v>
      </c>
    </row>
    <row r="9" spans="1:18">
      <c r="A9" s="28">
        <v>6</v>
      </c>
      <c r="B9" s="29">
        <v>45694</v>
      </c>
      <c r="C9" s="27"/>
      <c r="D9" s="27">
        <v>1153</v>
      </c>
      <c r="E9" s="8">
        <v>965.03</v>
      </c>
      <c r="F9" s="8">
        <v>95.72</v>
      </c>
      <c r="G9" s="8">
        <f t="shared" si="0"/>
        <v>92372.671600000001</v>
      </c>
      <c r="H9" s="9">
        <v>0</v>
      </c>
      <c r="I9" s="9">
        <v>0</v>
      </c>
      <c r="J9" s="8">
        <f t="shared" si="1"/>
        <v>0</v>
      </c>
      <c r="K9" s="8">
        <f t="shared" si="2"/>
        <v>92372.671600000001</v>
      </c>
      <c r="L9" s="8"/>
      <c r="M9" s="168">
        <f t="shared" si="3"/>
        <v>1243587.0275999997</v>
      </c>
      <c r="N9" s="8"/>
      <c r="O9" s="1"/>
    </row>
    <row r="10" spans="1:18">
      <c r="A10" s="28">
        <v>7</v>
      </c>
      <c r="B10" s="29">
        <v>45695</v>
      </c>
      <c r="C10" s="27"/>
      <c r="D10" s="27" t="s">
        <v>18</v>
      </c>
      <c r="E10" s="8">
        <v>1784</v>
      </c>
      <c r="F10" s="8">
        <v>95.72</v>
      </c>
      <c r="G10" s="8">
        <f t="shared" si="0"/>
        <v>170764.48</v>
      </c>
      <c r="H10" s="9">
        <v>35</v>
      </c>
      <c r="I10" s="9">
        <v>107.5</v>
      </c>
      <c r="J10" s="8">
        <f t="shared" si="1"/>
        <v>3762.5</v>
      </c>
      <c r="K10" s="8">
        <f t="shared" si="2"/>
        <v>174526.98</v>
      </c>
      <c r="L10" s="8"/>
      <c r="M10" s="168">
        <f t="shared" si="3"/>
        <v>1418114.0075999997</v>
      </c>
      <c r="N10" s="8"/>
      <c r="O10" s="1"/>
    </row>
    <row r="11" spans="1:18">
      <c r="A11" s="28">
        <v>8</v>
      </c>
      <c r="B11" s="29">
        <v>45696</v>
      </c>
      <c r="C11" s="27"/>
      <c r="D11" s="27">
        <v>0</v>
      </c>
      <c r="E11" s="8">
        <v>0</v>
      </c>
      <c r="F11" s="8">
        <v>95.72</v>
      </c>
      <c r="G11" s="8">
        <f t="shared" si="0"/>
        <v>0</v>
      </c>
      <c r="H11" s="9">
        <v>0</v>
      </c>
      <c r="I11" s="9">
        <v>107.5</v>
      </c>
      <c r="J11" s="8">
        <f t="shared" si="1"/>
        <v>0</v>
      </c>
      <c r="K11" s="8">
        <f t="shared" si="2"/>
        <v>0</v>
      </c>
      <c r="L11" s="8"/>
      <c r="M11" s="168">
        <f t="shared" si="3"/>
        <v>1418114.0075999997</v>
      </c>
      <c r="N11" s="8"/>
      <c r="O11" s="1"/>
    </row>
    <row r="12" spans="1:18">
      <c r="A12" s="28">
        <v>9</v>
      </c>
      <c r="B12" s="29">
        <v>45697</v>
      </c>
      <c r="C12" s="27"/>
      <c r="D12" s="27" t="s">
        <v>19</v>
      </c>
      <c r="E12" s="8">
        <v>3866.02</v>
      </c>
      <c r="F12" s="8">
        <v>95.72</v>
      </c>
      <c r="G12" s="8">
        <f t="shared" si="0"/>
        <v>370055.43439999997</v>
      </c>
      <c r="H12" s="9">
        <v>0</v>
      </c>
      <c r="I12" s="9">
        <v>107.5</v>
      </c>
      <c r="J12" s="8">
        <f t="shared" si="1"/>
        <v>0</v>
      </c>
      <c r="K12" s="8">
        <f t="shared" si="2"/>
        <v>370055.43439999997</v>
      </c>
      <c r="L12" s="8"/>
      <c r="M12" s="168">
        <f t="shared" si="3"/>
        <v>1788169.4419999996</v>
      </c>
      <c r="N12" s="8"/>
      <c r="O12" s="1"/>
    </row>
    <row r="13" spans="1:18">
      <c r="A13" s="28">
        <v>10</v>
      </c>
      <c r="B13" s="29">
        <v>45698</v>
      </c>
      <c r="C13" s="27"/>
      <c r="D13" s="27">
        <v>1159</v>
      </c>
      <c r="E13" s="8">
        <v>0</v>
      </c>
      <c r="F13" s="8">
        <v>95.72</v>
      </c>
      <c r="G13" s="8">
        <f t="shared" si="0"/>
        <v>0</v>
      </c>
      <c r="H13" s="9">
        <v>20</v>
      </c>
      <c r="I13" s="9">
        <v>107.5</v>
      </c>
      <c r="J13" s="8">
        <f t="shared" si="1"/>
        <v>2150</v>
      </c>
      <c r="K13" s="8">
        <f t="shared" si="2"/>
        <v>2150</v>
      </c>
      <c r="L13" s="8"/>
      <c r="M13" s="168">
        <f t="shared" si="3"/>
        <v>1790319.4419999996</v>
      </c>
      <c r="N13" s="8"/>
      <c r="O13" s="1"/>
    </row>
    <row r="14" spans="1:18">
      <c r="A14" s="28">
        <v>11</v>
      </c>
      <c r="B14" s="29">
        <v>45699</v>
      </c>
      <c r="C14" s="27"/>
      <c r="D14" s="27" t="s">
        <v>20</v>
      </c>
      <c r="E14" s="8">
        <v>3680.63</v>
      </c>
      <c r="F14" s="8">
        <v>95.72</v>
      </c>
      <c r="G14" s="8">
        <f t="shared" si="0"/>
        <v>352309.90360000002</v>
      </c>
      <c r="H14" s="9">
        <v>20</v>
      </c>
      <c r="I14" s="9">
        <v>107.5</v>
      </c>
      <c r="J14" s="8">
        <f t="shared" si="1"/>
        <v>2150</v>
      </c>
      <c r="K14" s="8">
        <f t="shared" si="2"/>
        <v>354459.90360000002</v>
      </c>
      <c r="L14" s="8"/>
      <c r="M14" s="168">
        <f t="shared" si="3"/>
        <v>2144779.3455999997</v>
      </c>
      <c r="N14" s="8"/>
      <c r="O14" s="1"/>
    </row>
    <row r="15" spans="1:18">
      <c r="A15" s="28">
        <v>12</v>
      </c>
      <c r="B15" s="29">
        <v>45700</v>
      </c>
      <c r="C15" s="27"/>
      <c r="D15" s="27" t="s">
        <v>21</v>
      </c>
      <c r="E15" s="8">
        <v>2239</v>
      </c>
      <c r="F15" s="8">
        <v>95.72</v>
      </c>
      <c r="G15" s="8">
        <f t="shared" si="0"/>
        <v>214317.08</v>
      </c>
      <c r="H15" s="9">
        <v>0</v>
      </c>
      <c r="I15" s="9">
        <v>107.5</v>
      </c>
      <c r="J15" s="8">
        <f t="shared" si="1"/>
        <v>0</v>
      </c>
      <c r="K15" s="8">
        <f t="shared" si="2"/>
        <v>214317.08</v>
      </c>
      <c r="L15" s="8"/>
      <c r="M15" s="168">
        <f t="shared" si="3"/>
        <v>2359096.4255999997</v>
      </c>
      <c r="N15" s="8"/>
      <c r="O15" s="1"/>
    </row>
    <row r="16" spans="1:18">
      <c r="A16" s="28">
        <v>13</v>
      </c>
      <c r="B16" s="29">
        <v>45701</v>
      </c>
      <c r="C16" s="27"/>
      <c r="D16" s="27" t="s">
        <v>22</v>
      </c>
      <c r="E16" s="8">
        <v>2500</v>
      </c>
      <c r="F16" s="8">
        <v>95.72</v>
      </c>
      <c r="G16" s="8">
        <f t="shared" si="0"/>
        <v>239300</v>
      </c>
      <c r="H16" s="9">
        <v>35</v>
      </c>
      <c r="I16" s="9">
        <v>107.5</v>
      </c>
      <c r="J16" s="8">
        <f t="shared" si="1"/>
        <v>3762.5</v>
      </c>
      <c r="K16" s="8">
        <f t="shared" si="2"/>
        <v>243062.5</v>
      </c>
      <c r="L16" s="8"/>
      <c r="M16" s="168">
        <f t="shared" si="3"/>
        <v>2602158.9255999997</v>
      </c>
      <c r="N16" s="8"/>
      <c r="O16" s="1"/>
    </row>
    <row r="17" spans="1:16">
      <c r="A17" s="28">
        <v>14</v>
      </c>
      <c r="B17" s="29">
        <v>45702</v>
      </c>
      <c r="C17" s="27"/>
      <c r="D17" s="27" t="s">
        <v>23</v>
      </c>
      <c r="E17" s="8">
        <v>5137</v>
      </c>
      <c r="F17" s="8">
        <v>95.72</v>
      </c>
      <c r="G17" s="8">
        <f t="shared" si="0"/>
        <v>491713.64</v>
      </c>
      <c r="H17" s="9">
        <v>55</v>
      </c>
      <c r="I17" s="9">
        <v>107.5</v>
      </c>
      <c r="J17" s="8">
        <f t="shared" si="1"/>
        <v>5912.5</v>
      </c>
      <c r="K17" s="8">
        <f t="shared" si="2"/>
        <v>497626.14</v>
      </c>
      <c r="L17" s="8"/>
      <c r="M17" s="168">
        <f t="shared" si="3"/>
        <v>3099785.0655999999</v>
      </c>
      <c r="N17" s="8"/>
      <c r="O17" s="1"/>
    </row>
    <row r="18" spans="1:16">
      <c r="A18" s="28">
        <v>15</v>
      </c>
      <c r="B18" s="29">
        <v>45703</v>
      </c>
      <c r="C18" s="27"/>
      <c r="D18" s="27">
        <v>1172</v>
      </c>
      <c r="E18" s="8">
        <v>2488.5500000000002</v>
      </c>
      <c r="F18" s="8">
        <v>95.72</v>
      </c>
      <c r="G18" s="8">
        <f t="shared" si="0"/>
        <v>238204.00600000002</v>
      </c>
      <c r="H18" s="9">
        <v>0</v>
      </c>
      <c r="I18" s="9">
        <v>0</v>
      </c>
      <c r="J18" s="8">
        <f t="shared" si="1"/>
        <v>0</v>
      </c>
      <c r="K18" s="8">
        <f t="shared" si="2"/>
        <v>238204.00600000002</v>
      </c>
      <c r="L18" s="8"/>
      <c r="M18" s="168">
        <f t="shared" si="3"/>
        <v>3337989.0715999999</v>
      </c>
      <c r="N18" s="8"/>
      <c r="O18" s="1"/>
    </row>
    <row r="19" spans="1:16">
      <c r="A19" s="28">
        <v>16</v>
      </c>
      <c r="B19" s="29">
        <v>45704</v>
      </c>
      <c r="C19" s="27"/>
      <c r="D19" s="27">
        <v>0</v>
      </c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8"/>
      <c r="M19" s="168">
        <f t="shared" si="3"/>
        <v>3337989.0715999999</v>
      </c>
      <c r="N19" s="8"/>
      <c r="O19" s="1"/>
    </row>
    <row r="20" spans="1:16">
      <c r="A20" s="28">
        <v>17</v>
      </c>
      <c r="B20" s="29">
        <v>45705</v>
      </c>
      <c r="C20" s="27"/>
      <c r="D20" s="27">
        <v>0</v>
      </c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8"/>
      <c r="M20" s="168">
        <f t="shared" si="3"/>
        <v>3337989.0715999999</v>
      </c>
      <c r="N20" s="8"/>
      <c r="O20" s="1"/>
    </row>
    <row r="21" spans="1:16">
      <c r="A21" s="28">
        <v>18</v>
      </c>
      <c r="B21" s="29">
        <v>45706</v>
      </c>
      <c r="C21" s="27"/>
      <c r="D21" s="27">
        <v>0</v>
      </c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8">
        <v>1500000</v>
      </c>
      <c r="M21" s="168">
        <f t="shared" si="3"/>
        <v>1837989.0715999999</v>
      </c>
      <c r="N21" s="8"/>
      <c r="O21" s="1"/>
    </row>
    <row r="22" spans="1:16">
      <c r="A22" s="28">
        <v>19</v>
      </c>
      <c r="B22" s="29">
        <v>45707</v>
      </c>
      <c r="C22" s="27"/>
      <c r="D22" s="27">
        <v>1173</v>
      </c>
      <c r="E22" s="8">
        <v>1200</v>
      </c>
      <c r="F22" s="8">
        <v>95.72</v>
      </c>
      <c r="G22" s="8">
        <f t="shared" si="0"/>
        <v>114864</v>
      </c>
      <c r="H22" s="9">
        <v>0</v>
      </c>
      <c r="I22" s="9">
        <v>0</v>
      </c>
      <c r="J22" s="8">
        <f t="shared" si="1"/>
        <v>0</v>
      </c>
      <c r="K22" s="8">
        <f t="shared" si="2"/>
        <v>114864</v>
      </c>
      <c r="L22" s="8"/>
      <c r="M22" s="168">
        <f t="shared" si="3"/>
        <v>1952853.0715999999</v>
      </c>
      <c r="N22" s="8"/>
      <c r="O22" s="1"/>
    </row>
    <row r="23" spans="1:16">
      <c r="A23" s="28">
        <v>20</v>
      </c>
      <c r="B23" s="29">
        <v>45708</v>
      </c>
      <c r="C23" s="27"/>
      <c r="D23" s="27">
        <v>1174</v>
      </c>
      <c r="E23" s="8">
        <v>1567</v>
      </c>
      <c r="F23" s="8">
        <v>95.72</v>
      </c>
      <c r="G23" s="8">
        <f t="shared" si="0"/>
        <v>149993.24</v>
      </c>
      <c r="H23" s="9">
        <v>0</v>
      </c>
      <c r="I23" s="9">
        <v>0</v>
      </c>
      <c r="J23" s="8">
        <f t="shared" si="1"/>
        <v>0</v>
      </c>
      <c r="K23" s="8">
        <f t="shared" si="2"/>
        <v>149993.24</v>
      </c>
      <c r="L23" s="8"/>
      <c r="M23" s="168">
        <f t="shared" si="3"/>
        <v>2102846.3115999997</v>
      </c>
      <c r="N23" s="8"/>
      <c r="O23" s="1"/>
      <c r="P23" s="134"/>
    </row>
    <row r="24" spans="1:16">
      <c r="A24" s="28">
        <v>21</v>
      </c>
      <c r="B24" s="29">
        <v>45709</v>
      </c>
      <c r="C24" s="27"/>
      <c r="D24" s="27" t="s">
        <v>24</v>
      </c>
      <c r="E24" s="8">
        <v>2000</v>
      </c>
      <c r="F24" s="8">
        <v>95.72</v>
      </c>
      <c r="G24" s="8">
        <f t="shared" si="0"/>
        <v>191440</v>
      </c>
      <c r="H24" s="9">
        <v>20</v>
      </c>
      <c r="I24" s="9">
        <v>107.5</v>
      </c>
      <c r="J24" s="8">
        <f t="shared" si="1"/>
        <v>2150</v>
      </c>
      <c r="K24" s="8">
        <f t="shared" si="2"/>
        <v>193590</v>
      </c>
      <c r="L24" s="8"/>
      <c r="M24" s="168">
        <f t="shared" si="3"/>
        <v>2296436.3115999997</v>
      </c>
      <c r="N24" s="8"/>
      <c r="O24" s="1"/>
      <c r="P24" s="134">
        <v>823204.44360000012</v>
      </c>
    </row>
    <row r="25" spans="1:16">
      <c r="A25" s="28">
        <v>22</v>
      </c>
      <c r="B25" s="29">
        <v>45710</v>
      </c>
      <c r="C25" s="27"/>
      <c r="D25" s="27" t="s">
        <v>25</v>
      </c>
      <c r="E25" s="8">
        <v>5668.02</v>
      </c>
      <c r="F25" s="8">
        <v>95.72</v>
      </c>
      <c r="G25" s="8">
        <f t="shared" si="0"/>
        <v>542542.87440000009</v>
      </c>
      <c r="H25" s="9">
        <v>20</v>
      </c>
      <c r="I25" s="9">
        <v>107.5</v>
      </c>
      <c r="J25" s="8">
        <f t="shared" si="1"/>
        <v>2150</v>
      </c>
      <c r="K25" s="8">
        <f t="shared" si="2"/>
        <v>544692.87440000009</v>
      </c>
      <c r="L25" s="8"/>
      <c r="M25" s="168">
        <f>M24+K25-L25</f>
        <v>2841129.1859999998</v>
      </c>
      <c r="N25" s="8"/>
      <c r="O25" s="1"/>
      <c r="P25" s="8">
        <v>542542.87440000009</v>
      </c>
    </row>
    <row r="26" spans="1:16">
      <c r="A26" s="28">
        <v>23</v>
      </c>
      <c r="B26" s="29">
        <v>45711</v>
      </c>
      <c r="C26" s="27"/>
      <c r="D26" s="27">
        <v>1181</v>
      </c>
      <c r="E26" s="8">
        <v>1600</v>
      </c>
      <c r="F26" s="8">
        <v>95.72</v>
      </c>
      <c r="G26" s="8">
        <f t="shared" si="0"/>
        <v>153152</v>
      </c>
      <c r="H26" s="9">
        <v>0</v>
      </c>
      <c r="I26" s="9">
        <v>0</v>
      </c>
      <c r="J26" s="8">
        <f t="shared" si="1"/>
        <v>0</v>
      </c>
      <c r="K26" s="8">
        <f t="shared" si="2"/>
        <v>153152</v>
      </c>
      <c r="L26" s="8"/>
      <c r="M26" s="168">
        <f>M25+K26-L26</f>
        <v>2994281.1859999998</v>
      </c>
      <c r="N26" s="8"/>
      <c r="O26" s="1"/>
      <c r="P26" s="8">
        <v>153152</v>
      </c>
    </row>
    <row r="27" spans="1:16">
      <c r="A27" s="28">
        <v>24</v>
      </c>
      <c r="B27" s="29">
        <v>45712</v>
      </c>
      <c r="C27" s="27"/>
      <c r="D27" s="27">
        <v>1182</v>
      </c>
      <c r="E27" s="8">
        <v>1332.11</v>
      </c>
      <c r="F27" s="8">
        <v>95.72</v>
      </c>
      <c r="G27" s="8">
        <f t="shared" si="0"/>
        <v>127509.56919999998</v>
      </c>
      <c r="H27" s="9">
        <v>0</v>
      </c>
      <c r="I27" s="9">
        <v>0</v>
      </c>
      <c r="J27" s="8">
        <f t="shared" si="1"/>
        <v>0</v>
      </c>
      <c r="K27" s="8">
        <f t="shared" si="2"/>
        <v>127509.56919999998</v>
      </c>
      <c r="L27" s="8"/>
      <c r="M27" s="168">
        <f t="shared" si="3"/>
        <v>3121790.7551999995</v>
      </c>
      <c r="N27" s="8"/>
      <c r="O27" s="1"/>
      <c r="P27" s="8">
        <v>127509.56919999998</v>
      </c>
    </row>
    <row r="28" spans="1:16">
      <c r="A28" s="28">
        <v>25</v>
      </c>
      <c r="B28" s="29">
        <v>45713</v>
      </c>
      <c r="C28" s="27"/>
      <c r="D28" s="27">
        <v>1183</v>
      </c>
      <c r="E28" s="8">
        <v>2000</v>
      </c>
      <c r="F28" s="8">
        <v>95.72</v>
      </c>
      <c r="G28" s="8">
        <f t="shared" si="0"/>
        <v>191440</v>
      </c>
      <c r="H28" s="9">
        <v>0</v>
      </c>
      <c r="I28" s="9">
        <v>0</v>
      </c>
      <c r="J28" s="8"/>
      <c r="K28" s="8">
        <f t="shared" si="2"/>
        <v>191440</v>
      </c>
      <c r="L28" s="8"/>
      <c r="M28" s="168">
        <f t="shared" si="3"/>
        <v>3313230.7551999995</v>
      </c>
      <c r="N28" s="8"/>
      <c r="O28" s="1"/>
      <c r="P28" s="134">
        <f>SUM(P25:P27)</f>
        <v>823204.44360000012</v>
      </c>
    </row>
    <row r="29" spans="1:16">
      <c r="A29" s="28">
        <v>26</v>
      </c>
      <c r="B29" s="29">
        <v>45714</v>
      </c>
      <c r="C29" s="27"/>
      <c r="D29" s="27"/>
      <c r="E29" s="8"/>
      <c r="F29" s="8"/>
      <c r="G29" s="8"/>
      <c r="H29" s="9"/>
      <c r="I29" s="9"/>
      <c r="J29" s="8"/>
      <c r="K29" s="8"/>
      <c r="L29" s="8"/>
      <c r="M29" s="168"/>
      <c r="N29" s="8"/>
      <c r="O29" s="1"/>
    </row>
    <row r="30" spans="1:16">
      <c r="A30" s="28">
        <v>27</v>
      </c>
      <c r="B30" s="29">
        <v>45715</v>
      </c>
      <c r="C30" s="27"/>
      <c r="D30" s="27"/>
      <c r="E30" s="8"/>
      <c r="F30" s="8"/>
      <c r="G30" s="8"/>
      <c r="H30" s="9"/>
      <c r="I30" s="9"/>
      <c r="J30" s="8"/>
      <c r="K30" s="8"/>
      <c r="L30" s="8"/>
      <c r="M30" s="168"/>
      <c r="N30" s="8"/>
      <c r="O30" s="1"/>
    </row>
    <row r="31" spans="1:16">
      <c r="A31" s="28">
        <v>28</v>
      </c>
      <c r="B31" s="29">
        <v>45716</v>
      </c>
      <c r="C31" s="27"/>
      <c r="D31" s="27"/>
      <c r="E31" s="8"/>
      <c r="F31" s="8"/>
      <c r="G31" s="8"/>
      <c r="H31" s="9"/>
      <c r="I31" s="9"/>
      <c r="J31" s="8"/>
      <c r="K31" s="8"/>
      <c r="L31" s="8"/>
      <c r="M31" s="168"/>
      <c r="N31" s="8"/>
      <c r="O31" s="1"/>
    </row>
    <row r="32" spans="1:16">
      <c r="A32" s="63"/>
      <c r="B32" s="63"/>
      <c r="C32" s="63"/>
      <c r="D32" s="63"/>
      <c r="E32" s="64">
        <f>SUM(E4:E31)</f>
        <v>46155.360000000001</v>
      </c>
      <c r="F32" s="64"/>
      <c r="G32" s="64">
        <f>SUM(G4:G31)</f>
        <v>4417991.0592</v>
      </c>
      <c r="H32" s="64">
        <f>SUM(H4:H31)</f>
        <v>270</v>
      </c>
      <c r="I32" s="64"/>
      <c r="J32" s="64">
        <f>SUM(J4:J31)</f>
        <v>29025</v>
      </c>
      <c r="K32" s="64">
        <f>SUM(K4:K31)</f>
        <v>4447016.0592</v>
      </c>
      <c r="L32" s="64">
        <f>SUM(L3:L31)</f>
        <v>3500000</v>
      </c>
      <c r="M32" s="64"/>
      <c r="N32" s="64"/>
      <c r="O32" s="36"/>
    </row>
    <row r="33" spans="1:15">
      <c r="A33" s="1"/>
      <c r="B33" s="1"/>
      <c r="C33" s="1"/>
      <c r="D33" s="1"/>
      <c r="E33" s="1"/>
      <c r="F33" s="1"/>
      <c r="G33" s="3"/>
      <c r="H33" s="1"/>
      <c r="I33" s="1"/>
      <c r="J33" s="1"/>
      <c r="K33" s="1"/>
      <c r="L33" s="1"/>
      <c r="M33" s="1"/>
      <c r="N33" s="1"/>
    </row>
    <row r="34" spans="1:15">
      <c r="A34" s="1"/>
      <c r="B34" s="419"/>
      <c r="C34" s="419"/>
      <c r="D34" s="419"/>
      <c r="E34" s="419"/>
      <c r="F34" s="1"/>
      <c r="G34" s="1"/>
      <c r="H34" s="1"/>
      <c r="I34" s="419"/>
      <c r="J34" s="419"/>
      <c r="K34" s="419"/>
      <c r="L34" s="419"/>
      <c r="M34" s="419"/>
      <c r="N34" s="419"/>
      <c r="O34" s="4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"/>
    </row>
    <row r="37" spans="1:15">
      <c r="M37" s="5">
        <v>1911404.3360000004</v>
      </c>
    </row>
  </sheetData>
  <mergeCells count="4">
    <mergeCell ref="B34:E34"/>
    <mergeCell ref="I34:N34"/>
    <mergeCell ref="A1:N1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5961-9A19-4008-9D9A-8602856AE5E6}">
  <dimension ref="A1:R41"/>
  <sheetViews>
    <sheetView workbookViewId="0">
      <pane ySplit="2" topLeftCell="A3" activePane="bottomLeft" state="frozen"/>
      <selection pane="bottomLeft" activeCell="G34" sqref="G34"/>
    </sheetView>
  </sheetViews>
  <sheetFormatPr defaultRowHeight="15"/>
  <cols>
    <col min="1" max="1" width="5.140625" bestFit="1" customWidth="1"/>
    <col min="2" max="2" width="13" customWidth="1"/>
    <col min="3" max="3" width="16.85546875" bestFit="1" customWidth="1"/>
    <col min="4" max="4" width="16" bestFit="1" customWidth="1"/>
    <col min="5" max="5" width="10.7109375" customWidth="1"/>
    <col min="6" max="6" width="15.140625" customWidth="1"/>
    <col min="7" max="7" width="13.7109375" customWidth="1"/>
    <col min="8" max="8" width="10.5703125" customWidth="1"/>
    <col min="9" max="9" width="9.140625" style="24"/>
    <col min="11" max="11" width="15.28515625" customWidth="1"/>
    <col min="12" max="13" width="14.28515625" customWidth="1"/>
    <col min="14" max="14" width="18.28515625" bestFit="1" customWidth="1"/>
  </cols>
  <sheetData>
    <row r="1" spans="1:15" ht="15.75" customHeight="1">
      <c r="A1" s="425" t="s">
        <v>26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77"/>
    </row>
    <row r="2" spans="1:15">
      <c r="A2" s="89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6</v>
      </c>
      <c r="J2" s="114" t="s">
        <v>7</v>
      </c>
      <c r="K2" s="160" t="s">
        <v>9</v>
      </c>
      <c r="L2" s="163" t="s">
        <v>10</v>
      </c>
      <c r="M2" s="163" t="s">
        <v>27</v>
      </c>
      <c r="N2" s="161" t="s">
        <v>12</v>
      </c>
      <c r="O2" s="84"/>
    </row>
    <row r="3" spans="1:15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23"/>
      <c r="K3" s="304">
        <v>2584221.6967999996</v>
      </c>
      <c r="L3" s="127"/>
      <c r="M3" s="53">
        <f>+K3</f>
        <v>2584221.6967999996</v>
      </c>
      <c r="N3" s="19"/>
      <c r="O3" s="1"/>
    </row>
    <row r="4" spans="1:15" ht="15.75">
      <c r="A4" s="28">
        <v>1</v>
      </c>
      <c r="B4" s="29">
        <v>45689</v>
      </c>
      <c r="C4" s="20">
        <v>143</v>
      </c>
      <c r="D4" s="20"/>
      <c r="E4" s="56">
        <v>2500</v>
      </c>
      <c r="F4" s="52">
        <v>95.68</v>
      </c>
      <c r="G4" s="56">
        <f>E4*F4</f>
        <v>239200.00000000003</v>
      </c>
      <c r="H4" s="20">
        <v>0</v>
      </c>
      <c r="I4" s="50">
        <v>0</v>
      </c>
      <c r="J4" s="20">
        <f>H4*I4</f>
        <v>0</v>
      </c>
      <c r="K4" s="185">
        <f>G4+J4</f>
        <v>239200.00000000003</v>
      </c>
      <c r="L4" s="186">
        <v>1000000</v>
      </c>
      <c r="M4" s="187">
        <f>M3+K4-L4</f>
        <v>1823421.6967999996</v>
      </c>
      <c r="N4" s="186"/>
      <c r="O4" s="1"/>
    </row>
    <row r="5" spans="1:15" ht="15.75">
      <c r="A5" s="28">
        <v>2</v>
      </c>
      <c r="B5" s="303">
        <v>45690</v>
      </c>
      <c r="C5" s="20">
        <v>0</v>
      </c>
      <c r="D5" s="20"/>
      <c r="E5" s="56">
        <v>0</v>
      </c>
      <c r="F5" s="52">
        <v>95.68</v>
      </c>
      <c r="G5" s="56">
        <f t="shared" ref="G5:G31" si="0">E5*F5</f>
        <v>0</v>
      </c>
      <c r="H5" s="20">
        <v>0</v>
      </c>
      <c r="I5" s="50">
        <v>0</v>
      </c>
      <c r="J5" s="20">
        <f t="shared" ref="J5:J16" si="1">H5*I5</f>
        <v>0</v>
      </c>
      <c r="K5" s="57">
        <f t="shared" ref="K5:K6" si="2">G5+J5</f>
        <v>0</v>
      </c>
      <c r="L5" s="20"/>
      <c r="M5" s="136">
        <f>M4+K5-L5</f>
        <v>1823421.6967999996</v>
      </c>
      <c r="N5" s="20"/>
      <c r="O5" s="1"/>
    </row>
    <row r="6" spans="1:15" ht="15.75">
      <c r="A6" s="28">
        <v>3</v>
      </c>
      <c r="B6" s="29">
        <v>46056</v>
      </c>
      <c r="C6" s="20">
        <v>144</v>
      </c>
      <c r="D6" s="20"/>
      <c r="E6" s="56">
        <v>2350</v>
      </c>
      <c r="F6" s="52">
        <v>95.68</v>
      </c>
      <c r="G6" s="56">
        <f t="shared" si="0"/>
        <v>224848.00000000003</v>
      </c>
      <c r="H6" s="20">
        <v>0</v>
      </c>
      <c r="I6" s="50">
        <v>0</v>
      </c>
      <c r="J6" s="20">
        <f t="shared" si="1"/>
        <v>0</v>
      </c>
      <c r="K6" s="57">
        <f>G6+J6</f>
        <v>224848.00000000003</v>
      </c>
      <c r="L6" s="20"/>
      <c r="M6" s="136">
        <f t="shared" ref="M6:M36" si="3">M5+K6-L6</f>
        <v>2048269.6967999996</v>
      </c>
      <c r="N6" s="20"/>
      <c r="O6" s="1"/>
    </row>
    <row r="7" spans="1:15" ht="15.75">
      <c r="A7" s="28">
        <v>4</v>
      </c>
      <c r="B7" s="29">
        <v>45692</v>
      </c>
      <c r="C7" s="27" t="s">
        <v>28</v>
      </c>
      <c r="D7" s="20"/>
      <c r="E7" s="56">
        <v>2000</v>
      </c>
      <c r="F7" s="52">
        <v>95.68</v>
      </c>
      <c r="G7" s="56">
        <f t="shared" si="0"/>
        <v>191360</v>
      </c>
      <c r="H7" s="20">
        <v>55</v>
      </c>
      <c r="I7" s="50">
        <v>107.46</v>
      </c>
      <c r="J7" s="20">
        <f t="shared" si="1"/>
        <v>5910.2999999999993</v>
      </c>
      <c r="K7" s="8">
        <f>G7+J7</f>
        <v>197270.3</v>
      </c>
      <c r="L7" s="54"/>
      <c r="M7" s="136">
        <f t="shared" si="3"/>
        <v>2245539.9967999994</v>
      </c>
      <c r="N7" s="8"/>
      <c r="O7" s="1"/>
    </row>
    <row r="8" spans="1:15" ht="15.75">
      <c r="A8" s="28">
        <v>5</v>
      </c>
      <c r="B8" s="29">
        <v>45693</v>
      </c>
      <c r="C8" s="27" t="s">
        <v>29</v>
      </c>
      <c r="D8" s="20"/>
      <c r="E8" s="56">
        <v>2000</v>
      </c>
      <c r="F8" s="52">
        <v>95.68</v>
      </c>
      <c r="G8" s="56">
        <f t="shared" si="0"/>
        <v>191360</v>
      </c>
      <c r="H8" s="20">
        <v>35</v>
      </c>
      <c r="I8" s="50">
        <v>107.46</v>
      </c>
      <c r="J8" s="20">
        <f t="shared" si="1"/>
        <v>3761.1</v>
      </c>
      <c r="K8" s="8">
        <f t="shared" ref="K8:K19" si="4">G8+J8</f>
        <v>195121.1</v>
      </c>
      <c r="L8" s="54">
        <v>1000000</v>
      </c>
      <c r="M8" s="136">
        <f t="shared" si="3"/>
        <v>1440661.0967999995</v>
      </c>
      <c r="N8" s="8"/>
      <c r="O8" s="1"/>
    </row>
    <row r="9" spans="1:15" ht="15.75">
      <c r="A9" s="28">
        <v>6</v>
      </c>
      <c r="B9" s="29">
        <v>45694</v>
      </c>
      <c r="C9" s="27" t="s">
        <v>30</v>
      </c>
      <c r="D9" s="20"/>
      <c r="E9" s="56">
        <v>2270</v>
      </c>
      <c r="F9" s="52">
        <v>95.68</v>
      </c>
      <c r="G9" s="56">
        <f t="shared" si="0"/>
        <v>217193.60000000001</v>
      </c>
      <c r="H9" s="20">
        <v>20</v>
      </c>
      <c r="I9" s="50">
        <v>107.46</v>
      </c>
      <c r="J9" s="20">
        <f t="shared" si="1"/>
        <v>2149.1999999999998</v>
      </c>
      <c r="K9" s="8">
        <f t="shared" si="4"/>
        <v>219342.80000000002</v>
      </c>
      <c r="L9" s="54"/>
      <c r="M9" s="136">
        <f t="shared" si="3"/>
        <v>1660003.8967999995</v>
      </c>
      <c r="N9" s="8"/>
      <c r="O9" s="1"/>
    </row>
    <row r="10" spans="1:15" ht="15.75">
      <c r="A10" s="28">
        <v>7</v>
      </c>
      <c r="B10" s="29">
        <v>45695</v>
      </c>
      <c r="C10" s="27" t="s">
        <v>31</v>
      </c>
      <c r="D10" s="20"/>
      <c r="E10" s="56">
        <v>2000</v>
      </c>
      <c r="F10" s="52">
        <v>95.68</v>
      </c>
      <c r="G10" s="56">
        <f t="shared" si="0"/>
        <v>191360</v>
      </c>
      <c r="H10" s="20">
        <v>20</v>
      </c>
      <c r="I10" s="50">
        <v>107.46</v>
      </c>
      <c r="J10" s="20">
        <f t="shared" si="1"/>
        <v>2149.1999999999998</v>
      </c>
      <c r="K10" s="8">
        <f t="shared" si="4"/>
        <v>193509.2</v>
      </c>
      <c r="L10" s="8"/>
      <c r="M10" s="136">
        <f t="shared" si="3"/>
        <v>1853513.0967999995</v>
      </c>
      <c r="N10" s="8"/>
      <c r="O10" s="1"/>
    </row>
    <row r="11" spans="1:15" ht="15.75">
      <c r="A11" s="28">
        <v>8</v>
      </c>
      <c r="B11" s="29">
        <v>45696</v>
      </c>
      <c r="C11" s="293" t="s">
        <v>32</v>
      </c>
      <c r="D11" s="307"/>
      <c r="E11" s="308">
        <v>3000</v>
      </c>
      <c r="F11" s="52">
        <v>95.68</v>
      </c>
      <c r="G11" s="56">
        <f t="shared" si="0"/>
        <v>287040</v>
      </c>
      <c r="H11" s="20">
        <v>20</v>
      </c>
      <c r="I11" s="50">
        <v>107.46</v>
      </c>
      <c r="J11" s="20">
        <f t="shared" si="1"/>
        <v>2149.1999999999998</v>
      </c>
      <c r="K11" s="8">
        <f t="shared" si="4"/>
        <v>289189.2</v>
      </c>
      <c r="L11" s="8"/>
      <c r="M11" s="136">
        <f t="shared" si="3"/>
        <v>2142702.2967999997</v>
      </c>
      <c r="N11" s="8"/>
      <c r="O11" s="1"/>
    </row>
    <row r="12" spans="1:15" ht="15.75">
      <c r="A12" s="28">
        <v>9</v>
      </c>
      <c r="B12" s="306">
        <v>45697</v>
      </c>
      <c r="C12" s="27" t="s">
        <v>33</v>
      </c>
      <c r="D12" s="305"/>
      <c r="E12" s="56">
        <v>2000</v>
      </c>
      <c r="F12" s="52">
        <v>95.68</v>
      </c>
      <c r="G12" s="56">
        <f t="shared" si="0"/>
        <v>191360</v>
      </c>
      <c r="H12" s="20">
        <v>30</v>
      </c>
      <c r="I12" s="50">
        <v>107.46</v>
      </c>
      <c r="J12" s="20">
        <f t="shared" si="1"/>
        <v>3223.7999999999997</v>
      </c>
      <c r="K12" s="8">
        <f t="shared" si="4"/>
        <v>194583.8</v>
      </c>
      <c r="L12" s="8"/>
      <c r="M12" s="136">
        <f t="shared" si="3"/>
        <v>2337286.0967999995</v>
      </c>
      <c r="N12" s="8"/>
      <c r="O12" s="1"/>
    </row>
    <row r="13" spans="1:15" ht="15.75">
      <c r="A13" s="28">
        <v>10</v>
      </c>
      <c r="B13" s="306">
        <v>45698</v>
      </c>
      <c r="C13" s="27" t="s">
        <v>34</v>
      </c>
      <c r="D13" s="27"/>
      <c r="E13" s="56">
        <v>2000</v>
      </c>
      <c r="F13" s="52">
        <v>95.68</v>
      </c>
      <c r="G13" s="56">
        <f t="shared" si="0"/>
        <v>191360</v>
      </c>
      <c r="H13" s="20">
        <v>35</v>
      </c>
      <c r="I13" s="50">
        <v>107.46</v>
      </c>
      <c r="J13" s="20">
        <f t="shared" si="1"/>
        <v>3761.1</v>
      </c>
      <c r="K13" s="8">
        <f t="shared" si="4"/>
        <v>195121.1</v>
      </c>
      <c r="L13" s="8"/>
      <c r="M13" s="136">
        <f t="shared" si="3"/>
        <v>2532407.1967999996</v>
      </c>
      <c r="N13" s="8"/>
      <c r="O13" s="1"/>
    </row>
    <row r="14" spans="1:15" ht="15.75">
      <c r="A14" s="28">
        <v>11</v>
      </c>
      <c r="B14" s="306">
        <v>45699</v>
      </c>
      <c r="C14" s="27" t="s">
        <v>35</v>
      </c>
      <c r="D14" s="51"/>
      <c r="E14" s="56">
        <v>2000</v>
      </c>
      <c r="F14" s="52">
        <v>95.68</v>
      </c>
      <c r="G14" s="56">
        <f t="shared" si="0"/>
        <v>191360</v>
      </c>
      <c r="H14" s="20">
        <v>35</v>
      </c>
      <c r="I14" s="50">
        <v>107.46</v>
      </c>
      <c r="J14" s="20">
        <f t="shared" si="1"/>
        <v>3761.1</v>
      </c>
      <c r="K14" s="8">
        <f t="shared" si="4"/>
        <v>195121.1</v>
      </c>
      <c r="L14" s="8"/>
      <c r="M14" s="136">
        <f t="shared" si="3"/>
        <v>2727528.2967999997</v>
      </c>
      <c r="N14" s="8"/>
      <c r="O14" s="1"/>
    </row>
    <row r="15" spans="1:15" ht="15.75">
      <c r="A15" s="28">
        <v>12</v>
      </c>
      <c r="B15" s="306">
        <v>45700</v>
      </c>
      <c r="C15" s="27" t="s">
        <v>36</v>
      </c>
      <c r="D15" s="51"/>
      <c r="E15" s="56">
        <v>2680</v>
      </c>
      <c r="F15" s="52">
        <v>95.68</v>
      </c>
      <c r="G15" s="56">
        <f t="shared" si="0"/>
        <v>256422.40000000002</v>
      </c>
      <c r="H15" s="20">
        <v>35</v>
      </c>
      <c r="I15" s="50">
        <v>107.46</v>
      </c>
      <c r="J15" s="20">
        <f t="shared" si="1"/>
        <v>3761.1</v>
      </c>
      <c r="K15" s="8">
        <f t="shared" si="4"/>
        <v>260183.50000000003</v>
      </c>
      <c r="L15" s="8"/>
      <c r="M15" s="136">
        <f t="shared" si="3"/>
        <v>2987711.7967999997</v>
      </c>
      <c r="N15" s="8"/>
      <c r="O15" s="1"/>
    </row>
    <row r="16" spans="1:15" ht="15.75">
      <c r="A16" s="28">
        <v>13</v>
      </c>
      <c r="B16" s="29">
        <v>45701</v>
      </c>
      <c r="D16" s="302"/>
      <c r="E16" s="56">
        <v>0</v>
      </c>
      <c r="F16" s="52">
        <v>95.68</v>
      </c>
      <c r="G16" s="56">
        <f t="shared" si="0"/>
        <v>0</v>
      </c>
      <c r="H16" s="20">
        <v>0</v>
      </c>
      <c r="I16" s="50">
        <v>107.46</v>
      </c>
      <c r="J16" s="20">
        <f t="shared" si="1"/>
        <v>0</v>
      </c>
      <c r="K16" s="8">
        <f t="shared" si="4"/>
        <v>0</v>
      </c>
      <c r="L16" s="8"/>
      <c r="M16" s="136">
        <f t="shared" si="3"/>
        <v>2987711.7967999997</v>
      </c>
      <c r="N16" s="8"/>
      <c r="O16" s="1"/>
    </row>
    <row r="17" spans="1:15" ht="15.75">
      <c r="A17" s="28">
        <v>14</v>
      </c>
      <c r="B17" s="29">
        <v>45702</v>
      </c>
      <c r="C17" s="27">
        <v>0</v>
      </c>
      <c r="D17" s="51"/>
      <c r="E17" s="19">
        <v>0</v>
      </c>
      <c r="F17" s="52">
        <v>95.68</v>
      </c>
      <c r="G17" s="56">
        <f t="shared" si="0"/>
        <v>0</v>
      </c>
      <c r="H17" s="8"/>
      <c r="I17" s="50">
        <v>107.46</v>
      </c>
      <c r="J17" s="20">
        <f t="shared" ref="J4:J33" si="5">H17*I17</f>
        <v>0</v>
      </c>
      <c r="K17" s="8">
        <f t="shared" si="4"/>
        <v>0</v>
      </c>
      <c r="L17" s="8">
        <v>0</v>
      </c>
      <c r="M17" s="136">
        <f t="shared" si="3"/>
        <v>2987711.7967999997</v>
      </c>
      <c r="N17" s="137"/>
      <c r="O17" s="1"/>
    </row>
    <row r="18" spans="1:15" ht="15.75">
      <c r="A18" s="28">
        <v>15</v>
      </c>
      <c r="B18" s="29">
        <v>45703</v>
      </c>
      <c r="C18" s="231" t="s">
        <v>37</v>
      </c>
      <c r="D18" s="51"/>
      <c r="E18" s="19">
        <v>4980</v>
      </c>
      <c r="F18" s="52">
        <v>95.68</v>
      </c>
      <c r="G18" s="56">
        <f t="shared" si="0"/>
        <v>476486.40000000002</v>
      </c>
      <c r="H18" s="8">
        <v>55</v>
      </c>
      <c r="I18" s="50">
        <v>107.46</v>
      </c>
      <c r="J18" s="20">
        <f t="shared" si="5"/>
        <v>5910.2999999999993</v>
      </c>
      <c r="K18" s="8">
        <f t="shared" si="4"/>
        <v>482396.7</v>
      </c>
      <c r="L18" s="8"/>
      <c r="M18" s="136">
        <f t="shared" si="3"/>
        <v>3470108.4967999998</v>
      </c>
      <c r="N18" s="8"/>
      <c r="O18" s="1"/>
    </row>
    <row r="19" spans="1:15" ht="15.75">
      <c r="A19" s="28">
        <v>16</v>
      </c>
      <c r="B19" s="29">
        <v>45704</v>
      </c>
      <c r="C19" s="27" t="s">
        <v>38</v>
      </c>
      <c r="D19" s="51"/>
      <c r="E19" s="19">
        <v>2500</v>
      </c>
      <c r="F19" s="52">
        <v>95.68</v>
      </c>
      <c r="G19" s="56">
        <f t="shared" si="0"/>
        <v>239200.00000000003</v>
      </c>
      <c r="H19" s="8">
        <v>35</v>
      </c>
      <c r="I19" s="50">
        <v>107.46</v>
      </c>
      <c r="J19" s="20">
        <f t="shared" si="5"/>
        <v>3761.1</v>
      </c>
      <c r="K19" s="8">
        <f t="shared" si="4"/>
        <v>242961.10000000003</v>
      </c>
      <c r="L19" s="8"/>
      <c r="M19" s="136">
        <f t="shared" si="3"/>
        <v>3713069.5967999999</v>
      </c>
      <c r="N19" s="8"/>
      <c r="O19" s="1" t="s">
        <v>39</v>
      </c>
    </row>
    <row r="20" spans="1:15" ht="15.75">
      <c r="A20" s="28">
        <v>17</v>
      </c>
      <c r="B20" s="29">
        <v>45705</v>
      </c>
      <c r="C20" s="27" t="s">
        <v>40</v>
      </c>
      <c r="D20" s="51"/>
      <c r="E20" s="19">
        <v>4687.04</v>
      </c>
      <c r="F20" s="52">
        <v>95.68</v>
      </c>
      <c r="G20" s="56">
        <f t="shared" si="0"/>
        <v>448455.98720000003</v>
      </c>
      <c r="H20" s="8">
        <v>35</v>
      </c>
      <c r="I20" s="8">
        <v>107.46</v>
      </c>
      <c r="J20" s="20">
        <f t="shared" si="5"/>
        <v>3761.1</v>
      </c>
      <c r="K20" s="8">
        <f>G20+J20</f>
        <v>452217.08720000001</v>
      </c>
      <c r="L20" s="8"/>
      <c r="M20" s="136">
        <f t="shared" si="3"/>
        <v>4165286.6839999999</v>
      </c>
      <c r="N20" s="8"/>
      <c r="O20" s="1"/>
    </row>
    <row r="21" spans="1:15" ht="15.75">
      <c r="A21" s="28">
        <v>18</v>
      </c>
      <c r="B21" s="29">
        <v>45706</v>
      </c>
      <c r="C21" s="27" t="s">
        <v>41</v>
      </c>
      <c r="D21" s="51"/>
      <c r="E21" s="19">
        <v>2000</v>
      </c>
      <c r="F21" s="52">
        <v>95.68</v>
      </c>
      <c r="G21" s="56">
        <f t="shared" si="0"/>
        <v>191360</v>
      </c>
      <c r="H21" s="8">
        <v>35</v>
      </c>
      <c r="I21" s="8">
        <v>107.46</v>
      </c>
      <c r="J21" s="20">
        <f t="shared" si="5"/>
        <v>3761.1</v>
      </c>
      <c r="K21" s="8">
        <f>G21+J21</f>
        <v>195121.1</v>
      </c>
      <c r="L21" s="8">
        <v>2500000</v>
      </c>
      <c r="M21" s="136">
        <f t="shared" si="3"/>
        <v>1860407.784</v>
      </c>
      <c r="N21" s="8"/>
      <c r="O21" s="1"/>
    </row>
    <row r="22" spans="1:15" ht="15.75">
      <c r="A22" s="28">
        <v>19</v>
      </c>
      <c r="B22" s="29">
        <v>45707</v>
      </c>
      <c r="C22" s="27" t="s">
        <v>42</v>
      </c>
      <c r="D22" s="51"/>
      <c r="E22" s="19">
        <v>4704</v>
      </c>
      <c r="F22" s="52">
        <v>95.68</v>
      </c>
      <c r="G22" s="56">
        <f t="shared" si="0"/>
        <v>450078.72000000003</v>
      </c>
      <c r="H22" s="8">
        <v>20</v>
      </c>
      <c r="I22" s="8">
        <v>107.46</v>
      </c>
      <c r="J22" s="20">
        <f t="shared" si="5"/>
        <v>2149.1999999999998</v>
      </c>
      <c r="K22" s="8">
        <f>G22+J22</f>
        <v>452227.92000000004</v>
      </c>
      <c r="L22" s="8"/>
      <c r="M22" s="136">
        <f t="shared" si="3"/>
        <v>2312635.7039999999</v>
      </c>
      <c r="N22" s="8"/>
      <c r="O22" s="1"/>
    </row>
    <row r="23" spans="1:15" ht="15.75">
      <c r="A23" s="28">
        <v>20</v>
      </c>
      <c r="B23" s="29">
        <v>45708</v>
      </c>
      <c r="C23" s="27" t="s">
        <v>43</v>
      </c>
      <c r="D23" s="51"/>
      <c r="E23" s="19">
        <v>2300</v>
      </c>
      <c r="F23" s="52">
        <v>95.68</v>
      </c>
      <c r="G23" s="56">
        <f t="shared" si="0"/>
        <v>220064.00000000003</v>
      </c>
      <c r="H23" s="8">
        <v>55</v>
      </c>
      <c r="I23" s="8">
        <v>107.46</v>
      </c>
      <c r="J23" s="20">
        <f t="shared" si="5"/>
        <v>5910.2999999999993</v>
      </c>
      <c r="K23" s="8">
        <f>G23+J23</f>
        <v>225974.30000000002</v>
      </c>
      <c r="L23" s="8"/>
      <c r="M23" s="136">
        <f t="shared" si="3"/>
        <v>2538610.0039999997</v>
      </c>
      <c r="N23" s="8"/>
      <c r="O23" s="1"/>
    </row>
    <row r="24" spans="1:15" ht="15.75">
      <c r="A24" s="28">
        <v>21</v>
      </c>
      <c r="B24" s="29">
        <v>45709</v>
      </c>
      <c r="C24" s="27">
        <v>180</v>
      </c>
      <c r="D24" s="51"/>
      <c r="E24" s="19">
        <v>2300</v>
      </c>
      <c r="F24" s="52">
        <v>95.68</v>
      </c>
      <c r="G24" s="56">
        <f t="shared" si="0"/>
        <v>220064.00000000003</v>
      </c>
      <c r="H24" s="8"/>
      <c r="I24" s="8"/>
      <c r="J24" s="20">
        <f t="shared" si="5"/>
        <v>0</v>
      </c>
      <c r="K24" s="8">
        <f>G24+J24</f>
        <v>220064.00000000003</v>
      </c>
      <c r="L24" s="8"/>
      <c r="M24" s="136">
        <f t="shared" si="3"/>
        <v>2758674.0039999997</v>
      </c>
      <c r="N24" s="8"/>
      <c r="O24" s="1"/>
    </row>
    <row r="25" spans="1:15" ht="15.75">
      <c r="A25" s="28">
        <v>22</v>
      </c>
      <c r="B25" s="29">
        <v>45710</v>
      </c>
      <c r="C25" s="27" t="s">
        <v>44</v>
      </c>
      <c r="D25" s="51"/>
      <c r="E25" s="19">
        <v>2000</v>
      </c>
      <c r="F25" s="52">
        <v>95.68</v>
      </c>
      <c r="G25" s="56">
        <f t="shared" si="0"/>
        <v>191360</v>
      </c>
      <c r="H25" s="8">
        <v>55</v>
      </c>
      <c r="I25" s="8">
        <v>107.46</v>
      </c>
      <c r="J25" s="20">
        <f t="shared" si="5"/>
        <v>5910.2999999999993</v>
      </c>
      <c r="K25" s="8">
        <f t="shared" ref="K25:K36" si="6">G25+J25</f>
        <v>197270.3</v>
      </c>
      <c r="L25" s="8"/>
      <c r="M25" s="136">
        <f t="shared" si="3"/>
        <v>2955944.3039999995</v>
      </c>
      <c r="N25" s="8"/>
      <c r="O25" s="1"/>
    </row>
    <row r="26" spans="1:15" ht="15.75">
      <c r="A26" s="28">
        <v>23</v>
      </c>
      <c r="B26" s="29">
        <v>45711</v>
      </c>
      <c r="C26" s="27">
        <v>183</v>
      </c>
      <c r="D26" s="51"/>
      <c r="E26" s="19">
        <v>2200</v>
      </c>
      <c r="F26" s="52">
        <v>95.68</v>
      </c>
      <c r="G26" s="56">
        <f t="shared" si="0"/>
        <v>210496.00000000003</v>
      </c>
      <c r="H26" s="8"/>
      <c r="I26" s="8"/>
      <c r="J26" s="20">
        <f t="shared" si="5"/>
        <v>0</v>
      </c>
      <c r="K26" s="8">
        <f t="shared" si="6"/>
        <v>210496.00000000003</v>
      </c>
      <c r="L26" s="8"/>
      <c r="M26" s="136">
        <f t="shared" si="3"/>
        <v>3166440.3039999995</v>
      </c>
      <c r="N26" s="8"/>
      <c r="O26" s="1"/>
    </row>
    <row r="27" spans="1:15" ht="15.75">
      <c r="A27" s="28">
        <v>24</v>
      </c>
      <c r="B27" s="29">
        <v>45712</v>
      </c>
      <c r="C27" s="27" t="s">
        <v>45</v>
      </c>
      <c r="D27" s="51"/>
      <c r="E27" s="19">
        <v>4350</v>
      </c>
      <c r="F27" s="52">
        <v>95.68</v>
      </c>
      <c r="G27" s="56">
        <f t="shared" si="0"/>
        <v>416208.00000000006</v>
      </c>
      <c r="H27" s="8">
        <v>55</v>
      </c>
      <c r="I27" s="8">
        <v>107.46</v>
      </c>
      <c r="J27" s="20">
        <f t="shared" si="5"/>
        <v>5910.2999999999993</v>
      </c>
      <c r="K27" s="8">
        <f t="shared" si="6"/>
        <v>422118.30000000005</v>
      </c>
      <c r="L27" s="8"/>
      <c r="M27" s="136">
        <f t="shared" si="3"/>
        <v>3588558.6039999994</v>
      </c>
      <c r="N27" s="8"/>
      <c r="O27" s="1"/>
    </row>
    <row r="28" spans="1:15" ht="15.75">
      <c r="A28" s="28">
        <v>25</v>
      </c>
      <c r="B28" s="29">
        <v>45713</v>
      </c>
      <c r="C28" s="27" t="s">
        <v>46</v>
      </c>
      <c r="D28" s="51"/>
      <c r="E28" s="19">
        <v>2166</v>
      </c>
      <c r="F28" s="52">
        <v>95.68</v>
      </c>
      <c r="G28" s="56">
        <f t="shared" si="0"/>
        <v>207242.88</v>
      </c>
      <c r="H28" s="8">
        <v>55</v>
      </c>
      <c r="I28" s="8">
        <v>107.46</v>
      </c>
      <c r="J28" s="20">
        <f t="shared" si="5"/>
        <v>5910.2999999999993</v>
      </c>
      <c r="K28" s="8">
        <f t="shared" si="6"/>
        <v>213153.18</v>
      </c>
      <c r="L28" s="8"/>
      <c r="M28" s="136">
        <f t="shared" si="3"/>
        <v>3801711.7839999995</v>
      </c>
      <c r="N28" s="8"/>
      <c r="O28" s="1"/>
    </row>
    <row r="29" spans="1:15" ht="15.75">
      <c r="A29" s="28">
        <v>26</v>
      </c>
      <c r="B29" s="29">
        <v>45714</v>
      </c>
      <c r="C29" s="27" t="s">
        <v>47</v>
      </c>
      <c r="D29" s="51"/>
      <c r="E29" s="19">
        <v>4000</v>
      </c>
      <c r="F29" s="52">
        <v>95.68</v>
      </c>
      <c r="G29" s="56">
        <f t="shared" si="0"/>
        <v>382720</v>
      </c>
      <c r="H29" s="8">
        <v>53.21</v>
      </c>
      <c r="I29" s="8">
        <v>107.46</v>
      </c>
      <c r="J29" s="20">
        <f t="shared" si="5"/>
        <v>5717.9465999999993</v>
      </c>
      <c r="K29" s="8">
        <f t="shared" si="6"/>
        <v>388437.94660000002</v>
      </c>
      <c r="L29" s="8"/>
      <c r="M29" s="136">
        <f t="shared" si="3"/>
        <v>4190149.7305999994</v>
      </c>
      <c r="N29" s="8"/>
      <c r="O29" s="1"/>
    </row>
    <row r="30" spans="1:15" ht="15.75">
      <c r="A30" s="28">
        <v>27</v>
      </c>
      <c r="B30" s="29">
        <v>45715</v>
      </c>
      <c r="C30" s="27" t="s">
        <v>48</v>
      </c>
      <c r="D30" s="51"/>
      <c r="E30" s="19">
        <v>5252</v>
      </c>
      <c r="F30" s="52">
        <v>95.68</v>
      </c>
      <c r="G30" s="56">
        <f t="shared" si="0"/>
        <v>502511.36000000004</v>
      </c>
      <c r="H30" s="8">
        <v>35</v>
      </c>
      <c r="I30" s="8">
        <v>107.46</v>
      </c>
      <c r="J30" s="20">
        <f t="shared" si="5"/>
        <v>3761.1</v>
      </c>
      <c r="K30" s="8">
        <f t="shared" si="6"/>
        <v>506272.46</v>
      </c>
      <c r="L30" s="8"/>
      <c r="M30" s="136">
        <f t="shared" si="3"/>
        <v>4696422.1905999994</v>
      </c>
      <c r="N30" s="8"/>
      <c r="O30" s="1"/>
    </row>
    <row r="31" spans="1:15" ht="15.75">
      <c r="A31" s="28">
        <v>28</v>
      </c>
      <c r="B31" s="29">
        <v>45716</v>
      </c>
      <c r="C31" s="27" t="s">
        <v>49</v>
      </c>
      <c r="D31" s="51"/>
      <c r="E31" s="19">
        <v>5000</v>
      </c>
      <c r="F31" s="52">
        <v>95.68</v>
      </c>
      <c r="G31" s="56">
        <f t="shared" si="0"/>
        <v>478400.00000000006</v>
      </c>
      <c r="H31" s="8">
        <v>55</v>
      </c>
      <c r="I31" s="8">
        <v>107.46</v>
      </c>
      <c r="J31" s="20">
        <f t="shared" si="5"/>
        <v>5910.2999999999993</v>
      </c>
      <c r="K31" s="8">
        <f t="shared" si="6"/>
        <v>484310.30000000005</v>
      </c>
      <c r="L31" s="8"/>
      <c r="M31" s="136">
        <f t="shared" si="3"/>
        <v>5180732.4905999992</v>
      </c>
      <c r="N31" s="8"/>
      <c r="O31" s="1"/>
    </row>
    <row r="32" spans="1:15">
      <c r="A32" s="28"/>
      <c r="B32" s="29"/>
      <c r="C32" s="27"/>
      <c r="D32" s="51"/>
      <c r="E32" s="19">
        <v>0</v>
      </c>
      <c r="F32" s="19">
        <v>0</v>
      </c>
      <c r="G32" s="8"/>
      <c r="H32" s="8"/>
      <c r="I32" s="8"/>
      <c r="J32" s="20">
        <f t="shared" si="5"/>
        <v>0</v>
      </c>
      <c r="K32" s="8">
        <f t="shared" si="6"/>
        <v>0</v>
      </c>
      <c r="L32" s="8"/>
      <c r="M32" s="136">
        <f t="shared" si="3"/>
        <v>5180732.4905999992</v>
      </c>
      <c r="N32" s="8"/>
      <c r="O32" s="1"/>
    </row>
    <row r="33" spans="1:18">
      <c r="A33" s="28"/>
      <c r="B33" s="29"/>
      <c r="C33" s="27"/>
      <c r="D33" s="51"/>
      <c r="E33" s="19">
        <v>0</v>
      </c>
      <c r="F33" s="19">
        <v>0</v>
      </c>
      <c r="G33" s="8"/>
      <c r="H33" s="8"/>
      <c r="I33" s="8"/>
      <c r="J33" s="20">
        <f t="shared" si="5"/>
        <v>0</v>
      </c>
      <c r="K33" s="8">
        <f t="shared" si="6"/>
        <v>0</v>
      </c>
      <c r="L33" s="8"/>
      <c r="M33" s="136">
        <f t="shared" si="3"/>
        <v>5180732.4905999992</v>
      </c>
      <c r="N33" s="8"/>
      <c r="O33" s="1"/>
      <c r="R33">
        <v>2584221.6967999996</v>
      </c>
    </row>
    <row r="34" spans="1:18">
      <c r="A34" s="28"/>
      <c r="B34" s="29"/>
      <c r="C34" s="27"/>
      <c r="D34" s="51"/>
      <c r="E34" s="19">
        <v>0</v>
      </c>
      <c r="F34" s="19">
        <v>0</v>
      </c>
      <c r="G34" s="8"/>
      <c r="H34" s="8"/>
      <c r="I34" s="8"/>
      <c r="J34" s="20"/>
      <c r="K34" s="8">
        <f t="shared" si="6"/>
        <v>0</v>
      </c>
      <c r="L34" s="8"/>
      <c r="M34" s="136">
        <f t="shared" si="3"/>
        <v>5180732.4905999992</v>
      </c>
      <c r="N34" s="8"/>
      <c r="O34" s="1"/>
    </row>
    <row r="35" spans="1:18">
      <c r="A35" s="28"/>
      <c r="B35" s="29"/>
      <c r="C35" s="27"/>
      <c r="D35" s="51"/>
      <c r="E35" s="19">
        <v>0</v>
      </c>
      <c r="F35" s="19">
        <v>0</v>
      </c>
      <c r="G35" s="8"/>
      <c r="H35" s="8"/>
      <c r="I35" s="8"/>
      <c r="J35" s="20"/>
      <c r="K35" s="8">
        <f t="shared" si="6"/>
        <v>0</v>
      </c>
      <c r="L35" s="8"/>
      <c r="M35" s="136">
        <f t="shared" si="3"/>
        <v>5180732.4905999992</v>
      </c>
      <c r="N35" s="8"/>
      <c r="O35" s="1"/>
    </row>
    <row r="36" spans="1:18">
      <c r="A36" s="28"/>
      <c r="B36" s="29"/>
      <c r="C36" s="27"/>
      <c r="D36" s="51"/>
      <c r="E36" s="19">
        <v>0</v>
      </c>
      <c r="F36" s="19">
        <v>0</v>
      </c>
      <c r="G36" s="8"/>
      <c r="H36" s="8"/>
      <c r="I36" s="8"/>
      <c r="J36" s="20"/>
      <c r="K36" s="8">
        <f t="shared" si="6"/>
        <v>0</v>
      </c>
      <c r="L36" s="8"/>
      <c r="M36" s="136">
        <f t="shared" si="3"/>
        <v>5180732.4905999992</v>
      </c>
      <c r="N36" s="8"/>
      <c r="O36" s="1"/>
    </row>
    <row r="37" spans="1:18">
      <c r="A37" s="27"/>
      <c r="B37" s="29"/>
      <c r="C37" s="27"/>
      <c r="D37" s="20"/>
      <c r="E37" s="8"/>
      <c r="F37" s="8"/>
      <c r="G37" s="8"/>
      <c r="H37" s="8"/>
      <c r="I37" s="49"/>
      <c r="J37" s="20"/>
      <c r="K37" s="8"/>
      <c r="L37" s="8"/>
      <c r="M37" s="136"/>
      <c r="N37" s="8"/>
      <c r="O37" s="1"/>
    </row>
    <row r="38" spans="1:18">
      <c r="A38" s="63"/>
      <c r="B38" s="63"/>
      <c r="C38" s="63"/>
      <c r="D38" s="63"/>
      <c r="E38" s="64">
        <f>SUM(E4:E37)</f>
        <v>73239.040000000008</v>
      </c>
      <c r="F38" s="64"/>
      <c r="G38" s="64">
        <f>SUM(G4:G37)</f>
        <v>7007511.3472000007</v>
      </c>
      <c r="H38" s="64">
        <f>SUM(H4:H37)</f>
        <v>828.21</v>
      </c>
      <c r="I38" s="64"/>
      <c r="J38" s="64">
        <f>SUM(J4:J37)</f>
        <v>88999.446599999996</v>
      </c>
      <c r="K38" s="64">
        <f>SUM(K4:K37)</f>
        <v>7096510.7938000001</v>
      </c>
      <c r="L38" s="64">
        <f>SUM(L4:L37)</f>
        <v>4500000</v>
      </c>
      <c r="M38" s="64"/>
      <c r="N38" s="64"/>
      <c r="O38" s="36"/>
    </row>
    <row r="39" spans="1:18">
      <c r="A39" s="1"/>
      <c r="B39" s="1"/>
      <c r="C39" s="1"/>
      <c r="D39" s="1"/>
      <c r="E39" s="1"/>
      <c r="F39" s="1"/>
      <c r="G39" s="3"/>
      <c r="H39" s="1"/>
      <c r="I39" s="2"/>
      <c r="J39" s="1"/>
      <c r="K39" s="1"/>
      <c r="L39" s="1"/>
      <c r="M39" s="1"/>
      <c r="N39" s="1"/>
      <c r="O39" s="4"/>
    </row>
    <row r="40" spans="1:18">
      <c r="A40" s="1"/>
      <c r="B40" s="419"/>
      <c r="C40" s="419"/>
      <c r="D40" s="419"/>
      <c r="E40" s="419"/>
      <c r="F40" s="74"/>
      <c r="G40" s="1"/>
      <c r="H40" s="1"/>
      <c r="I40" s="419"/>
      <c r="J40" s="419"/>
      <c r="K40" s="419"/>
      <c r="L40" s="419"/>
      <c r="M40" s="419"/>
      <c r="N40" s="419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4"/>
    </row>
  </sheetData>
  <mergeCells count="4">
    <mergeCell ref="A1:N1"/>
    <mergeCell ref="B40:E40"/>
    <mergeCell ref="I40:N40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Q40"/>
  <sheetViews>
    <sheetView workbookViewId="0">
      <selection activeCell="P29" sqref="P29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</cols>
  <sheetData>
    <row r="1" spans="1:17" ht="15.75" customHeight="1">
      <c r="A1" s="427" t="s">
        <v>50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</row>
    <row r="2" spans="1:17">
      <c r="A2" s="135" t="s">
        <v>1</v>
      </c>
      <c r="B2" s="142" t="s">
        <v>2</v>
      </c>
      <c r="C2" s="142" t="s">
        <v>3</v>
      </c>
      <c r="D2" s="142" t="s">
        <v>4</v>
      </c>
      <c r="E2" s="142" t="s">
        <v>5</v>
      </c>
      <c r="F2" s="142" t="s">
        <v>6</v>
      </c>
      <c r="G2" s="142" t="s">
        <v>7</v>
      </c>
      <c r="H2" s="142" t="s">
        <v>8</v>
      </c>
      <c r="I2" s="142" t="s">
        <v>6</v>
      </c>
      <c r="J2" s="142" t="s">
        <v>7</v>
      </c>
      <c r="K2" s="189" t="s">
        <v>9</v>
      </c>
      <c r="L2" s="189" t="s">
        <v>10</v>
      </c>
      <c r="M2" s="142" t="s">
        <v>51</v>
      </c>
      <c r="N2" s="142" t="s">
        <v>12</v>
      </c>
    </row>
    <row r="3" spans="1:17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23"/>
      <c r="K3" s="169">
        <v>2689635.6486</v>
      </c>
      <c r="L3" s="169"/>
      <c r="M3" s="188">
        <f>+K3</f>
        <v>2689635.6486</v>
      </c>
      <c r="N3" s="19"/>
      <c r="O3">
        <v>2689635.6486</v>
      </c>
      <c r="Q3">
        <v>2458844.9030999998</v>
      </c>
    </row>
    <row r="4" spans="1:17">
      <c r="A4" s="37">
        <v>1</v>
      </c>
      <c r="B4" s="29">
        <v>45689</v>
      </c>
      <c r="C4" s="143"/>
      <c r="D4" s="42"/>
      <c r="E4" s="44">
        <v>2000</v>
      </c>
      <c r="F4" s="44">
        <v>96.42</v>
      </c>
      <c r="G4" s="44">
        <f t="shared" ref="G4:G7" si="0">E4*F4</f>
        <v>192840</v>
      </c>
      <c r="H4" s="44">
        <v>70.14</v>
      </c>
      <c r="I4" s="44">
        <v>108.23</v>
      </c>
      <c r="J4" s="44">
        <f t="shared" ref="J4:J7" si="1">H4*I4</f>
        <v>7591.2521999999999</v>
      </c>
      <c r="K4" s="44">
        <f t="shared" ref="K4:K7" si="2">G4+J4</f>
        <v>200431.25219999999</v>
      </c>
      <c r="L4" s="44">
        <v>1000000</v>
      </c>
      <c r="M4" s="94">
        <f>M3+K4-L4</f>
        <v>1890066.9007999999</v>
      </c>
      <c r="N4" s="94"/>
      <c r="P4">
        <v>70.14</v>
      </c>
    </row>
    <row r="5" spans="1:17">
      <c r="A5" s="39">
        <f>A4+1</f>
        <v>2</v>
      </c>
      <c r="B5" s="29">
        <v>45690</v>
      </c>
      <c r="C5" s="143"/>
      <c r="D5" s="42"/>
      <c r="E5" s="44"/>
      <c r="F5" s="44">
        <v>96.42</v>
      </c>
      <c r="G5" s="44">
        <f t="shared" si="0"/>
        <v>0</v>
      </c>
      <c r="H5" s="44"/>
      <c r="I5" s="44"/>
      <c r="J5" s="44">
        <f t="shared" si="1"/>
        <v>0</v>
      </c>
      <c r="K5" s="44">
        <f t="shared" si="2"/>
        <v>0</v>
      </c>
      <c r="L5" s="44"/>
      <c r="M5" s="94">
        <f t="shared" ref="M5:M32" si="3">M4+K5-L5</f>
        <v>1890066.9007999999</v>
      </c>
      <c r="N5" s="38"/>
    </row>
    <row r="6" spans="1:17">
      <c r="A6" s="39">
        <f>A5+1</f>
        <v>3</v>
      </c>
      <c r="B6" s="29">
        <v>45691</v>
      </c>
      <c r="C6" s="143"/>
      <c r="D6" s="42"/>
      <c r="E6" s="44">
        <v>1700</v>
      </c>
      <c r="F6" s="44">
        <v>96.42</v>
      </c>
      <c r="G6" s="44">
        <f t="shared" si="0"/>
        <v>163914</v>
      </c>
      <c r="H6" s="44">
        <v>32.61</v>
      </c>
      <c r="I6" s="44">
        <v>108.23</v>
      </c>
      <c r="J6" s="44">
        <f t="shared" si="1"/>
        <v>3529.3803000000003</v>
      </c>
      <c r="K6" s="44">
        <f t="shared" si="2"/>
        <v>167443.38029999999</v>
      </c>
      <c r="L6" s="44"/>
      <c r="M6" s="94">
        <f t="shared" si="3"/>
        <v>2057510.2811</v>
      </c>
      <c r="N6" s="40"/>
      <c r="P6">
        <v>32.159999999999997</v>
      </c>
    </row>
    <row r="7" spans="1:17">
      <c r="A7" s="37">
        <v>4</v>
      </c>
      <c r="B7" s="29">
        <v>45692</v>
      </c>
      <c r="C7" s="143"/>
      <c r="D7" s="42"/>
      <c r="E7" s="44">
        <v>3000</v>
      </c>
      <c r="F7" s="44">
        <v>96.42</v>
      </c>
      <c r="G7" s="44">
        <f t="shared" si="0"/>
        <v>289260</v>
      </c>
      <c r="H7" s="44">
        <v>35</v>
      </c>
      <c r="I7" s="44">
        <v>108.23</v>
      </c>
      <c r="J7" s="44">
        <f t="shared" si="1"/>
        <v>3788.05</v>
      </c>
      <c r="K7" s="44">
        <f t="shared" si="2"/>
        <v>293048.05</v>
      </c>
      <c r="L7" s="309"/>
      <c r="M7" s="94">
        <f t="shared" si="3"/>
        <v>2350558.3311000001</v>
      </c>
      <c r="N7" s="310"/>
      <c r="P7">
        <v>35</v>
      </c>
    </row>
    <row r="8" spans="1:17">
      <c r="A8" s="39">
        <f t="shared" ref="A8:A9" si="4">A7+1</f>
        <v>5</v>
      </c>
      <c r="B8" s="29">
        <v>45693</v>
      </c>
      <c r="C8" s="41"/>
      <c r="D8" s="42"/>
      <c r="E8" s="94">
        <v>1500</v>
      </c>
      <c r="F8" s="44">
        <v>96.42</v>
      </c>
      <c r="G8" s="139">
        <f t="shared" ref="G8:G31" si="5">E8*F8</f>
        <v>144630</v>
      </c>
      <c r="H8" s="140">
        <v>45</v>
      </c>
      <c r="I8" s="44">
        <v>108.23</v>
      </c>
      <c r="J8" s="94">
        <f>H8*I8</f>
        <v>4870.3500000000004</v>
      </c>
      <c r="K8" s="38">
        <f>G8+J8</f>
        <v>149500.35</v>
      </c>
      <c r="L8" s="309">
        <v>1000000</v>
      </c>
      <c r="M8" s="94">
        <f t="shared" si="3"/>
        <v>1500058.6811000002</v>
      </c>
      <c r="N8" s="310"/>
      <c r="P8">
        <v>45</v>
      </c>
    </row>
    <row r="9" spans="1:17">
      <c r="A9" s="39">
        <f t="shared" si="4"/>
        <v>6</v>
      </c>
      <c r="B9" s="29">
        <v>45694</v>
      </c>
      <c r="C9" s="41"/>
      <c r="D9" s="42"/>
      <c r="E9" s="367">
        <v>2563.0500000000002</v>
      </c>
      <c r="F9" s="44">
        <v>96.42</v>
      </c>
      <c r="G9" s="139">
        <f t="shared" si="5"/>
        <v>247129.28100000002</v>
      </c>
      <c r="H9" s="412">
        <v>40.25</v>
      </c>
      <c r="I9" s="44">
        <v>108.23</v>
      </c>
      <c r="J9" s="94">
        <f t="shared" ref="J8:J31" si="6">H9*I9</f>
        <v>4356.2574999999997</v>
      </c>
      <c r="K9" s="38">
        <f t="shared" ref="K8:K12" si="7">G9+J9</f>
        <v>251485.53850000002</v>
      </c>
      <c r="L9" s="44"/>
      <c r="M9" s="94">
        <f t="shared" si="3"/>
        <v>1751544.2196000002</v>
      </c>
      <c r="N9" s="44"/>
      <c r="P9">
        <v>40.25</v>
      </c>
    </row>
    <row r="10" spans="1:17">
      <c r="A10" s="37">
        <v>7</v>
      </c>
      <c r="B10" s="29">
        <v>45695</v>
      </c>
      <c r="C10" s="41"/>
      <c r="D10" s="42"/>
      <c r="E10" s="94">
        <v>2500</v>
      </c>
      <c r="F10" s="44">
        <v>96.42</v>
      </c>
      <c r="G10" s="139">
        <f t="shared" si="5"/>
        <v>241050</v>
      </c>
      <c r="H10" s="412">
        <v>35</v>
      </c>
      <c r="I10" s="44">
        <v>108.23</v>
      </c>
      <c r="J10" s="94">
        <f t="shared" si="6"/>
        <v>3788.05</v>
      </c>
      <c r="K10" s="38">
        <f t="shared" si="7"/>
        <v>244838.05</v>
      </c>
      <c r="L10" s="44"/>
      <c r="M10" s="94">
        <f t="shared" si="3"/>
        <v>1996382.2696000002</v>
      </c>
      <c r="N10" s="44"/>
      <c r="P10">
        <v>35</v>
      </c>
    </row>
    <row r="11" spans="1:17">
      <c r="A11" s="39">
        <f t="shared" ref="A11:A12" si="8">A10+1</f>
        <v>8</v>
      </c>
      <c r="B11" s="29">
        <v>45696</v>
      </c>
      <c r="C11" s="41"/>
      <c r="D11" s="42"/>
      <c r="E11" s="366">
        <v>2000</v>
      </c>
      <c r="F11" s="44">
        <v>96.42</v>
      </c>
      <c r="G11" s="139">
        <f t="shared" si="5"/>
        <v>192840</v>
      </c>
      <c r="H11" s="412">
        <v>0</v>
      </c>
      <c r="I11" s="44">
        <v>108.23</v>
      </c>
      <c r="J11" s="94">
        <f t="shared" si="6"/>
        <v>0</v>
      </c>
      <c r="K11" s="38">
        <f t="shared" si="7"/>
        <v>192840</v>
      </c>
      <c r="L11" s="44"/>
      <c r="M11" s="94">
        <f t="shared" si="3"/>
        <v>2189222.2696000002</v>
      </c>
      <c r="N11" s="44"/>
    </row>
    <row r="12" spans="1:17">
      <c r="A12" s="39">
        <f t="shared" si="8"/>
        <v>9</v>
      </c>
      <c r="B12" s="29">
        <v>45697</v>
      </c>
      <c r="C12" s="41"/>
      <c r="D12" s="42"/>
      <c r="E12" s="94">
        <v>1500</v>
      </c>
      <c r="F12" s="44">
        <v>96.42</v>
      </c>
      <c r="G12" s="139">
        <f t="shared" si="5"/>
        <v>144630</v>
      </c>
      <c r="H12" s="412">
        <v>20</v>
      </c>
      <c r="I12" s="44">
        <v>108.23</v>
      </c>
      <c r="J12" s="94">
        <f t="shared" si="6"/>
        <v>2164.6</v>
      </c>
      <c r="K12" s="38">
        <f t="shared" si="7"/>
        <v>146794.6</v>
      </c>
      <c r="L12" s="44"/>
      <c r="M12" s="94">
        <f t="shared" si="3"/>
        <v>2336016.8696000003</v>
      </c>
      <c r="N12" s="44"/>
      <c r="P12">
        <v>20</v>
      </c>
    </row>
    <row r="13" spans="1:17">
      <c r="A13" s="37">
        <v>10</v>
      </c>
      <c r="B13" s="29">
        <v>45698</v>
      </c>
      <c r="C13" s="41"/>
      <c r="D13" s="42"/>
      <c r="E13" s="94">
        <v>1000</v>
      </c>
      <c r="F13" s="44">
        <v>96.42</v>
      </c>
      <c r="G13" s="139">
        <f>E13*F13</f>
        <v>96420</v>
      </c>
      <c r="H13" s="140">
        <v>5</v>
      </c>
      <c r="I13" s="44">
        <v>108.23</v>
      </c>
      <c r="J13" s="94">
        <f t="shared" si="6"/>
        <v>541.15</v>
      </c>
      <c r="K13" s="38">
        <f>G13+J13</f>
        <v>96961.15</v>
      </c>
      <c r="L13" s="44"/>
      <c r="M13" s="94">
        <f t="shared" si="3"/>
        <v>2432978.0196000002</v>
      </c>
      <c r="N13" s="44"/>
      <c r="P13">
        <v>5</v>
      </c>
    </row>
    <row r="14" spans="1:17">
      <c r="A14" s="39">
        <f t="shared" ref="A14:A15" si="9">A13+1</f>
        <v>11</v>
      </c>
      <c r="B14" s="29">
        <v>45699</v>
      </c>
      <c r="C14" s="41"/>
      <c r="D14" s="42"/>
      <c r="E14" s="94">
        <v>1000</v>
      </c>
      <c r="F14" s="44">
        <v>96.42</v>
      </c>
      <c r="G14" s="139">
        <f t="shared" si="5"/>
        <v>96420</v>
      </c>
      <c r="H14" s="140">
        <v>0</v>
      </c>
      <c r="I14" s="44">
        <v>108.23</v>
      </c>
      <c r="J14" s="94">
        <f t="shared" si="6"/>
        <v>0</v>
      </c>
      <c r="K14" s="38">
        <f>G14+J14</f>
        <v>96420</v>
      </c>
      <c r="L14" s="44"/>
      <c r="M14" s="94">
        <f t="shared" si="3"/>
        <v>2529398.0196000002</v>
      </c>
      <c r="N14" s="44"/>
    </row>
    <row r="15" spans="1:17">
      <c r="A15" s="39">
        <f t="shared" si="9"/>
        <v>12</v>
      </c>
      <c r="B15" s="29">
        <v>45700</v>
      </c>
      <c r="C15" s="41"/>
      <c r="D15" s="42"/>
      <c r="E15" s="94">
        <v>1033.25</v>
      </c>
      <c r="F15" s="44">
        <v>96.42</v>
      </c>
      <c r="G15" s="139">
        <f t="shared" si="5"/>
        <v>99625.964999999997</v>
      </c>
      <c r="H15" s="140">
        <v>15</v>
      </c>
      <c r="I15" s="44">
        <v>108.23</v>
      </c>
      <c r="J15" s="94">
        <f t="shared" si="6"/>
        <v>1623.45</v>
      </c>
      <c r="K15" s="38">
        <f>G15+J15</f>
        <v>101249.41499999999</v>
      </c>
      <c r="L15" s="44"/>
      <c r="M15" s="94">
        <f t="shared" si="3"/>
        <v>2630647.4346000003</v>
      </c>
      <c r="N15" s="44"/>
      <c r="P15">
        <v>15</v>
      </c>
    </row>
    <row r="16" spans="1:17">
      <c r="A16" s="37">
        <v>13</v>
      </c>
      <c r="B16" s="29">
        <v>45701</v>
      </c>
      <c r="C16" s="41"/>
      <c r="D16" s="42"/>
      <c r="E16" s="94">
        <v>0</v>
      </c>
      <c r="F16" s="94">
        <v>0</v>
      </c>
      <c r="G16" s="139">
        <f t="shared" si="5"/>
        <v>0</v>
      </c>
      <c r="H16" s="140">
        <v>12</v>
      </c>
      <c r="I16" s="140">
        <v>108.23</v>
      </c>
      <c r="J16" s="94">
        <f t="shared" si="6"/>
        <v>1298.76</v>
      </c>
      <c r="K16" s="38">
        <f>G16+J16</f>
        <v>1298.76</v>
      </c>
      <c r="L16" s="44"/>
      <c r="M16" s="94">
        <f t="shared" si="3"/>
        <v>2631946.1946</v>
      </c>
      <c r="N16" s="44"/>
      <c r="P16">
        <v>12</v>
      </c>
    </row>
    <row r="17" spans="1:16">
      <c r="A17" s="39">
        <f t="shared" ref="A17:A18" si="10">A16+1</f>
        <v>14</v>
      </c>
      <c r="B17" s="29">
        <v>45702</v>
      </c>
      <c r="C17" s="41"/>
      <c r="D17" s="42"/>
      <c r="E17" s="94">
        <v>0</v>
      </c>
      <c r="F17" s="94">
        <v>0</v>
      </c>
      <c r="G17" s="139">
        <f t="shared" si="5"/>
        <v>0</v>
      </c>
      <c r="H17" s="140">
        <v>5</v>
      </c>
      <c r="I17" s="140">
        <v>108.23</v>
      </c>
      <c r="J17" s="94">
        <f t="shared" si="6"/>
        <v>541.15</v>
      </c>
      <c r="K17" s="38">
        <f>G17+J17</f>
        <v>541.15</v>
      </c>
      <c r="L17" s="44"/>
      <c r="M17" s="94">
        <f t="shared" si="3"/>
        <v>2632487.3446</v>
      </c>
      <c r="N17" s="44"/>
      <c r="P17">
        <v>5</v>
      </c>
    </row>
    <row r="18" spans="1:16">
      <c r="A18" s="39">
        <f t="shared" si="10"/>
        <v>15</v>
      </c>
      <c r="B18" s="29">
        <v>45703</v>
      </c>
      <c r="C18" s="220"/>
      <c r="D18" s="239"/>
      <c r="E18" s="94">
        <v>0</v>
      </c>
      <c r="F18" s="94">
        <v>96.31</v>
      </c>
      <c r="G18" s="139">
        <f t="shared" si="5"/>
        <v>0</v>
      </c>
      <c r="H18" s="140">
        <v>26</v>
      </c>
      <c r="I18" s="140">
        <v>108.23</v>
      </c>
      <c r="J18" s="94">
        <f t="shared" si="6"/>
        <v>2813.98</v>
      </c>
      <c r="K18" s="44">
        <f>G18+J18</f>
        <v>2813.98</v>
      </c>
      <c r="L18" s="44"/>
      <c r="M18" s="94">
        <f t="shared" si="3"/>
        <v>2635301.3245999999</v>
      </c>
      <c r="N18" s="221"/>
      <c r="P18">
        <v>26</v>
      </c>
    </row>
    <row r="19" spans="1:16">
      <c r="A19" s="219">
        <v>16</v>
      </c>
      <c r="B19" s="29">
        <v>45704</v>
      </c>
      <c r="C19" s="143"/>
      <c r="D19" s="42"/>
      <c r="E19" s="94">
        <v>0</v>
      </c>
      <c r="F19" s="94">
        <v>0</v>
      </c>
      <c r="G19" s="139">
        <f t="shared" si="5"/>
        <v>0</v>
      </c>
      <c r="H19" s="140">
        <v>8</v>
      </c>
      <c r="I19" s="140">
        <v>108.23</v>
      </c>
      <c r="J19" s="94">
        <f t="shared" si="6"/>
        <v>865.84</v>
      </c>
      <c r="K19" s="221">
        <f>G19+J19</f>
        <v>865.84</v>
      </c>
      <c r="L19" s="44"/>
      <c r="M19" s="94">
        <f t="shared" si="3"/>
        <v>2636167.1645999998</v>
      </c>
      <c r="N19" s="221"/>
      <c r="P19">
        <v>8</v>
      </c>
    </row>
    <row r="20" spans="1:16">
      <c r="A20" s="219">
        <v>17</v>
      </c>
      <c r="B20" s="29">
        <v>45705</v>
      </c>
      <c r="C20" s="249"/>
      <c r="D20" s="239"/>
      <c r="E20" s="94">
        <v>0</v>
      </c>
      <c r="F20" s="94">
        <v>0</v>
      </c>
      <c r="G20" s="139">
        <f t="shared" si="5"/>
        <v>0</v>
      </c>
      <c r="H20" s="140">
        <v>53.02</v>
      </c>
      <c r="I20" s="140">
        <v>108.23</v>
      </c>
      <c r="J20" s="94">
        <f t="shared" si="6"/>
        <v>5738.3546000000006</v>
      </c>
      <c r="K20" s="221">
        <f>G20+J20</f>
        <v>5738.3546000000006</v>
      </c>
      <c r="L20" s="44"/>
      <c r="M20" s="94">
        <f t="shared" si="3"/>
        <v>2641905.5192</v>
      </c>
      <c r="N20" s="221"/>
      <c r="P20">
        <v>53.02</v>
      </c>
    </row>
    <row r="21" spans="1:16">
      <c r="A21" s="269">
        <v>18</v>
      </c>
      <c r="B21" s="29">
        <v>45706</v>
      </c>
      <c r="C21" s="249"/>
      <c r="D21" s="239"/>
      <c r="E21" s="94">
        <v>0</v>
      </c>
      <c r="F21" s="94">
        <v>0</v>
      </c>
      <c r="G21" s="139">
        <f t="shared" si="5"/>
        <v>0</v>
      </c>
      <c r="H21" s="140">
        <v>0</v>
      </c>
      <c r="I21" s="140"/>
      <c r="J21" s="94">
        <f t="shared" si="6"/>
        <v>0</v>
      </c>
      <c r="K21" s="221">
        <f t="shared" ref="K21:K22" si="11">G21+J21</f>
        <v>0</v>
      </c>
      <c r="L21" s="44">
        <v>1000000</v>
      </c>
      <c r="M21" s="94">
        <f t="shared" si="3"/>
        <v>1641905.5192</v>
      </c>
      <c r="N21" s="221"/>
    </row>
    <row r="22" spans="1:16">
      <c r="A22" s="157">
        <v>19</v>
      </c>
      <c r="B22" s="29">
        <v>45707</v>
      </c>
      <c r="C22" s="143"/>
      <c r="D22" s="42"/>
      <c r="E22" s="94">
        <v>0</v>
      </c>
      <c r="F22" s="94">
        <v>0</v>
      </c>
      <c r="G22" s="139">
        <f t="shared" si="5"/>
        <v>0</v>
      </c>
      <c r="H22" s="140">
        <v>3</v>
      </c>
      <c r="I22" s="140">
        <v>108.23</v>
      </c>
      <c r="J22" s="94">
        <f t="shared" si="6"/>
        <v>324.69</v>
      </c>
      <c r="K22" s="44">
        <f>G22+J22</f>
        <v>324.69</v>
      </c>
      <c r="L22" s="44"/>
      <c r="M22" s="94">
        <f t="shared" si="3"/>
        <v>1642230.2091999999</v>
      </c>
      <c r="N22" s="44"/>
      <c r="P22">
        <v>3</v>
      </c>
    </row>
    <row r="23" spans="1:16">
      <c r="A23" s="219">
        <v>20</v>
      </c>
      <c r="B23" s="29">
        <v>45708</v>
      </c>
      <c r="C23" s="143"/>
      <c r="D23" s="42"/>
      <c r="E23" s="94">
        <v>0</v>
      </c>
      <c r="F23" s="94">
        <v>96.42</v>
      </c>
      <c r="G23" s="139">
        <f t="shared" si="5"/>
        <v>0</v>
      </c>
      <c r="H23" s="140">
        <v>22.46</v>
      </c>
      <c r="I23" s="140">
        <v>108.23</v>
      </c>
      <c r="J23" s="94">
        <f t="shared" si="6"/>
        <v>2430.8458000000001</v>
      </c>
      <c r="K23" s="44">
        <f>G23+J23</f>
        <v>2430.8458000000001</v>
      </c>
      <c r="L23" s="44"/>
      <c r="M23" s="94">
        <f t="shared" si="3"/>
        <v>1644661.0549999999</v>
      </c>
      <c r="N23" s="44"/>
      <c r="P23">
        <v>22.46</v>
      </c>
    </row>
    <row r="24" spans="1:16">
      <c r="A24" s="269">
        <v>21</v>
      </c>
      <c r="B24" s="29">
        <v>45709</v>
      </c>
      <c r="C24" s="143"/>
      <c r="D24" s="42"/>
      <c r="E24" s="94">
        <v>1000</v>
      </c>
      <c r="F24" s="94">
        <v>96.42</v>
      </c>
      <c r="G24" s="139">
        <f t="shared" si="5"/>
        <v>96420</v>
      </c>
      <c r="H24" s="140">
        <v>5</v>
      </c>
      <c r="I24" s="140">
        <v>108.23</v>
      </c>
      <c r="J24" s="94">
        <f t="shared" si="6"/>
        <v>541.15</v>
      </c>
      <c r="K24" s="44">
        <f t="shared" ref="K24:K31" si="12">G24+J24</f>
        <v>96961.15</v>
      </c>
      <c r="L24" s="44"/>
      <c r="M24" s="94">
        <f t="shared" si="3"/>
        <v>1741622.2049999998</v>
      </c>
      <c r="N24" s="44"/>
      <c r="P24">
        <v>5</v>
      </c>
    </row>
    <row r="25" spans="1:16">
      <c r="A25" s="157">
        <v>22</v>
      </c>
      <c r="B25" s="29">
        <v>45710</v>
      </c>
      <c r="C25" s="143"/>
      <c r="D25" s="42"/>
      <c r="E25" s="94">
        <v>1300</v>
      </c>
      <c r="F25" s="94">
        <v>96.42</v>
      </c>
      <c r="G25" s="139">
        <f t="shared" si="5"/>
        <v>125346</v>
      </c>
      <c r="H25" s="140">
        <v>44</v>
      </c>
      <c r="I25" s="140">
        <v>108.23</v>
      </c>
      <c r="J25" s="94">
        <f t="shared" si="6"/>
        <v>4762.12</v>
      </c>
      <c r="K25" s="44">
        <f t="shared" si="12"/>
        <v>130108.12</v>
      </c>
      <c r="L25" s="44"/>
      <c r="M25" s="94">
        <f t="shared" si="3"/>
        <v>1871730.3249999997</v>
      </c>
      <c r="N25" s="44"/>
      <c r="P25">
        <v>44</v>
      </c>
    </row>
    <row r="26" spans="1:16">
      <c r="A26" s="219">
        <v>23</v>
      </c>
      <c r="B26" s="29">
        <v>45711</v>
      </c>
      <c r="C26" s="143"/>
      <c r="D26" s="42"/>
      <c r="E26" s="94">
        <v>0</v>
      </c>
      <c r="F26" s="94">
        <v>0</v>
      </c>
      <c r="G26" s="139">
        <f t="shared" si="5"/>
        <v>0</v>
      </c>
      <c r="H26" s="140">
        <v>4</v>
      </c>
      <c r="I26" s="140">
        <v>108.23</v>
      </c>
      <c r="J26" s="94">
        <f t="shared" si="6"/>
        <v>432.92</v>
      </c>
      <c r="K26" s="44">
        <f t="shared" si="12"/>
        <v>432.92</v>
      </c>
      <c r="L26" s="44"/>
      <c r="M26" s="94">
        <f t="shared" si="3"/>
        <v>1872163.2449999996</v>
      </c>
      <c r="N26" s="44"/>
      <c r="P26">
        <v>4</v>
      </c>
    </row>
    <row r="27" spans="1:16">
      <c r="A27" s="157">
        <v>24</v>
      </c>
      <c r="B27" s="29">
        <v>45712</v>
      </c>
      <c r="C27" s="143"/>
      <c r="D27" s="42"/>
      <c r="E27" s="94">
        <v>1500</v>
      </c>
      <c r="F27" s="94">
        <v>96.42</v>
      </c>
      <c r="G27" s="139">
        <f t="shared" si="5"/>
        <v>144630</v>
      </c>
      <c r="H27" s="140">
        <v>5</v>
      </c>
      <c r="I27" s="140">
        <v>108.23</v>
      </c>
      <c r="J27" s="94">
        <f t="shared" si="6"/>
        <v>541.15</v>
      </c>
      <c r="K27" s="44">
        <f t="shared" si="12"/>
        <v>145171.15</v>
      </c>
      <c r="L27" s="44"/>
      <c r="M27" s="94">
        <f t="shared" si="3"/>
        <v>2017334.3949999996</v>
      </c>
      <c r="N27" s="44"/>
      <c r="P27">
        <v>5</v>
      </c>
    </row>
    <row r="28" spans="1:16">
      <c r="A28" s="157">
        <v>25</v>
      </c>
      <c r="B28" s="29">
        <v>45713</v>
      </c>
      <c r="C28" s="143"/>
      <c r="D28" s="42"/>
      <c r="E28" s="94">
        <v>0</v>
      </c>
      <c r="F28" s="94">
        <v>0</v>
      </c>
      <c r="G28" s="139">
        <f t="shared" si="5"/>
        <v>0</v>
      </c>
      <c r="H28" s="140">
        <v>23</v>
      </c>
      <c r="I28" s="140">
        <v>108.23</v>
      </c>
      <c r="J28" s="94">
        <f t="shared" si="6"/>
        <v>2489.29</v>
      </c>
      <c r="K28" s="44">
        <f t="shared" si="12"/>
        <v>2489.29</v>
      </c>
      <c r="L28" s="44"/>
      <c r="M28" s="94">
        <f t="shared" si="3"/>
        <v>2019823.6849999996</v>
      </c>
      <c r="N28" s="44"/>
      <c r="P28">
        <v>23</v>
      </c>
    </row>
    <row r="29" spans="1:16">
      <c r="A29" s="157">
        <v>26</v>
      </c>
      <c r="B29" s="29">
        <v>45714</v>
      </c>
      <c r="C29" s="143"/>
      <c r="D29" s="42"/>
      <c r="E29" s="94">
        <v>1500</v>
      </c>
      <c r="F29" s="94">
        <v>96.42</v>
      </c>
      <c r="G29" s="139">
        <f t="shared" si="5"/>
        <v>144630</v>
      </c>
      <c r="H29" s="140">
        <v>25</v>
      </c>
      <c r="I29" s="140">
        <v>108.23</v>
      </c>
      <c r="J29" s="94">
        <f t="shared" si="6"/>
        <v>2705.75</v>
      </c>
      <c r="K29" s="44">
        <f t="shared" si="12"/>
        <v>147335.75</v>
      </c>
      <c r="L29" s="44"/>
      <c r="M29" s="94">
        <f t="shared" si="3"/>
        <v>2167159.4349999996</v>
      </c>
      <c r="N29" s="44"/>
      <c r="P29">
        <v>25</v>
      </c>
    </row>
    <row r="30" spans="1:16">
      <c r="A30" s="157">
        <v>27</v>
      </c>
      <c r="B30" s="29">
        <v>45715</v>
      </c>
      <c r="C30" s="143"/>
      <c r="D30" s="42"/>
      <c r="E30" s="94">
        <v>1000</v>
      </c>
      <c r="F30" s="94">
        <v>96.42</v>
      </c>
      <c r="G30" s="139">
        <f t="shared" si="5"/>
        <v>96420</v>
      </c>
      <c r="H30" s="140">
        <v>13</v>
      </c>
      <c r="I30" s="140">
        <v>108.23</v>
      </c>
      <c r="J30" s="94">
        <f t="shared" si="6"/>
        <v>1406.99</v>
      </c>
      <c r="K30" s="44">
        <f t="shared" si="12"/>
        <v>97826.99</v>
      </c>
      <c r="L30" s="44"/>
      <c r="M30" s="94">
        <f t="shared" si="3"/>
        <v>2264986.4249999998</v>
      </c>
      <c r="N30" s="44"/>
      <c r="P30">
        <v>13</v>
      </c>
    </row>
    <row r="31" spans="1:16">
      <c r="A31" s="157">
        <v>28</v>
      </c>
      <c r="B31" s="29">
        <v>45716</v>
      </c>
      <c r="C31" s="143"/>
      <c r="D31" s="42"/>
      <c r="E31" s="94">
        <v>0</v>
      </c>
      <c r="F31" s="94">
        <v>0</v>
      </c>
      <c r="G31" s="139">
        <f t="shared" si="5"/>
        <v>0</v>
      </c>
      <c r="H31" s="140">
        <v>14</v>
      </c>
      <c r="I31" s="140">
        <v>108.23</v>
      </c>
      <c r="J31" s="94">
        <f t="shared" si="6"/>
        <v>1515.22</v>
      </c>
      <c r="K31" s="44">
        <f t="shared" si="12"/>
        <v>1515.22</v>
      </c>
      <c r="L31" s="44"/>
      <c r="M31" s="94">
        <f t="shared" si="3"/>
        <v>2266501.645</v>
      </c>
      <c r="N31" s="44"/>
      <c r="P31">
        <v>14</v>
      </c>
    </row>
    <row r="32" spans="1:16">
      <c r="A32" s="157"/>
      <c r="B32" s="116"/>
      <c r="C32" s="143"/>
      <c r="D32" s="42"/>
      <c r="E32" s="44"/>
      <c r="F32" s="44"/>
      <c r="G32" s="44"/>
      <c r="H32" s="44"/>
      <c r="I32" s="44"/>
      <c r="J32" s="44">
        <f t="shared" ref="J32" si="13">H32*I32</f>
        <v>0</v>
      </c>
      <c r="K32" s="44"/>
      <c r="L32" s="44"/>
      <c r="M32" s="94">
        <f t="shared" si="3"/>
        <v>2266501.645</v>
      </c>
      <c r="N32" s="44"/>
    </row>
    <row r="33" spans="1:14">
      <c r="A33" s="252"/>
      <c r="B33" s="240"/>
      <c r="C33" s="240"/>
      <c r="D33" s="240"/>
      <c r="E33" s="58">
        <f>SUM(E4:E32)</f>
        <v>26096.3</v>
      </c>
      <c r="F33" s="58"/>
      <c r="G33" s="58">
        <f>SUM(G4:G32)</f>
        <v>2516205.2460000003</v>
      </c>
      <c r="H33" s="58">
        <f>SUM(H4:H32)</f>
        <v>560.48</v>
      </c>
      <c r="I33" s="58"/>
      <c r="J33" s="58">
        <f>SUM(J4:J32)</f>
        <v>60660.750400000012</v>
      </c>
      <c r="K33" s="58">
        <f>SUM(K4:K32)</f>
        <v>2576865.9964000001</v>
      </c>
      <c r="L33" s="58">
        <f>SUM(L4:L32)</f>
        <v>3000000</v>
      </c>
      <c r="M33" s="138"/>
      <c r="N33" s="59"/>
    </row>
    <row r="34" spans="1:14">
      <c r="A34" s="45"/>
      <c r="B34" s="45"/>
      <c r="C34" s="45"/>
      <c r="D34" s="45"/>
      <c r="E34" s="48"/>
      <c r="F34" s="48"/>
      <c r="G34" s="48"/>
      <c r="H34" s="48"/>
      <c r="I34" s="48"/>
      <c r="J34" s="48"/>
      <c r="K34" s="48"/>
      <c r="L34" s="48"/>
      <c r="M34" s="48"/>
      <c r="N34" s="48"/>
    </row>
    <row r="35" spans="1:14">
      <c r="A35" s="36"/>
      <c r="B35" s="36"/>
      <c r="C35" s="36"/>
      <c r="D35" s="36"/>
      <c r="E35" s="36"/>
      <c r="F35" s="36"/>
      <c r="G35" s="47"/>
      <c r="H35" s="36"/>
      <c r="I35" s="36"/>
      <c r="J35" s="36"/>
      <c r="K35" s="36"/>
      <c r="L35" s="36"/>
      <c r="M35" s="36"/>
      <c r="N35" s="36"/>
    </row>
    <row r="36" spans="1:14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40" spans="1:14">
      <c r="E40" s="230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810D-6702-454D-B4DA-2BB38ADF2BE1}">
  <dimension ref="A1:Q46"/>
  <sheetViews>
    <sheetView workbookViewId="0">
      <selection activeCell="O30" sqref="O30"/>
    </sheetView>
  </sheetViews>
  <sheetFormatPr defaultColWidth="13.42578125" defaultRowHeight="15"/>
  <cols>
    <col min="1" max="1" width="7.28515625" customWidth="1"/>
    <col min="2" max="2" width="12.42578125" customWidth="1"/>
    <col min="4" max="4" width="17.5703125" customWidth="1"/>
    <col min="5" max="5" width="13.42578125" style="264"/>
    <col min="6" max="6" width="17.140625" customWidth="1"/>
    <col min="12" max="13" width="15.7109375" customWidth="1"/>
  </cols>
  <sheetData>
    <row r="1" spans="1:17" ht="15.75" customHeight="1">
      <c r="A1" s="429" t="s">
        <v>52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36"/>
    </row>
    <row r="2" spans="1:17">
      <c r="A2" s="135" t="s">
        <v>1</v>
      </c>
      <c r="B2" s="142" t="s">
        <v>2</v>
      </c>
      <c r="C2" s="142" t="s">
        <v>3</v>
      </c>
      <c r="D2" s="142" t="s">
        <v>4</v>
      </c>
      <c r="E2" s="288" t="s">
        <v>5</v>
      </c>
      <c r="F2" s="142" t="s">
        <v>6</v>
      </c>
      <c r="G2" s="142" t="s">
        <v>7</v>
      </c>
      <c r="H2" s="142" t="s">
        <v>8</v>
      </c>
      <c r="I2" s="142" t="s">
        <v>6</v>
      </c>
      <c r="J2" s="142" t="s">
        <v>7</v>
      </c>
      <c r="K2" s="142" t="s">
        <v>9</v>
      </c>
      <c r="L2" s="142" t="s">
        <v>10</v>
      </c>
      <c r="M2" s="142" t="s">
        <v>11</v>
      </c>
      <c r="N2" s="142" t="s">
        <v>12</v>
      </c>
      <c r="O2" s="36"/>
    </row>
    <row r="3" spans="1:17">
      <c r="A3" s="430" t="s">
        <v>13</v>
      </c>
      <c r="B3" s="430"/>
      <c r="C3" s="430"/>
      <c r="D3" s="430"/>
      <c r="E3" s="430"/>
      <c r="F3" s="430"/>
      <c r="G3" s="430"/>
      <c r="H3" s="430"/>
      <c r="I3" s="430"/>
      <c r="J3" s="430"/>
      <c r="K3" s="169">
        <v>2458844.9030999998</v>
      </c>
      <c r="L3" s="169"/>
      <c r="M3" s="141">
        <f>+K3</f>
        <v>2458844.9030999998</v>
      </c>
      <c r="N3" s="19"/>
      <c r="O3" s="36">
        <v>2458844.9030999998</v>
      </c>
      <c r="P3">
        <v>2462638</v>
      </c>
      <c r="Q3">
        <f>O3-P3</f>
        <v>-3793.0969000002369</v>
      </c>
    </row>
    <row r="4" spans="1:17">
      <c r="A4" s="157">
        <v>1</v>
      </c>
      <c r="B4" s="116">
        <v>45689</v>
      </c>
      <c r="C4" s="143"/>
      <c r="D4" s="42"/>
      <c r="E4" s="289">
        <v>995.01</v>
      </c>
      <c r="F4" s="44">
        <v>96.31</v>
      </c>
      <c r="G4" s="44">
        <f t="shared" ref="G4:G6" si="0">E4*F4</f>
        <v>95829.413100000005</v>
      </c>
      <c r="H4" s="44"/>
      <c r="I4" s="44">
        <v>108.12</v>
      </c>
      <c r="J4" s="44">
        <f t="shared" ref="J4:J6" si="1">H4*I4</f>
        <v>0</v>
      </c>
      <c r="K4" s="44">
        <f>G4+J4</f>
        <v>95829.413100000005</v>
      </c>
      <c r="L4" s="44"/>
      <c r="M4" s="44">
        <f>M3+K4-L4</f>
        <v>2554674.3161999998</v>
      </c>
      <c r="N4" s="44"/>
      <c r="O4" s="36"/>
    </row>
    <row r="5" spans="1:17">
      <c r="A5" s="157">
        <f>A4+1</f>
        <v>2</v>
      </c>
      <c r="B5" s="116">
        <v>45690</v>
      </c>
      <c r="C5" s="143"/>
      <c r="D5" s="42"/>
      <c r="E5" s="289"/>
      <c r="F5" s="44">
        <v>96.31</v>
      </c>
      <c r="G5" s="44">
        <f t="shared" si="0"/>
        <v>0</v>
      </c>
      <c r="H5" s="44"/>
      <c r="I5" s="44">
        <v>108.12</v>
      </c>
      <c r="J5" s="44">
        <f t="shared" si="1"/>
        <v>0</v>
      </c>
      <c r="K5" s="44">
        <f t="shared" ref="K5:K28" si="2">G5+J5</f>
        <v>0</v>
      </c>
      <c r="L5" s="44"/>
      <c r="M5" s="44">
        <f t="shared" ref="M5:M13" si="3">M4+K5-L5</f>
        <v>2554674.3161999998</v>
      </c>
      <c r="N5" s="44"/>
      <c r="O5" s="36"/>
    </row>
    <row r="6" spans="1:17">
      <c r="A6" s="157">
        <f>A5+1</f>
        <v>3</v>
      </c>
      <c r="B6" s="116">
        <v>45691</v>
      </c>
      <c r="C6" s="143"/>
      <c r="D6" s="42"/>
      <c r="E6" s="289">
        <v>1598.31</v>
      </c>
      <c r="F6" s="44">
        <v>96.31</v>
      </c>
      <c r="G6" s="44">
        <f t="shared" si="0"/>
        <v>153933.23610000001</v>
      </c>
      <c r="H6" s="44">
        <v>15</v>
      </c>
      <c r="I6" s="44">
        <v>108.12</v>
      </c>
      <c r="J6" s="44">
        <f>H6*I6</f>
        <v>1621.8000000000002</v>
      </c>
      <c r="K6" s="44">
        <f t="shared" si="2"/>
        <v>155555.0361</v>
      </c>
      <c r="L6" s="44"/>
      <c r="M6" s="44">
        <f t="shared" si="3"/>
        <v>2710229.3522999999</v>
      </c>
      <c r="N6" s="44"/>
      <c r="O6" s="36"/>
    </row>
    <row r="7" spans="1:17">
      <c r="A7" s="157">
        <f>A6+1</f>
        <v>4</v>
      </c>
      <c r="B7" s="29">
        <v>45692</v>
      </c>
      <c r="C7" s="143"/>
      <c r="D7" s="42"/>
      <c r="E7" s="289">
        <v>936.83</v>
      </c>
      <c r="F7" s="44">
        <v>96.31</v>
      </c>
      <c r="G7" s="44">
        <f t="shared" ref="G5:G31" si="4">E7*F7</f>
        <v>90226.097300000009</v>
      </c>
      <c r="H7" s="158">
        <v>0</v>
      </c>
      <c r="I7" s="158">
        <v>0</v>
      </c>
      <c r="J7" s="44">
        <f t="shared" ref="J5:J31" si="5">H7*I7</f>
        <v>0</v>
      </c>
      <c r="K7" s="44">
        <f t="shared" si="2"/>
        <v>90226.097300000009</v>
      </c>
      <c r="L7" s="44"/>
      <c r="M7" s="44">
        <f t="shared" si="3"/>
        <v>2800455.4495999999</v>
      </c>
      <c r="N7" s="44"/>
      <c r="O7" s="36"/>
    </row>
    <row r="8" spans="1:17">
      <c r="A8" s="157">
        <f>A7+1</f>
        <v>5</v>
      </c>
      <c r="B8" s="29">
        <v>45693</v>
      </c>
      <c r="C8" s="143"/>
      <c r="D8" s="42"/>
      <c r="E8" s="289">
        <v>1296.46</v>
      </c>
      <c r="F8" s="44">
        <v>96.31</v>
      </c>
      <c r="G8" s="44">
        <f t="shared" si="4"/>
        <v>124862.0626</v>
      </c>
      <c r="H8" s="158">
        <v>0</v>
      </c>
      <c r="I8" s="158">
        <v>0</v>
      </c>
      <c r="J8" s="44">
        <f t="shared" si="5"/>
        <v>0</v>
      </c>
      <c r="K8" s="44">
        <f t="shared" si="2"/>
        <v>124862.0626</v>
      </c>
      <c r="L8" s="44">
        <v>1000000</v>
      </c>
      <c r="M8" s="44">
        <f t="shared" si="3"/>
        <v>1925317.5121999998</v>
      </c>
      <c r="N8" s="44"/>
      <c r="O8" s="36"/>
    </row>
    <row r="9" spans="1:17">
      <c r="A9" s="157">
        <f>A8+1</f>
        <v>6</v>
      </c>
      <c r="B9" s="29">
        <v>45694</v>
      </c>
      <c r="C9" s="143"/>
      <c r="D9" s="42"/>
      <c r="E9" s="289">
        <v>1720.98</v>
      </c>
      <c r="F9" s="44">
        <v>96.31</v>
      </c>
      <c r="G9" s="44">
        <f t="shared" si="4"/>
        <v>165747.58379999999</v>
      </c>
      <c r="H9" s="158">
        <v>0</v>
      </c>
      <c r="I9" s="158">
        <v>0</v>
      </c>
      <c r="J9" s="44">
        <f t="shared" si="5"/>
        <v>0</v>
      </c>
      <c r="K9" s="44">
        <f t="shared" si="2"/>
        <v>165747.58379999999</v>
      </c>
      <c r="L9" s="44"/>
      <c r="M9" s="44">
        <f t="shared" si="3"/>
        <v>2091065.0959999997</v>
      </c>
      <c r="N9" s="44"/>
      <c r="O9" s="36"/>
    </row>
    <row r="10" spans="1:17">
      <c r="A10" s="157">
        <f>A9+1</f>
        <v>7</v>
      </c>
      <c r="B10" s="29">
        <v>45695</v>
      </c>
      <c r="C10" s="143"/>
      <c r="D10" s="42"/>
      <c r="E10" s="289">
        <v>722.74</v>
      </c>
      <c r="F10" s="44">
        <v>96.31</v>
      </c>
      <c r="G10" s="44">
        <f t="shared" si="4"/>
        <v>69607.089399999997</v>
      </c>
      <c r="H10" s="158">
        <v>0</v>
      </c>
      <c r="I10" s="158">
        <v>0</v>
      </c>
      <c r="J10" s="44">
        <f t="shared" si="5"/>
        <v>0</v>
      </c>
      <c r="K10" s="44">
        <f t="shared" si="2"/>
        <v>69607.089399999997</v>
      </c>
      <c r="L10" s="44">
        <v>1000000</v>
      </c>
      <c r="M10" s="44">
        <f t="shared" si="3"/>
        <v>1160672.1853999998</v>
      </c>
      <c r="N10" s="44"/>
      <c r="O10" s="36"/>
    </row>
    <row r="11" spans="1:17">
      <c r="A11" s="157">
        <f>A10+1</f>
        <v>8</v>
      </c>
      <c r="B11" s="29">
        <v>45696</v>
      </c>
      <c r="C11" s="143"/>
      <c r="D11" s="42"/>
      <c r="E11" s="289">
        <v>1526.01</v>
      </c>
      <c r="F11" s="44">
        <v>96.31</v>
      </c>
      <c r="G11" s="44">
        <f t="shared" si="4"/>
        <v>146970.02309999999</v>
      </c>
      <c r="H11" s="158">
        <v>0</v>
      </c>
      <c r="I11" s="158">
        <v>0</v>
      </c>
      <c r="J11" s="44">
        <f t="shared" si="5"/>
        <v>0</v>
      </c>
      <c r="K11" s="44">
        <f t="shared" si="2"/>
        <v>146970.02309999999</v>
      </c>
      <c r="L11" s="44"/>
      <c r="M11" s="44">
        <f t="shared" si="3"/>
        <v>1307642.2084999997</v>
      </c>
      <c r="N11" s="44"/>
      <c r="O11" s="36"/>
    </row>
    <row r="12" spans="1:17">
      <c r="A12" s="157">
        <f>A11+1</f>
        <v>9</v>
      </c>
      <c r="B12" s="29">
        <v>45697</v>
      </c>
      <c r="C12" s="143"/>
      <c r="D12" s="42"/>
      <c r="E12" s="289">
        <v>1007.07</v>
      </c>
      <c r="F12" s="44">
        <v>96.31</v>
      </c>
      <c r="G12" s="44">
        <f t="shared" si="4"/>
        <v>96990.911700000011</v>
      </c>
      <c r="H12" s="158">
        <v>15</v>
      </c>
      <c r="I12" s="158">
        <v>108.12</v>
      </c>
      <c r="J12" s="44">
        <f t="shared" si="5"/>
        <v>1621.8000000000002</v>
      </c>
      <c r="K12" s="44">
        <f t="shared" si="2"/>
        <v>98612.711700000014</v>
      </c>
      <c r="L12" s="44"/>
      <c r="M12" s="44">
        <f t="shared" si="3"/>
        <v>1406254.9201999998</v>
      </c>
      <c r="N12" s="44"/>
      <c r="O12" s="36"/>
    </row>
    <row r="13" spans="1:17">
      <c r="A13" s="157">
        <f>A12+1</f>
        <v>10</v>
      </c>
      <c r="B13" s="29">
        <v>45698</v>
      </c>
      <c r="C13" s="143"/>
      <c r="D13" s="42"/>
      <c r="E13" s="289">
        <v>904.03</v>
      </c>
      <c r="F13" s="44">
        <v>96.31</v>
      </c>
      <c r="G13" s="44">
        <f t="shared" si="4"/>
        <v>87067.129300000001</v>
      </c>
      <c r="H13" s="158">
        <v>0</v>
      </c>
      <c r="I13" s="158">
        <v>108.12</v>
      </c>
      <c r="J13" s="44">
        <f t="shared" si="5"/>
        <v>0</v>
      </c>
      <c r="K13" s="44">
        <f t="shared" si="2"/>
        <v>87067.129300000001</v>
      </c>
      <c r="L13" s="44"/>
      <c r="M13" s="44">
        <f>M12+K13-L13</f>
        <v>1493322.0494999997</v>
      </c>
      <c r="N13" s="44"/>
      <c r="O13" s="36"/>
    </row>
    <row r="14" spans="1:17">
      <c r="A14" s="157">
        <f>A13+1</f>
        <v>11</v>
      </c>
      <c r="B14" s="29">
        <v>45699</v>
      </c>
      <c r="C14" s="143"/>
      <c r="D14" s="42"/>
      <c r="E14" s="289">
        <v>1035.69</v>
      </c>
      <c r="F14" s="44">
        <v>96.31</v>
      </c>
      <c r="G14" s="44">
        <f t="shared" si="4"/>
        <v>99747.303900000014</v>
      </c>
      <c r="H14" s="158">
        <v>0</v>
      </c>
      <c r="I14" s="158">
        <v>108.12</v>
      </c>
      <c r="J14" s="44">
        <f t="shared" si="5"/>
        <v>0</v>
      </c>
      <c r="K14" s="44">
        <f t="shared" si="2"/>
        <v>99747.303900000014</v>
      </c>
      <c r="L14" s="44"/>
      <c r="M14" s="44">
        <f>M13+K14-L14</f>
        <v>1593069.3533999997</v>
      </c>
      <c r="N14" s="44"/>
      <c r="O14" s="36"/>
    </row>
    <row r="15" spans="1:17">
      <c r="A15" s="157">
        <v>12</v>
      </c>
      <c r="B15" s="29">
        <v>45700</v>
      </c>
      <c r="C15" s="143"/>
      <c r="D15" s="42"/>
      <c r="E15" s="289">
        <v>2136.0100000000002</v>
      </c>
      <c r="F15" s="44">
        <v>96.31</v>
      </c>
      <c r="G15" s="44">
        <f t="shared" si="4"/>
        <v>205719.12310000003</v>
      </c>
      <c r="H15" s="158">
        <v>0</v>
      </c>
      <c r="I15" s="158">
        <v>0</v>
      </c>
      <c r="J15" s="44">
        <f t="shared" si="5"/>
        <v>0</v>
      </c>
      <c r="K15" s="44">
        <f t="shared" si="2"/>
        <v>205719.12310000003</v>
      </c>
      <c r="L15" s="44"/>
      <c r="M15" s="44">
        <f>M14+K15-L15</f>
        <v>1798788.4764999996</v>
      </c>
      <c r="N15" s="44"/>
      <c r="O15" s="36"/>
    </row>
    <row r="16" spans="1:17">
      <c r="A16" s="157">
        <v>13</v>
      </c>
      <c r="B16" s="29">
        <v>45701</v>
      </c>
      <c r="C16" s="143"/>
      <c r="D16" s="42"/>
      <c r="E16" s="289">
        <v>3481.81</v>
      </c>
      <c r="F16" s="44">
        <v>96.31</v>
      </c>
      <c r="G16" s="44">
        <f t="shared" si="4"/>
        <v>335333.12109999999</v>
      </c>
      <c r="H16" s="158">
        <v>20</v>
      </c>
      <c r="I16" s="158">
        <v>108.12</v>
      </c>
      <c r="J16" s="44">
        <f t="shared" si="5"/>
        <v>2162.4</v>
      </c>
      <c r="K16" s="44">
        <f t="shared" si="2"/>
        <v>337495.52110000001</v>
      </c>
      <c r="L16" s="44"/>
      <c r="M16" s="44">
        <f t="shared" ref="M16:M31" si="6">M15+K16-L16</f>
        <v>2136283.9975999994</v>
      </c>
      <c r="N16" s="44"/>
      <c r="O16" s="36"/>
    </row>
    <row r="17" spans="1:16">
      <c r="A17" s="157">
        <v>14</v>
      </c>
      <c r="B17" s="29">
        <v>45702</v>
      </c>
      <c r="C17" s="143"/>
      <c r="D17" s="42"/>
      <c r="E17" s="289">
        <v>888</v>
      </c>
      <c r="F17" s="44">
        <v>96.31</v>
      </c>
      <c r="G17" s="44">
        <f t="shared" si="4"/>
        <v>85523.28</v>
      </c>
      <c r="H17" s="158">
        <v>0</v>
      </c>
      <c r="I17" s="158">
        <v>0</v>
      </c>
      <c r="J17" s="44">
        <f t="shared" si="5"/>
        <v>0</v>
      </c>
      <c r="K17" s="44">
        <f t="shared" si="2"/>
        <v>85523.28</v>
      </c>
      <c r="L17" s="44"/>
      <c r="M17" s="44">
        <f t="shared" si="6"/>
        <v>2221807.2775999992</v>
      </c>
      <c r="N17" s="44"/>
      <c r="O17" s="36"/>
    </row>
    <row r="18" spans="1:16">
      <c r="A18" s="157">
        <v>15</v>
      </c>
      <c r="B18" s="29">
        <v>45703</v>
      </c>
      <c r="C18" s="143"/>
      <c r="D18" s="42"/>
      <c r="E18" s="289">
        <v>3792</v>
      </c>
      <c r="F18" s="44">
        <v>96.31</v>
      </c>
      <c r="G18" s="44">
        <f t="shared" si="4"/>
        <v>365207.52</v>
      </c>
      <c r="H18" s="158">
        <v>0</v>
      </c>
      <c r="I18" s="158">
        <v>108.12</v>
      </c>
      <c r="J18" s="44">
        <f t="shared" si="5"/>
        <v>0</v>
      </c>
      <c r="K18" s="44">
        <f t="shared" si="2"/>
        <v>365207.52</v>
      </c>
      <c r="L18" s="44"/>
      <c r="M18" s="44">
        <f t="shared" si="6"/>
        <v>2587014.7975999992</v>
      </c>
      <c r="N18" s="44"/>
      <c r="O18" s="36"/>
      <c r="P18" s="24">
        <v>2881111.7924000002</v>
      </c>
    </row>
    <row r="19" spans="1:16">
      <c r="A19" s="157">
        <v>16</v>
      </c>
      <c r="B19" s="29">
        <v>45704</v>
      </c>
      <c r="C19" s="143"/>
      <c r="D19" s="42"/>
      <c r="E19" s="289">
        <v>0</v>
      </c>
      <c r="F19" s="44">
        <v>0</v>
      </c>
      <c r="G19" s="44">
        <f t="shared" si="4"/>
        <v>0</v>
      </c>
      <c r="H19" s="158">
        <v>5</v>
      </c>
      <c r="I19" s="158">
        <v>108.12</v>
      </c>
      <c r="J19" s="44">
        <f t="shared" si="5"/>
        <v>540.6</v>
      </c>
      <c r="K19" s="44">
        <f t="shared" si="2"/>
        <v>540.6</v>
      </c>
      <c r="L19" s="44"/>
      <c r="M19" s="44">
        <f t="shared" si="6"/>
        <v>2587555.3975999993</v>
      </c>
      <c r="N19" s="44"/>
      <c r="O19" s="36">
        <v>5</v>
      </c>
      <c r="P19" s="44">
        <v>1697963.5255</v>
      </c>
    </row>
    <row r="20" spans="1:16">
      <c r="A20" s="157">
        <v>17</v>
      </c>
      <c r="B20" s="29">
        <v>45705</v>
      </c>
      <c r="C20" s="143"/>
      <c r="D20" s="42"/>
      <c r="E20" s="289">
        <v>0</v>
      </c>
      <c r="F20" s="44">
        <v>0</v>
      </c>
      <c r="G20" s="44">
        <f t="shared" si="4"/>
        <v>0</v>
      </c>
      <c r="H20" s="158">
        <v>0</v>
      </c>
      <c r="I20" s="158">
        <v>0</v>
      </c>
      <c r="J20" s="44">
        <f t="shared" si="5"/>
        <v>0</v>
      </c>
      <c r="K20" s="44">
        <f t="shared" si="2"/>
        <v>0</v>
      </c>
      <c r="L20" s="44"/>
      <c r="M20" s="44">
        <f t="shared" si="6"/>
        <v>2587555.3975999993</v>
      </c>
      <c r="N20" s="44"/>
      <c r="O20" s="36"/>
      <c r="P20" s="24">
        <f>SUM(P18:P19)</f>
        <v>4579075.3179000001</v>
      </c>
    </row>
    <row r="21" spans="1:16">
      <c r="A21" s="157">
        <v>18</v>
      </c>
      <c r="B21" s="29">
        <v>45706</v>
      </c>
      <c r="C21" s="143"/>
      <c r="D21" s="42"/>
      <c r="E21" s="289">
        <v>0</v>
      </c>
      <c r="F21" s="44">
        <v>0</v>
      </c>
      <c r="G21" s="44">
        <f t="shared" si="4"/>
        <v>0</v>
      </c>
      <c r="H21" s="158">
        <v>0</v>
      </c>
      <c r="I21" s="158">
        <v>0</v>
      </c>
      <c r="J21" s="44">
        <f t="shared" si="5"/>
        <v>0</v>
      </c>
      <c r="K21" s="44">
        <f t="shared" si="2"/>
        <v>0</v>
      </c>
      <c r="L21" s="44"/>
      <c r="M21" s="44">
        <f t="shared" si="6"/>
        <v>2587555.3975999993</v>
      </c>
      <c r="N21" s="44"/>
      <c r="O21" s="36"/>
    </row>
    <row r="22" spans="1:16">
      <c r="A22" s="157">
        <v>19</v>
      </c>
      <c r="B22" s="29">
        <v>45707</v>
      </c>
      <c r="C22" s="143"/>
      <c r="D22" s="42"/>
      <c r="E22" s="289">
        <v>0</v>
      </c>
      <c r="F22" s="44">
        <v>0</v>
      </c>
      <c r="G22" s="44">
        <f t="shared" si="4"/>
        <v>0</v>
      </c>
      <c r="H22" s="158">
        <v>5</v>
      </c>
      <c r="I22" s="158">
        <v>108.12</v>
      </c>
      <c r="J22" s="44">
        <f t="shared" si="5"/>
        <v>540.6</v>
      </c>
      <c r="K22" s="44">
        <f t="shared" si="2"/>
        <v>540.6</v>
      </c>
      <c r="L22" s="44"/>
      <c r="M22" s="44">
        <f t="shared" si="6"/>
        <v>2588095.9975999994</v>
      </c>
      <c r="N22" s="44"/>
      <c r="O22" s="36"/>
    </row>
    <row r="23" spans="1:16">
      <c r="A23" s="157">
        <v>20</v>
      </c>
      <c r="B23" s="29">
        <v>45708</v>
      </c>
      <c r="C23" s="143"/>
      <c r="D23" s="42"/>
      <c r="E23" s="289">
        <v>0</v>
      </c>
      <c r="F23" s="44">
        <v>0</v>
      </c>
      <c r="G23" s="44">
        <f t="shared" si="4"/>
        <v>0</v>
      </c>
      <c r="H23" s="158">
        <v>0</v>
      </c>
      <c r="I23" s="158">
        <v>0</v>
      </c>
      <c r="J23" s="44">
        <f t="shared" si="5"/>
        <v>0</v>
      </c>
      <c r="K23" s="44">
        <f t="shared" si="2"/>
        <v>0</v>
      </c>
      <c r="L23" s="44"/>
      <c r="M23" s="44">
        <f t="shared" si="6"/>
        <v>2588095.9975999994</v>
      </c>
      <c r="N23" s="44"/>
      <c r="O23" s="36"/>
    </row>
    <row r="24" spans="1:16">
      <c r="A24" s="157">
        <v>21</v>
      </c>
      <c r="B24" s="29">
        <v>45709</v>
      </c>
      <c r="C24" s="143"/>
      <c r="D24" s="42"/>
      <c r="E24" s="289">
        <v>0</v>
      </c>
      <c r="F24" s="44">
        <v>0</v>
      </c>
      <c r="G24" s="44">
        <f t="shared" si="4"/>
        <v>0</v>
      </c>
      <c r="H24" s="158">
        <v>0</v>
      </c>
      <c r="I24" s="158">
        <v>0</v>
      </c>
      <c r="J24" s="44">
        <f t="shared" si="5"/>
        <v>0</v>
      </c>
      <c r="K24" s="44">
        <f t="shared" si="2"/>
        <v>0</v>
      </c>
      <c r="L24" s="44"/>
      <c r="M24" s="44">
        <f t="shared" si="6"/>
        <v>2588095.9975999994</v>
      </c>
      <c r="N24" s="44"/>
      <c r="O24" s="36"/>
    </row>
    <row r="25" spans="1:16">
      <c r="A25" s="157">
        <v>22</v>
      </c>
      <c r="B25" s="29">
        <v>45710</v>
      </c>
      <c r="C25" s="143"/>
      <c r="D25" s="42"/>
      <c r="E25" s="289">
        <v>0</v>
      </c>
      <c r="F25" s="44">
        <v>0</v>
      </c>
      <c r="G25" s="44">
        <f t="shared" si="4"/>
        <v>0</v>
      </c>
      <c r="H25" s="158">
        <v>0</v>
      </c>
      <c r="I25" s="158">
        <v>0</v>
      </c>
      <c r="J25" s="44">
        <f t="shared" si="5"/>
        <v>0</v>
      </c>
      <c r="K25" s="44">
        <f t="shared" si="2"/>
        <v>0</v>
      </c>
      <c r="L25" s="44">
        <v>300000</v>
      </c>
      <c r="M25" s="44">
        <f t="shared" si="6"/>
        <v>2288095.9975999994</v>
      </c>
      <c r="N25" s="44"/>
      <c r="O25" s="36"/>
    </row>
    <row r="26" spans="1:16">
      <c r="A26" s="157">
        <v>23</v>
      </c>
      <c r="B26" s="29">
        <v>45711</v>
      </c>
      <c r="C26" s="143"/>
      <c r="D26" s="42"/>
      <c r="E26" s="289">
        <v>0</v>
      </c>
      <c r="F26" s="44">
        <v>0</v>
      </c>
      <c r="G26" s="44">
        <f t="shared" si="4"/>
        <v>0</v>
      </c>
      <c r="H26" s="158">
        <v>0</v>
      </c>
      <c r="I26" s="158">
        <v>0</v>
      </c>
      <c r="J26" s="44">
        <f t="shared" si="5"/>
        <v>0</v>
      </c>
      <c r="K26" s="44">
        <f t="shared" si="2"/>
        <v>0</v>
      </c>
      <c r="L26" s="44"/>
      <c r="M26" s="44">
        <f t="shared" si="6"/>
        <v>2288095.9975999994</v>
      </c>
      <c r="N26" s="44"/>
      <c r="O26" s="36"/>
    </row>
    <row r="27" spans="1:16">
      <c r="A27" s="157">
        <v>24</v>
      </c>
      <c r="B27" s="29">
        <v>45712</v>
      </c>
      <c r="C27" s="143"/>
      <c r="D27" s="42"/>
      <c r="E27" s="289">
        <v>0</v>
      </c>
      <c r="F27" s="44">
        <v>0</v>
      </c>
      <c r="G27" s="44">
        <f t="shared" si="4"/>
        <v>0</v>
      </c>
      <c r="H27" s="158">
        <v>0</v>
      </c>
      <c r="I27" s="158">
        <v>0</v>
      </c>
      <c r="J27" s="44">
        <f t="shared" si="5"/>
        <v>0</v>
      </c>
      <c r="K27" s="44">
        <f t="shared" si="2"/>
        <v>0</v>
      </c>
      <c r="L27" s="44"/>
      <c r="M27" s="44">
        <f t="shared" si="6"/>
        <v>2288095.9975999994</v>
      </c>
      <c r="N27" s="44"/>
      <c r="O27" s="36"/>
    </row>
    <row r="28" spans="1:16">
      <c r="A28" s="157">
        <v>25</v>
      </c>
      <c r="B28" s="29">
        <v>45713</v>
      </c>
      <c r="C28" s="143"/>
      <c r="D28" s="42"/>
      <c r="E28" s="289">
        <v>0</v>
      </c>
      <c r="F28" s="44">
        <v>0</v>
      </c>
      <c r="G28" s="44">
        <f t="shared" si="4"/>
        <v>0</v>
      </c>
      <c r="H28" s="158">
        <v>0</v>
      </c>
      <c r="I28" s="158">
        <v>0</v>
      </c>
      <c r="J28" s="44">
        <f t="shared" si="5"/>
        <v>0</v>
      </c>
      <c r="K28" s="44">
        <f t="shared" si="2"/>
        <v>0</v>
      </c>
      <c r="L28" s="44"/>
      <c r="M28" s="44">
        <f t="shared" si="6"/>
        <v>2288095.9975999994</v>
      </c>
      <c r="N28" s="44"/>
      <c r="O28" s="36"/>
    </row>
    <row r="29" spans="1:16">
      <c r="A29" s="157">
        <v>26</v>
      </c>
      <c r="B29" s="29">
        <v>45714</v>
      </c>
      <c r="C29" s="143"/>
      <c r="D29" s="42"/>
      <c r="E29" s="289">
        <v>0</v>
      </c>
      <c r="F29" s="44">
        <v>0</v>
      </c>
      <c r="G29" s="44">
        <f t="shared" si="4"/>
        <v>0</v>
      </c>
      <c r="H29" s="158">
        <v>0</v>
      </c>
      <c r="I29" s="158">
        <v>0</v>
      </c>
      <c r="J29" s="44">
        <f t="shared" si="5"/>
        <v>0</v>
      </c>
      <c r="K29" s="44">
        <f>G29+J29</f>
        <v>0</v>
      </c>
      <c r="L29" s="44"/>
      <c r="M29" s="44">
        <f>M28+K29-L29</f>
        <v>2288095.9975999994</v>
      </c>
      <c r="N29" s="44"/>
      <c r="O29" s="36"/>
    </row>
    <row r="30" spans="1:16">
      <c r="A30" s="157">
        <v>27</v>
      </c>
      <c r="B30" s="29">
        <v>45715</v>
      </c>
      <c r="C30" s="143"/>
      <c r="D30" s="42"/>
      <c r="E30" s="289">
        <v>0</v>
      </c>
      <c r="F30" s="44">
        <v>0</v>
      </c>
      <c r="G30" s="44">
        <f t="shared" si="4"/>
        <v>0</v>
      </c>
      <c r="H30" s="158">
        <v>0</v>
      </c>
      <c r="I30" s="158">
        <v>0</v>
      </c>
      <c r="J30" s="44">
        <f t="shared" si="5"/>
        <v>0</v>
      </c>
      <c r="K30" s="44">
        <f>G30+J30</f>
        <v>0</v>
      </c>
      <c r="L30" s="44"/>
      <c r="M30" s="44">
        <f t="shared" si="6"/>
        <v>2288095.9975999994</v>
      </c>
      <c r="N30" s="44"/>
      <c r="O30" s="36"/>
    </row>
    <row r="31" spans="1:16">
      <c r="A31" s="157">
        <v>28</v>
      </c>
      <c r="B31" s="29">
        <v>45716</v>
      </c>
      <c r="C31" s="143"/>
      <c r="D31" s="42"/>
      <c r="E31" s="289">
        <v>0</v>
      </c>
      <c r="F31" s="44">
        <v>0</v>
      </c>
      <c r="G31" s="44">
        <f t="shared" si="4"/>
        <v>0</v>
      </c>
      <c r="H31" s="158">
        <v>0</v>
      </c>
      <c r="I31" s="158">
        <v>0</v>
      </c>
      <c r="J31" s="44">
        <f t="shared" si="5"/>
        <v>0</v>
      </c>
      <c r="K31" s="44">
        <f>G31+J31</f>
        <v>0</v>
      </c>
      <c r="L31" s="44"/>
      <c r="M31" s="44">
        <f>M30+K31-L31</f>
        <v>2288095.9975999994</v>
      </c>
      <c r="N31" s="44"/>
      <c r="O31" s="36"/>
    </row>
    <row r="32" spans="1:16">
      <c r="A32" s="63"/>
      <c r="B32" s="63"/>
      <c r="C32" s="63"/>
      <c r="D32" s="63"/>
      <c r="E32" s="290">
        <f>SUM(E4:E31)</f>
        <v>22040.95</v>
      </c>
      <c r="F32" s="64"/>
      <c r="G32" s="64">
        <f>SUM(G4:G31)</f>
        <v>2122763.8945000004</v>
      </c>
      <c r="H32" s="64">
        <f>SUM(H4:H31)</f>
        <v>60</v>
      </c>
      <c r="I32" s="64"/>
      <c r="J32" s="64">
        <f>SUM(J4:J31)</f>
        <v>6487.2000000000007</v>
      </c>
      <c r="K32" s="64">
        <f>SUM(K4:K31)</f>
        <v>2129251.0945000006</v>
      </c>
      <c r="L32" s="64">
        <f>SUM(L4:L31)</f>
        <v>2300000</v>
      </c>
      <c r="M32" s="64"/>
      <c r="N32" s="64"/>
      <c r="O32" s="36"/>
    </row>
    <row r="33" spans="1:15">
      <c r="A33" s="246"/>
      <c r="B33" s="246"/>
      <c r="C33" s="246"/>
      <c r="D33" s="246"/>
      <c r="E33" s="291"/>
      <c r="F33" s="247"/>
      <c r="G33" s="247"/>
      <c r="H33" s="247"/>
      <c r="I33" s="247"/>
      <c r="J33" s="247"/>
      <c r="K33" s="247"/>
      <c r="L33" s="247"/>
      <c r="M33" s="247"/>
      <c r="N33" s="247"/>
      <c r="O33" s="36"/>
    </row>
    <row r="34" spans="1:15">
      <c r="A34" s="36"/>
      <c r="B34" s="36"/>
      <c r="C34" s="36"/>
      <c r="D34" s="36"/>
      <c r="E34" s="292"/>
      <c r="F34" s="36"/>
      <c r="G34" s="47"/>
      <c r="H34" s="36"/>
      <c r="I34" s="36"/>
      <c r="J34" s="36"/>
      <c r="K34" s="36"/>
      <c r="L34" s="36"/>
      <c r="M34" s="36"/>
      <c r="N34" s="36"/>
      <c r="O34" s="48"/>
    </row>
    <row r="35" spans="1:15">
      <c r="A35" s="36"/>
      <c r="B35" s="428"/>
      <c r="C35" s="428"/>
      <c r="D35" s="428"/>
      <c r="E35" s="428"/>
      <c r="F35" s="36"/>
      <c r="G35" s="36"/>
      <c r="H35" s="36"/>
      <c r="I35" s="428"/>
      <c r="J35" s="428"/>
      <c r="K35" s="428"/>
      <c r="L35" s="428"/>
      <c r="M35" s="428"/>
      <c r="N35" s="428"/>
      <c r="O35" s="48"/>
    </row>
    <row r="36" spans="1:15">
      <c r="A36" s="36"/>
      <c r="B36" s="36"/>
      <c r="C36" s="36"/>
      <c r="D36" s="36"/>
      <c r="E36" s="292"/>
      <c r="F36" s="36"/>
      <c r="G36" s="36"/>
      <c r="H36" s="36"/>
      <c r="I36" s="36"/>
      <c r="J36" s="36"/>
      <c r="K36" s="36"/>
      <c r="L36" s="36"/>
      <c r="M36" s="36"/>
      <c r="N36" s="36"/>
      <c r="O36" s="48"/>
    </row>
    <row r="39" spans="1:15">
      <c r="M39">
        <f>2225506.64-2221066.35</f>
        <v>4440.2900000000373</v>
      </c>
    </row>
    <row r="41" spans="1:15">
      <c r="J41">
        <v>4333.95</v>
      </c>
    </row>
    <row r="46" spans="1:15">
      <c r="N46" s="410">
        <f>2288098.88-2288027.62</f>
        <v>71.259999999776483</v>
      </c>
    </row>
  </sheetData>
  <mergeCells count="4">
    <mergeCell ref="B35:E35"/>
    <mergeCell ref="I35:N35"/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AF7B-DC01-4BAF-BE8E-0B06339E3045}">
  <dimension ref="A1:R32"/>
  <sheetViews>
    <sheetView workbookViewId="0">
      <pane ySplit="2" topLeftCell="A3" activePane="bottomLeft" state="frozen"/>
      <selection pane="bottomLeft" activeCell="K39" sqref="K39"/>
    </sheetView>
  </sheetViews>
  <sheetFormatPr defaultRowHeight="15"/>
  <cols>
    <col min="1" max="1" width="6.28515625" customWidth="1"/>
    <col min="2" max="2" width="10" bestFit="1" customWidth="1"/>
    <col min="3" max="3" width="7.140625" bestFit="1" customWidth="1"/>
    <col min="5" max="5" width="9.5703125" bestFit="1" customWidth="1"/>
    <col min="6" max="6" width="6.42578125" customWidth="1"/>
    <col min="7" max="7" width="12.5703125" bestFit="1" customWidth="1"/>
    <col min="9" max="9" width="9.7109375" customWidth="1"/>
    <col min="10" max="10" width="7.7109375" bestFit="1" customWidth="1"/>
    <col min="11" max="11" width="11.85546875" bestFit="1" customWidth="1"/>
    <col min="13" max="13" width="13.5703125" bestFit="1" customWidth="1"/>
    <col min="14" max="14" width="7.7109375" bestFit="1" customWidth="1"/>
  </cols>
  <sheetData>
    <row r="1" spans="1:14" ht="15.75">
      <c r="A1" s="429" t="s">
        <v>53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</row>
    <row r="2" spans="1:14" ht="27">
      <c r="A2" s="135" t="s">
        <v>1</v>
      </c>
      <c r="B2" s="142" t="s">
        <v>2</v>
      </c>
      <c r="C2" s="142" t="s">
        <v>3</v>
      </c>
      <c r="D2" s="142" t="s">
        <v>4</v>
      </c>
      <c r="E2" s="288" t="s">
        <v>5</v>
      </c>
      <c r="F2" s="142" t="s">
        <v>6</v>
      </c>
      <c r="G2" s="142" t="s">
        <v>7</v>
      </c>
      <c r="H2" s="142" t="s">
        <v>8</v>
      </c>
      <c r="I2" s="142" t="s">
        <v>6</v>
      </c>
      <c r="J2" s="142" t="s">
        <v>7</v>
      </c>
      <c r="K2" s="142" t="s">
        <v>9</v>
      </c>
      <c r="L2" s="142" t="s">
        <v>10</v>
      </c>
      <c r="M2" s="142" t="s">
        <v>11</v>
      </c>
      <c r="N2" s="142" t="s">
        <v>12</v>
      </c>
    </row>
    <row r="3" spans="1:14">
      <c r="A3" s="430" t="s">
        <v>13</v>
      </c>
      <c r="B3" s="430"/>
      <c r="C3" s="430"/>
      <c r="D3" s="430"/>
      <c r="E3" s="430"/>
      <c r="F3" s="430"/>
      <c r="G3" s="430"/>
      <c r="H3" s="430"/>
      <c r="I3" s="430"/>
      <c r="J3" s="430"/>
      <c r="K3" s="169">
        <v>0</v>
      </c>
      <c r="L3" s="169"/>
      <c r="M3" s="141">
        <f>+K3</f>
        <v>0</v>
      </c>
      <c r="N3" s="19"/>
    </row>
    <row r="4" spans="1:14">
      <c r="A4" s="19">
        <v>1</v>
      </c>
      <c r="B4" s="116">
        <v>45689</v>
      </c>
      <c r="C4" s="19"/>
      <c r="D4" s="19"/>
      <c r="E4" s="19"/>
      <c r="F4" s="19"/>
      <c r="G4" s="19">
        <f>E4*F4</f>
        <v>0</v>
      </c>
      <c r="H4" s="19"/>
      <c r="I4" s="19"/>
      <c r="J4" s="19">
        <f>H4*I4</f>
        <v>0</v>
      </c>
      <c r="K4" s="19">
        <f>G4+J4</f>
        <v>0</v>
      </c>
      <c r="L4" s="19"/>
      <c r="M4" s="174">
        <f>M3+K4-L4</f>
        <v>0</v>
      </c>
      <c r="N4" s="19"/>
    </row>
    <row r="5" spans="1:14">
      <c r="A5" s="19">
        <v>2</v>
      </c>
      <c r="B5" s="116">
        <v>45690</v>
      </c>
      <c r="C5" s="19"/>
      <c r="D5" s="19"/>
      <c r="E5" s="19"/>
      <c r="F5" s="19"/>
      <c r="G5" s="19">
        <f t="shared" ref="G5:G31" si="0">E5*F5</f>
        <v>0</v>
      </c>
      <c r="H5" s="19"/>
      <c r="I5" s="19"/>
      <c r="J5" s="19">
        <f t="shared" ref="J5:J31" si="1">H5*I5</f>
        <v>0</v>
      </c>
      <c r="K5" s="19">
        <f t="shared" ref="K5:K31" si="2">G5+J5</f>
        <v>0</v>
      </c>
      <c r="L5" s="19"/>
      <c r="M5" s="174">
        <f t="shared" ref="M5:M31" si="3">M4+K5-L5</f>
        <v>0</v>
      </c>
      <c r="N5" s="19"/>
    </row>
    <row r="6" spans="1:14">
      <c r="A6" s="19">
        <v>3</v>
      </c>
      <c r="B6" s="116">
        <v>45691</v>
      </c>
      <c r="C6" s="19"/>
      <c r="D6" s="19"/>
      <c r="E6" s="19"/>
      <c r="F6" s="19"/>
      <c r="G6" s="19">
        <f t="shared" si="0"/>
        <v>0</v>
      </c>
      <c r="H6" s="19"/>
      <c r="I6" s="19"/>
      <c r="J6" s="19">
        <f t="shared" si="1"/>
        <v>0</v>
      </c>
      <c r="K6" s="19">
        <f t="shared" si="2"/>
        <v>0</v>
      </c>
      <c r="L6" s="19"/>
      <c r="M6" s="174">
        <f t="shared" si="3"/>
        <v>0</v>
      </c>
      <c r="N6" s="19"/>
    </row>
    <row r="7" spans="1:14">
      <c r="A7" s="19">
        <v>4</v>
      </c>
      <c r="B7" s="29">
        <v>45692</v>
      </c>
      <c r="C7" s="19"/>
      <c r="D7" s="19"/>
      <c r="E7" s="19"/>
      <c r="F7" s="19"/>
      <c r="G7" s="19">
        <f t="shared" si="0"/>
        <v>0</v>
      </c>
      <c r="H7" s="19"/>
      <c r="I7" s="19"/>
      <c r="J7" s="19">
        <f t="shared" si="1"/>
        <v>0</v>
      </c>
      <c r="K7" s="19">
        <f t="shared" si="2"/>
        <v>0</v>
      </c>
      <c r="L7" s="19"/>
      <c r="M7" s="174">
        <f t="shared" si="3"/>
        <v>0</v>
      </c>
      <c r="N7" s="19"/>
    </row>
    <row r="8" spans="1:14">
      <c r="A8" s="19">
        <v>5</v>
      </c>
      <c r="B8" s="29">
        <v>45693</v>
      </c>
      <c r="C8" s="19"/>
      <c r="D8" s="19"/>
      <c r="E8" s="19"/>
      <c r="F8" s="19"/>
      <c r="G8" s="19">
        <f t="shared" si="0"/>
        <v>0</v>
      </c>
      <c r="H8" s="19"/>
      <c r="I8" s="19"/>
      <c r="J8" s="19">
        <f t="shared" si="1"/>
        <v>0</v>
      </c>
      <c r="K8" s="19">
        <f t="shared" si="2"/>
        <v>0</v>
      </c>
      <c r="L8" s="19"/>
      <c r="M8" s="174">
        <f t="shared" si="3"/>
        <v>0</v>
      </c>
      <c r="N8" s="19"/>
    </row>
    <row r="9" spans="1:14">
      <c r="A9" s="19">
        <v>6</v>
      </c>
      <c r="B9" s="29">
        <v>45694</v>
      </c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>
        <f t="shared" si="2"/>
        <v>0</v>
      </c>
      <c r="L9" s="19"/>
      <c r="M9" s="174">
        <f t="shared" si="3"/>
        <v>0</v>
      </c>
      <c r="N9" s="19"/>
    </row>
    <row r="10" spans="1:14">
      <c r="A10" s="19">
        <v>7</v>
      </c>
      <c r="B10" s="29">
        <v>45695</v>
      </c>
      <c r="C10" s="19"/>
      <c r="D10" s="19"/>
      <c r="E10" s="19"/>
      <c r="F10" s="19"/>
      <c r="G10" s="19">
        <f t="shared" si="0"/>
        <v>0</v>
      </c>
      <c r="H10" s="19"/>
      <c r="I10" s="19"/>
      <c r="J10" s="19">
        <f t="shared" si="1"/>
        <v>0</v>
      </c>
      <c r="K10" s="19">
        <f t="shared" si="2"/>
        <v>0</v>
      </c>
      <c r="L10" s="19"/>
      <c r="M10" s="174">
        <f t="shared" si="3"/>
        <v>0</v>
      </c>
      <c r="N10" s="19"/>
    </row>
    <row r="11" spans="1:14">
      <c r="A11" s="19">
        <v>8</v>
      </c>
      <c r="B11" s="29">
        <v>45696</v>
      </c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>
        <f t="shared" si="2"/>
        <v>0</v>
      </c>
      <c r="L11" s="19"/>
      <c r="M11" s="174">
        <f t="shared" si="3"/>
        <v>0</v>
      </c>
      <c r="N11" s="19"/>
    </row>
    <row r="12" spans="1:14">
      <c r="A12" s="19">
        <v>9</v>
      </c>
      <c r="B12" s="29">
        <v>45697</v>
      </c>
      <c r="C12" s="19"/>
      <c r="D12" s="19"/>
      <c r="E12" s="19"/>
      <c r="F12" s="19"/>
      <c r="G12" s="19">
        <f t="shared" si="0"/>
        <v>0</v>
      </c>
      <c r="H12" s="19"/>
      <c r="I12" s="19"/>
      <c r="J12" s="19">
        <f t="shared" si="1"/>
        <v>0</v>
      </c>
      <c r="K12" s="19">
        <f t="shared" si="2"/>
        <v>0</v>
      </c>
      <c r="L12" s="19"/>
      <c r="M12" s="174">
        <f t="shared" si="3"/>
        <v>0</v>
      </c>
      <c r="N12" s="19"/>
    </row>
    <row r="13" spans="1:14">
      <c r="A13" s="19">
        <v>10</v>
      </c>
      <c r="B13" s="29">
        <v>45698</v>
      </c>
      <c r="C13" s="19"/>
      <c r="D13" s="19"/>
      <c r="E13" s="19"/>
      <c r="F13" s="19"/>
      <c r="G13" s="19">
        <f t="shared" si="0"/>
        <v>0</v>
      </c>
      <c r="H13" s="19"/>
      <c r="I13" s="19"/>
      <c r="J13" s="19">
        <f t="shared" si="1"/>
        <v>0</v>
      </c>
      <c r="K13" s="19">
        <f t="shared" si="2"/>
        <v>0</v>
      </c>
      <c r="L13" s="19"/>
      <c r="M13" s="174">
        <f t="shared" si="3"/>
        <v>0</v>
      </c>
      <c r="N13" s="19"/>
    </row>
    <row r="14" spans="1:14">
      <c r="A14" s="19">
        <v>11</v>
      </c>
      <c r="B14" s="29">
        <v>45699</v>
      </c>
      <c r="C14" s="19"/>
      <c r="D14" s="19"/>
      <c r="E14" s="19"/>
      <c r="F14" s="19"/>
      <c r="G14" s="19">
        <f t="shared" si="0"/>
        <v>0</v>
      </c>
      <c r="H14" s="19"/>
      <c r="I14" s="19"/>
      <c r="J14" s="19">
        <f t="shared" si="1"/>
        <v>0</v>
      </c>
      <c r="K14" s="19">
        <f t="shared" si="2"/>
        <v>0</v>
      </c>
      <c r="L14" s="19"/>
      <c r="M14" s="174">
        <f t="shared" si="3"/>
        <v>0</v>
      </c>
      <c r="N14" s="19"/>
    </row>
    <row r="15" spans="1:14">
      <c r="A15" s="19">
        <v>12</v>
      </c>
      <c r="B15" s="29">
        <v>45700</v>
      </c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>
        <f t="shared" si="2"/>
        <v>0</v>
      </c>
      <c r="L15" s="19"/>
      <c r="M15" s="174">
        <f t="shared" si="3"/>
        <v>0</v>
      </c>
      <c r="N15" s="19"/>
    </row>
    <row r="16" spans="1:14">
      <c r="A16" s="19">
        <v>13</v>
      </c>
      <c r="B16" s="29">
        <v>45701</v>
      </c>
      <c r="C16" s="19"/>
      <c r="D16" s="19"/>
      <c r="E16" s="19"/>
      <c r="F16" s="19"/>
      <c r="G16" s="19">
        <f t="shared" si="0"/>
        <v>0</v>
      </c>
      <c r="H16" s="19"/>
      <c r="I16" s="19"/>
      <c r="J16" s="19">
        <f t="shared" si="1"/>
        <v>0</v>
      </c>
      <c r="K16" s="19">
        <f t="shared" si="2"/>
        <v>0</v>
      </c>
      <c r="L16" s="19"/>
      <c r="M16" s="174">
        <f t="shared" si="3"/>
        <v>0</v>
      </c>
      <c r="N16" s="19"/>
    </row>
    <row r="17" spans="1:18">
      <c r="A17" s="19">
        <v>14</v>
      </c>
      <c r="B17" s="29">
        <v>45702</v>
      </c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>
        <f t="shared" si="2"/>
        <v>0</v>
      </c>
      <c r="L17" s="19"/>
      <c r="M17" s="174">
        <f t="shared" si="3"/>
        <v>0</v>
      </c>
      <c r="N17" s="19"/>
    </row>
    <row r="18" spans="1:18">
      <c r="A18" s="19">
        <v>15</v>
      </c>
      <c r="B18" s="29">
        <v>45703</v>
      </c>
      <c r="C18" s="19"/>
      <c r="D18" s="19"/>
      <c r="E18" s="19"/>
      <c r="F18" s="19"/>
      <c r="G18" s="19">
        <f t="shared" si="0"/>
        <v>0</v>
      </c>
      <c r="H18" s="19"/>
      <c r="I18" s="19"/>
      <c r="J18" s="19">
        <f t="shared" si="1"/>
        <v>0</v>
      </c>
      <c r="K18" s="19">
        <f t="shared" si="2"/>
        <v>0</v>
      </c>
      <c r="L18" s="19"/>
      <c r="M18" s="174">
        <f t="shared" si="3"/>
        <v>0</v>
      </c>
      <c r="N18" s="19"/>
    </row>
    <row r="19" spans="1:18">
      <c r="A19" s="19">
        <v>16</v>
      </c>
      <c r="B19" s="29">
        <v>45704</v>
      </c>
      <c r="C19" s="19"/>
      <c r="D19" s="19"/>
      <c r="E19" s="19">
        <v>2500</v>
      </c>
      <c r="F19" s="19">
        <v>96.13</v>
      </c>
      <c r="G19" s="19">
        <f t="shared" si="0"/>
        <v>240325</v>
      </c>
      <c r="H19" s="19">
        <v>0</v>
      </c>
      <c r="I19" s="19">
        <v>0</v>
      </c>
      <c r="J19" s="19">
        <f t="shared" si="1"/>
        <v>0</v>
      </c>
      <c r="K19" s="19">
        <f t="shared" si="2"/>
        <v>240325</v>
      </c>
      <c r="L19" s="19"/>
      <c r="M19" s="174">
        <f t="shared" si="3"/>
        <v>240325</v>
      </c>
      <c r="N19" s="19"/>
    </row>
    <row r="20" spans="1:18">
      <c r="A20" s="19">
        <v>17</v>
      </c>
      <c r="B20" s="29">
        <v>45705</v>
      </c>
      <c r="C20" s="19"/>
      <c r="D20" s="19"/>
      <c r="E20" s="19">
        <v>3300</v>
      </c>
      <c r="F20" s="19">
        <v>96.13</v>
      </c>
      <c r="G20" s="19">
        <f t="shared" si="0"/>
        <v>317229</v>
      </c>
      <c r="H20" s="19"/>
      <c r="I20" s="19"/>
      <c r="J20" s="19">
        <f t="shared" si="1"/>
        <v>0</v>
      </c>
      <c r="K20" s="19">
        <f t="shared" si="2"/>
        <v>317229</v>
      </c>
      <c r="L20" s="19"/>
      <c r="M20" s="174">
        <f t="shared" si="3"/>
        <v>557554</v>
      </c>
      <c r="N20" s="19"/>
    </row>
    <row r="21" spans="1:18">
      <c r="A21" s="19">
        <v>18</v>
      </c>
      <c r="B21" s="29">
        <v>45706</v>
      </c>
      <c r="C21" s="19"/>
      <c r="D21" s="19"/>
      <c r="E21" s="19">
        <v>4000</v>
      </c>
      <c r="F21" s="19">
        <v>96.13</v>
      </c>
      <c r="G21" s="19">
        <f t="shared" si="0"/>
        <v>384520</v>
      </c>
      <c r="H21" s="19"/>
      <c r="I21" s="19"/>
      <c r="J21" s="19">
        <f t="shared" si="1"/>
        <v>0</v>
      </c>
      <c r="K21" s="19">
        <f t="shared" si="2"/>
        <v>384520</v>
      </c>
      <c r="L21" s="19"/>
      <c r="M21" s="174">
        <f t="shared" si="3"/>
        <v>942074</v>
      </c>
      <c r="N21" s="19"/>
    </row>
    <row r="22" spans="1:18">
      <c r="A22" s="19">
        <v>19</v>
      </c>
      <c r="B22" s="29">
        <v>45707</v>
      </c>
      <c r="C22" s="19"/>
      <c r="D22" s="19"/>
      <c r="E22" s="19">
        <v>2500</v>
      </c>
      <c r="F22" s="19">
        <v>96.13</v>
      </c>
      <c r="G22" s="19">
        <f t="shared" si="0"/>
        <v>240325</v>
      </c>
      <c r="H22" s="19"/>
      <c r="I22" s="19"/>
      <c r="J22" s="19">
        <f t="shared" si="1"/>
        <v>0</v>
      </c>
      <c r="K22" s="19">
        <f t="shared" si="2"/>
        <v>240325</v>
      </c>
      <c r="L22" s="19"/>
      <c r="M22" s="174">
        <f t="shared" si="3"/>
        <v>1182399</v>
      </c>
      <c r="N22" s="19"/>
    </row>
    <row r="23" spans="1:18">
      <c r="A23" s="19">
        <v>20</v>
      </c>
      <c r="B23" s="29">
        <v>45708</v>
      </c>
      <c r="C23" s="19"/>
      <c r="D23" s="19"/>
      <c r="E23" s="19">
        <v>2400</v>
      </c>
      <c r="F23" s="19">
        <v>96.13</v>
      </c>
      <c r="G23" s="19">
        <f t="shared" si="0"/>
        <v>230712</v>
      </c>
      <c r="H23" s="19"/>
      <c r="I23" s="19"/>
      <c r="J23" s="19">
        <f t="shared" si="1"/>
        <v>0</v>
      </c>
      <c r="K23" s="19">
        <f t="shared" si="2"/>
        <v>230712</v>
      </c>
      <c r="L23" s="19"/>
      <c r="M23" s="174">
        <f t="shared" si="3"/>
        <v>1413111</v>
      </c>
      <c r="N23" s="19"/>
    </row>
    <row r="24" spans="1:18">
      <c r="A24" s="19">
        <v>21</v>
      </c>
      <c r="B24" s="29">
        <v>45709</v>
      </c>
      <c r="C24" s="19"/>
      <c r="D24" s="19"/>
      <c r="E24" s="19">
        <v>2400</v>
      </c>
      <c r="F24" s="19">
        <v>96.13</v>
      </c>
      <c r="G24" s="19">
        <f t="shared" si="0"/>
        <v>230712</v>
      </c>
      <c r="H24" s="19"/>
      <c r="I24" s="19"/>
      <c r="J24" s="19">
        <f t="shared" si="1"/>
        <v>0</v>
      </c>
      <c r="K24" s="19">
        <f t="shared" si="2"/>
        <v>230712</v>
      </c>
      <c r="L24" s="19"/>
      <c r="M24" s="174">
        <f t="shared" si="3"/>
        <v>1643823</v>
      </c>
      <c r="N24" s="19"/>
    </row>
    <row r="25" spans="1:18">
      <c r="A25" s="19">
        <v>22</v>
      </c>
      <c r="B25" s="29">
        <v>45710</v>
      </c>
      <c r="C25" s="19"/>
      <c r="D25" s="19"/>
      <c r="E25" s="19">
        <v>1500</v>
      </c>
      <c r="F25" s="19">
        <v>96.13</v>
      </c>
      <c r="G25" s="19">
        <f t="shared" si="0"/>
        <v>144195</v>
      </c>
      <c r="H25" s="19"/>
      <c r="I25" s="19"/>
      <c r="J25" s="19">
        <f t="shared" si="1"/>
        <v>0</v>
      </c>
      <c r="K25" s="19">
        <f t="shared" si="2"/>
        <v>144195</v>
      </c>
      <c r="L25" s="19"/>
      <c r="M25" s="174">
        <f t="shared" si="3"/>
        <v>1788018</v>
      </c>
      <c r="N25" s="19"/>
    </row>
    <row r="26" spans="1:18">
      <c r="A26" s="19">
        <v>23</v>
      </c>
      <c r="B26" s="29">
        <v>45711</v>
      </c>
      <c r="C26" s="19"/>
      <c r="D26" s="19"/>
      <c r="E26" s="19">
        <v>1500</v>
      </c>
      <c r="F26" s="19">
        <v>96.13</v>
      </c>
      <c r="G26" s="19">
        <f t="shared" si="0"/>
        <v>144195</v>
      </c>
      <c r="H26" s="19"/>
      <c r="I26" s="19"/>
      <c r="J26" s="19">
        <f t="shared" si="1"/>
        <v>0</v>
      </c>
      <c r="K26" s="19">
        <f t="shared" si="2"/>
        <v>144195</v>
      </c>
      <c r="L26" s="19"/>
      <c r="M26" s="174">
        <f t="shared" si="3"/>
        <v>1932213</v>
      </c>
      <c r="N26" s="19"/>
    </row>
    <row r="27" spans="1:18">
      <c r="A27" s="19">
        <v>24</v>
      </c>
      <c r="B27" s="29">
        <v>45712</v>
      </c>
      <c r="C27" s="19"/>
      <c r="D27" s="19"/>
      <c r="E27" s="19">
        <v>2573.92</v>
      </c>
      <c r="F27" s="19">
        <v>96.13</v>
      </c>
      <c r="G27" s="19">
        <f t="shared" si="0"/>
        <v>247430.9296</v>
      </c>
      <c r="H27" s="411">
        <v>0</v>
      </c>
      <c r="I27" s="19">
        <v>108.23</v>
      </c>
      <c r="J27" s="19">
        <f t="shared" si="1"/>
        <v>0</v>
      </c>
      <c r="K27" s="53">
        <f>G27+J27</f>
        <v>247430.9296</v>
      </c>
      <c r="L27" s="19"/>
      <c r="M27" s="174">
        <f t="shared" si="3"/>
        <v>2179643.9295999999</v>
      </c>
      <c r="N27" s="19"/>
      <c r="P27">
        <v>5</v>
      </c>
      <c r="Q27" t="s">
        <v>54</v>
      </c>
      <c r="R27">
        <v>108.23</v>
      </c>
    </row>
    <row r="28" spans="1:18">
      <c r="A28" s="19">
        <v>25</v>
      </c>
      <c r="B28" s="29">
        <v>45713</v>
      </c>
      <c r="C28" s="19"/>
      <c r="D28" s="19"/>
      <c r="E28" s="19">
        <v>2000</v>
      </c>
      <c r="F28" s="19">
        <v>96.13</v>
      </c>
      <c r="G28" s="19">
        <f t="shared" si="0"/>
        <v>192260</v>
      </c>
      <c r="H28" s="19"/>
      <c r="I28" s="19"/>
      <c r="J28" s="19">
        <f t="shared" si="1"/>
        <v>0</v>
      </c>
      <c r="K28" s="19">
        <f t="shared" si="2"/>
        <v>192260</v>
      </c>
      <c r="L28" s="19"/>
      <c r="M28" s="174">
        <f t="shared" si="3"/>
        <v>2371903.9295999999</v>
      </c>
      <c r="N28" s="19"/>
    </row>
    <row r="29" spans="1:18">
      <c r="A29" s="19">
        <v>26</v>
      </c>
      <c r="B29" s="29">
        <v>45714</v>
      </c>
      <c r="C29" s="19"/>
      <c r="D29" s="19"/>
      <c r="E29" s="19">
        <v>1500</v>
      </c>
      <c r="F29" s="19">
        <v>96.13</v>
      </c>
      <c r="G29" s="19">
        <f t="shared" si="0"/>
        <v>144195</v>
      </c>
      <c r="H29" s="19"/>
      <c r="I29" s="19"/>
      <c r="J29" s="19">
        <f t="shared" si="1"/>
        <v>0</v>
      </c>
      <c r="K29" s="19">
        <f t="shared" si="2"/>
        <v>144195</v>
      </c>
      <c r="L29" s="19"/>
      <c r="M29" s="174">
        <f t="shared" si="3"/>
        <v>2516098.9295999999</v>
      </c>
      <c r="N29" s="19"/>
    </row>
    <row r="30" spans="1:18">
      <c r="A30" s="19">
        <v>27</v>
      </c>
      <c r="B30" s="29">
        <v>45715</v>
      </c>
      <c r="C30" s="19"/>
      <c r="D30" s="19"/>
      <c r="E30" s="19">
        <v>2000</v>
      </c>
      <c r="F30" s="19">
        <v>96.13</v>
      </c>
      <c r="G30" s="19">
        <f t="shared" si="0"/>
        <v>192260</v>
      </c>
      <c r="H30" s="19"/>
      <c r="I30" s="19"/>
      <c r="J30" s="19">
        <f t="shared" si="1"/>
        <v>0</v>
      </c>
      <c r="K30" s="19">
        <f t="shared" si="2"/>
        <v>192260</v>
      </c>
      <c r="L30" s="19"/>
      <c r="M30" s="174">
        <f t="shared" si="3"/>
        <v>2708358.9295999999</v>
      </c>
      <c r="N30" s="19"/>
    </row>
    <row r="31" spans="1:18">
      <c r="A31" s="126">
        <v>28</v>
      </c>
      <c r="B31" s="402">
        <v>45716</v>
      </c>
      <c r="C31" s="126"/>
      <c r="D31" s="126"/>
      <c r="E31" s="126"/>
      <c r="F31" s="126"/>
      <c r="G31" s="126">
        <f t="shared" si="0"/>
        <v>0</v>
      </c>
      <c r="H31" s="126"/>
      <c r="I31" s="126"/>
      <c r="J31" s="126">
        <f t="shared" si="1"/>
        <v>0</v>
      </c>
      <c r="K31" s="126">
        <f t="shared" si="2"/>
        <v>0</v>
      </c>
      <c r="L31" s="126"/>
      <c r="M31" s="361">
        <f t="shared" si="3"/>
        <v>2708358.9295999999</v>
      </c>
      <c r="N31" s="126"/>
    </row>
    <row r="32" spans="1:18">
      <c r="A32" s="63"/>
      <c r="B32" s="63"/>
      <c r="C32" s="63"/>
      <c r="D32" s="63"/>
      <c r="E32" s="290">
        <f>SUM(E4:E31)</f>
        <v>28173.919999999998</v>
      </c>
      <c r="F32" s="64"/>
      <c r="G32" s="64">
        <f>SUM(G4:G31)</f>
        <v>2708358.9295999999</v>
      </c>
      <c r="H32" s="64">
        <f>SUM(H4:H31)</f>
        <v>0</v>
      </c>
      <c r="I32" s="64"/>
      <c r="J32" s="64">
        <f>SUM(J4:J31)</f>
        <v>0</v>
      </c>
      <c r="K32" s="64"/>
      <c r="L32" s="64"/>
      <c r="M32" s="64"/>
      <c r="N32" s="64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6"/>
  <sheetViews>
    <sheetView workbookViewId="0">
      <pane ySplit="2" topLeftCell="A3" activePane="bottomLeft" state="frozen"/>
      <selection pane="bottomLeft" activeCell="Q40" sqref="Q40"/>
    </sheetView>
  </sheetViews>
  <sheetFormatPr defaultColWidth="12.28515625" defaultRowHeight="12.75"/>
  <cols>
    <col min="1" max="1" width="8.42578125" style="86" customWidth="1"/>
    <col min="2" max="3" width="12.28515625" style="86"/>
    <col min="4" max="4" width="13.5703125" style="86" customWidth="1"/>
    <col min="5" max="5" width="12.28515625" style="86"/>
    <col min="6" max="6" width="13.7109375" style="86" bestFit="1" customWidth="1"/>
    <col min="7" max="16384" width="12.28515625" style="86"/>
  </cols>
  <sheetData>
    <row r="1" spans="1:15" ht="15.75" customHeight="1">
      <c r="A1" s="420" t="s">
        <v>55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85"/>
    </row>
    <row r="2" spans="1:15" ht="15.75" customHeight="1">
      <c r="A2" s="118" t="s">
        <v>1</v>
      </c>
      <c r="B2" s="119" t="s">
        <v>2</v>
      </c>
      <c r="C2" s="119" t="s">
        <v>3</v>
      </c>
      <c r="D2" s="119" t="s">
        <v>4</v>
      </c>
      <c r="E2" s="119" t="s">
        <v>5</v>
      </c>
      <c r="F2" s="119" t="s">
        <v>6</v>
      </c>
      <c r="G2" s="119" t="s">
        <v>7</v>
      </c>
      <c r="H2" s="119" t="s">
        <v>8</v>
      </c>
      <c r="I2" s="119" t="s">
        <v>6</v>
      </c>
      <c r="J2" s="148" t="s">
        <v>7</v>
      </c>
      <c r="K2" s="150" t="s">
        <v>9</v>
      </c>
      <c r="L2" s="151" t="s">
        <v>10</v>
      </c>
      <c r="M2" s="152" t="s">
        <v>11</v>
      </c>
      <c r="N2" s="120" t="s">
        <v>12</v>
      </c>
      <c r="O2" s="36"/>
    </row>
    <row r="3" spans="1:15" ht="15.75" customHeight="1">
      <c r="A3" s="422" t="s">
        <v>13</v>
      </c>
      <c r="B3" s="423"/>
      <c r="C3" s="432"/>
      <c r="D3" s="432"/>
      <c r="E3" s="432"/>
      <c r="F3" s="432"/>
      <c r="G3" s="432"/>
      <c r="H3" s="432"/>
      <c r="I3" s="432"/>
      <c r="J3" s="433"/>
      <c r="K3" s="315">
        <v>580147.40999999992</v>
      </c>
      <c r="L3" s="316"/>
      <c r="M3" s="317">
        <f>+K3</f>
        <v>580147.40999999992</v>
      </c>
      <c r="N3" s="316"/>
      <c r="O3" s="36"/>
    </row>
    <row r="4" spans="1:15" ht="15">
      <c r="A4" s="67">
        <v>1</v>
      </c>
      <c r="B4" s="314">
        <v>45689</v>
      </c>
      <c r="C4" s="143"/>
      <c r="D4" s="143"/>
      <c r="E4" s="44"/>
      <c r="F4" s="44">
        <v>0</v>
      </c>
      <c r="G4" s="44">
        <f>E4*F4</f>
        <v>0</v>
      </c>
      <c r="H4" s="311"/>
      <c r="I4" s="311"/>
      <c r="J4" s="44">
        <f>H4*I4</f>
        <v>0</v>
      </c>
      <c r="K4" s="44">
        <f>G4+J4</f>
        <v>0</v>
      </c>
      <c r="L4" s="312"/>
      <c r="M4" s="312">
        <f>M3+K4-L4</f>
        <v>580147.40999999992</v>
      </c>
      <c r="N4" s="44"/>
      <c r="O4" s="30"/>
    </row>
    <row r="5" spans="1:15" ht="15">
      <c r="A5" s="67">
        <v>2</v>
      </c>
      <c r="B5" s="314">
        <v>45690</v>
      </c>
      <c r="C5" s="143"/>
      <c r="D5" s="143"/>
      <c r="E5" s="44"/>
      <c r="F5" s="44">
        <v>0</v>
      </c>
      <c r="G5" s="44">
        <f>E5*F5</f>
        <v>0</v>
      </c>
      <c r="H5" s="313"/>
      <c r="I5" s="311"/>
      <c r="J5" s="44">
        <f>H5*I5</f>
        <v>0</v>
      </c>
      <c r="K5" s="44">
        <f>G5+J5</f>
        <v>0</v>
      </c>
      <c r="L5" s="312"/>
      <c r="M5" s="312">
        <f>M4+K5-L5</f>
        <v>580147.40999999992</v>
      </c>
      <c r="N5" s="44"/>
      <c r="O5" s="30"/>
    </row>
    <row r="6" spans="1:15" ht="15">
      <c r="A6" s="67">
        <v>3</v>
      </c>
      <c r="B6" s="314">
        <v>45691</v>
      </c>
      <c r="C6" s="143"/>
      <c r="D6" s="42"/>
      <c r="E6" s="44"/>
      <c r="F6" s="44">
        <v>0</v>
      </c>
      <c r="G6" s="44">
        <f>E6*F6</f>
        <v>0</v>
      </c>
      <c r="H6" s="44"/>
      <c r="I6" s="311"/>
      <c r="J6" s="44">
        <f>H6*I6</f>
        <v>0</v>
      </c>
      <c r="K6" s="44">
        <f>G6+J6</f>
        <v>0</v>
      </c>
      <c r="L6" s="44"/>
      <c r="M6" s="312">
        <f>M5+K6-L6</f>
        <v>580147.40999999992</v>
      </c>
      <c r="N6" s="44"/>
      <c r="O6" s="30"/>
    </row>
    <row r="7" spans="1:15" ht="15">
      <c r="A7" s="67">
        <v>4</v>
      </c>
      <c r="B7" s="306">
        <v>45692</v>
      </c>
      <c r="C7" s="143">
        <v>744</v>
      </c>
      <c r="D7" s="42">
        <v>193358</v>
      </c>
      <c r="E7" s="44">
        <v>1000</v>
      </c>
      <c r="F7" s="44">
        <v>90.15</v>
      </c>
      <c r="G7" s="44">
        <f>E7*F7</f>
        <v>90150</v>
      </c>
      <c r="H7" s="44"/>
      <c r="I7" s="311"/>
      <c r="J7" s="44">
        <f>H7*I7</f>
        <v>0</v>
      </c>
      <c r="K7" s="44">
        <f>G7+J7</f>
        <v>90150</v>
      </c>
      <c r="L7" s="44"/>
      <c r="M7" s="312">
        <f>M6+K7-L7</f>
        <v>670297.40999999992</v>
      </c>
      <c r="N7" s="44"/>
      <c r="O7" s="30"/>
    </row>
    <row r="8" spans="1:15" ht="15">
      <c r="A8" s="67">
        <v>5</v>
      </c>
      <c r="B8" s="306">
        <v>45693</v>
      </c>
      <c r="C8" s="143"/>
      <c r="D8" s="42"/>
      <c r="E8" s="44"/>
      <c r="F8" s="44"/>
      <c r="G8" s="44">
        <f t="shared" ref="G8:G30" si="0">E8*F8</f>
        <v>0</v>
      </c>
      <c r="H8" s="44"/>
      <c r="I8" s="44"/>
      <c r="J8" s="44">
        <f t="shared" ref="J8:J30" si="1">H8*I8</f>
        <v>0</v>
      </c>
      <c r="K8" s="44">
        <f t="shared" ref="K8:K13" si="2">G8+J8</f>
        <v>0</v>
      </c>
      <c r="L8" s="44"/>
      <c r="M8" s="312">
        <f>M7+K8-L8</f>
        <v>670297.40999999992</v>
      </c>
      <c r="N8" s="44"/>
      <c r="O8" s="30"/>
    </row>
    <row r="9" spans="1:15" ht="15">
      <c r="A9" s="67">
        <v>6</v>
      </c>
      <c r="B9" s="306">
        <v>45694</v>
      </c>
      <c r="C9" s="143"/>
      <c r="D9" s="42"/>
      <c r="E9" s="44"/>
      <c r="F9" s="44"/>
      <c r="G9" s="44">
        <f t="shared" si="0"/>
        <v>0</v>
      </c>
      <c r="H9" s="44"/>
      <c r="I9" s="44"/>
      <c r="J9" s="44">
        <f t="shared" si="1"/>
        <v>0</v>
      </c>
      <c r="K9" s="44">
        <f t="shared" si="2"/>
        <v>0</v>
      </c>
      <c r="L9" s="44"/>
      <c r="M9" s="312">
        <f t="shared" ref="M9:M30" si="3">M8+K9-L9</f>
        <v>670297.40999999992</v>
      </c>
      <c r="N9" s="44"/>
      <c r="O9" s="30"/>
    </row>
    <row r="10" spans="1:15" ht="15">
      <c r="A10" s="67">
        <v>7</v>
      </c>
      <c r="B10" s="306">
        <v>45695</v>
      </c>
      <c r="C10" s="143"/>
      <c r="D10" s="42"/>
      <c r="E10" s="44"/>
      <c r="F10" s="44"/>
      <c r="G10" s="44">
        <f t="shared" si="0"/>
        <v>0</v>
      </c>
      <c r="H10" s="44"/>
      <c r="I10" s="44"/>
      <c r="J10" s="44">
        <f t="shared" si="1"/>
        <v>0</v>
      </c>
      <c r="K10" s="44">
        <f t="shared" si="2"/>
        <v>0</v>
      </c>
      <c r="L10" s="44"/>
      <c r="M10" s="312">
        <f t="shared" si="3"/>
        <v>670297.40999999992</v>
      </c>
      <c r="N10" s="44"/>
      <c r="O10" s="30"/>
    </row>
    <row r="11" spans="1:15" ht="15">
      <c r="A11" s="67">
        <v>8</v>
      </c>
      <c r="B11" s="306">
        <v>45696</v>
      </c>
      <c r="C11" s="143"/>
      <c r="D11" s="42"/>
      <c r="E11" s="44"/>
      <c r="F11" s="44"/>
      <c r="G11" s="44">
        <f t="shared" si="0"/>
        <v>0</v>
      </c>
      <c r="H11" s="44"/>
      <c r="I11" s="44"/>
      <c r="J11" s="44">
        <f t="shared" si="1"/>
        <v>0</v>
      </c>
      <c r="K11" s="44">
        <f t="shared" si="2"/>
        <v>0</v>
      </c>
      <c r="L11" s="44"/>
      <c r="M11" s="312">
        <f t="shared" si="3"/>
        <v>670297.40999999992</v>
      </c>
      <c r="N11" s="44"/>
      <c r="O11" s="30"/>
    </row>
    <row r="12" spans="1:15" ht="15">
      <c r="A12" s="67">
        <v>9</v>
      </c>
      <c r="B12" s="306">
        <v>45697</v>
      </c>
      <c r="C12" s="143"/>
      <c r="D12" s="42"/>
      <c r="E12" s="44"/>
      <c r="F12" s="44"/>
      <c r="G12" s="44">
        <f t="shared" si="0"/>
        <v>0</v>
      </c>
      <c r="H12" s="44"/>
      <c r="I12" s="44"/>
      <c r="J12" s="44">
        <f t="shared" si="1"/>
        <v>0</v>
      </c>
      <c r="K12" s="44">
        <f t="shared" si="2"/>
        <v>0</v>
      </c>
      <c r="L12" s="44"/>
      <c r="M12" s="312">
        <f t="shared" si="3"/>
        <v>670297.40999999992</v>
      </c>
      <c r="N12" s="44"/>
      <c r="O12" s="30"/>
    </row>
    <row r="13" spans="1:15" ht="15">
      <c r="A13" s="67">
        <v>10</v>
      </c>
      <c r="B13" s="306">
        <v>45698</v>
      </c>
      <c r="C13" s="143"/>
      <c r="D13" s="42"/>
      <c r="E13" s="44">
        <v>1000</v>
      </c>
      <c r="F13" s="44">
        <v>90.15</v>
      </c>
      <c r="G13" s="44">
        <f t="shared" si="0"/>
        <v>90150</v>
      </c>
      <c r="H13" s="44">
        <v>70</v>
      </c>
      <c r="I13" s="44">
        <v>104.27</v>
      </c>
      <c r="J13" s="44">
        <f t="shared" si="1"/>
        <v>7298.9</v>
      </c>
      <c r="K13" s="44">
        <f>G13+J13</f>
        <v>97448.9</v>
      </c>
      <c r="L13" s="44"/>
      <c r="M13" s="312">
        <f t="shared" si="3"/>
        <v>767746.30999999994</v>
      </c>
      <c r="N13" s="44"/>
      <c r="O13" s="30"/>
    </row>
    <row r="14" spans="1:15" ht="15">
      <c r="A14" s="67">
        <v>11</v>
      </c>
      <c r="B14" s="306">
        <v>45699</v>
      </c>
      <c r="C14" s="143"/>
      <c r="D14" s="42"/>
      <c r="E14" s="44"/>
      <c r="F14" s="44"/>
      <c r="G14" s="44">
        <f t="shared" si="0"/>
        <v>0</v>
      </c>
      <c r="H14" s="44"/>
      <c r="I14" s="44"/>
      <c r="J14" s="44">
        <f t="shared" si="1"/>
        <v>0</v>
      </c>
      <c r="K14" s="44">
        <f t="shared" ref="K14:K30" si="4">G14+J14</f>
        <v>0</v>
      </c>
      <c r="L14" s="44"/>
      <c r="M14" s="312">
        <f t="shared" si="3"/>
        <v>767746.30999999994</v>
      </c>
      <c r="N14" s="44"/>
      <c r="O14" s="30"/>
    </row>
    <row r="15" spans="1:15" ht="15">
      <c r="A15" s="67">
        <v>12</v>
      </c>
      <c r="B15" s="306">
        <v>45700</v>
      </c>
      <c r="C15" s="143"/>
      <c r="D15" s="42"/>
      <c r="E15" s="44"/>
      <c r="F15" s="44"/>
      <c r="G15" s="44">
        <f t="shared" si="0"/>
        <v>0</v>
      </c>
      <c r="H15" s="44"/>
      <c r="I15" s="44"/>
      <c r="J15" s="44">
        <f t="shared" si="1"/>
        <v>0</v>
      </c>
      <c r="K15" s="44">
        <f t="shared" si="4"/>
        <v>0</v>
      </c>
      <c r="L15" s="44"/>
      <c r="M15" s="312">
        <f t="shared" si="3"/>
        <v>767746.30999999994</v>
      </c>
      <c r="N15" s="44"/>
      <c r="O15" s="30"/>
    </row>
    <row r="16" spans="1:15" ht="15">
      <c r="A16" s="67">
        <v>13</v>
      </c>
      <c r="B16" s="306">
        <v>45701</v>
      </c>
      <c r="C16" s="143"/>
      <c r="D16" s="42"/>
      <c r="E16" s="44"/>
      <c r="F16" s="44"/>
      <c r="G16" s="44">
        <f t="shared" si="0"/>
        <v>0</v>
      </c>
      <c r="H16" s="44"/>
      <c r="I16" s="44"/>
      <c r="J16" s="44">
        <f t="shared" si="1"/>
        <v>0</v>
      </c>
      <c r="K16" s="44">
        <f t="shared" si="4"/>
        <v>0</v>
      </c>
      <c r="L16" s="44"/>
      <c r="M16" s="312">
        <f t="shared" si="3"/>
        <v>767746.30999999994</v>
      </c>
      <c r="N16" s="44"/>
      <c r="O16" s="30"/>
    </row>
    <row r="17" spans="1:15" ht="15">
      <c r="A17" s="67">
        <v>14</v>
      </c>
      <c r="B17" s="306">
        <v>45702</v>
      </c>
      <c r="C17" s="143"/>
      <c r="D17" s="42"/>
      <c r="E17" s="44"/>
      <c r="F17" s="44"/>
      <c r="G17" s="44">
        <f t="shared" si="0"/>
        <v>0</v>
      </c>
      <c r="H17" s="44"/>
      <c r="I17" s="44"/>
      <c r="J17" s="44">
        <f t="shared" si="1"/>
        <v>0</v>
      </c>
      <c r="K17" s="44">
        <f t="shared" si="4"/>
        <v>0</v>
      </c>
      <c r="L17" s="44"/>
      <c r="M17" s="312">
        <f t="shared" si="3"/>
        <v>767746.30999999994</v>
      </c>
      <c r="N17" s="44"/>
      <c r="O17" s="30"/>
    </row>
    <row r="18" spans="1:15" ht="15">
      <c r="A18" s="67">
        <v>15</v>
      </c>
      <c r="B18" s="306">
        <v>45703</v>
      </c>
      <c r="C18" s="143"/>
      <c r="D18" s="42"/>
      <c r="E18" s="44">
        <v>1000</v>
      </c>
      <c r="F18" s="44">
        <v>90.15</v>
      </c>
      <c r="G18" s="44">
        <f t="shared" si="0"/>
        <v>90150</v>
      </c>
      <c r="H18" s="44">
        <v>35</v>
      </c>
      <c r="I18" s="44">
        <v>104.27</v>
      </c>
      <c r="J18" s="44">
        <f t="shared" si="1"/>
        <v>3649.45</v>
      </c>
      <c r="K18" s="44">
        <f t="shared" si="4"/>
        <v>93799.45</v>
      </c>
      <c r="L18" s="44"/>
      <c r="M18" s="312">
        <f t="shared" si="3"/>
        <v>861545.75999999989</v>
      </c>
      <c r="N18" s="44"/>
      <c r="O18" s="30"/>
    </row>
    <row r="19" spans="1:15" ht="15">
      <c r="A19" s="67">
        <v>16</v>
      </c>
      <c r="B19" s="306">
        <v>45704</v>
      </c>
      <c r="C19" s="143"/>
      <c r="D19" s="42"/>
      <c r="E19" s="44"/>
      <c r="F19" s="44"/>
      <c r="G19" s="44">
        <f t="shared" si="0"/>
        <v>0</v>
      </c>
      <c r="H19" s="44"/>
      <c r="I19" s="44"/>
      <c r="J19" s="44">
        <f t="shared" si="1"/>
        <v>0</v>
      </c>
      <c r="K19" s="44">
        <f t="shared" si="4"/>
        <v>0</v>
      </c>
      <c r="L19" s="44"/>
      <c r="M19" s="312">
        <f t="shared" si="3"/>
        <v>861545.75999999989</v>
      </c>
      <c r="N19" s="44"/>
      <c r="O19" s="30"/>
    </row>
    <row r="20" spans="1:15" ht="15">
      <c r="A20" s="67">
        <v>17</v>
      </c>
      <c r="B20" s="306">
        <v>45705</v>
      </c>
      <c r="C20" s="143"/>
      <c r="D20" s="42"/>
      <c r="E20" s="44"/>
      <c r="F20" s="44"/>
      <c r="G20" s="44">
        <f t="shared" si="0"/>
        <v>0</v>
      </c>
      <c r="H20" s="44"/>
      <c r="I20" s="44"/>
      <c r="J20" s="44">
        <f t="shared" si="1"/>
        <v>0</v>
      </c>
      <c r="K20" s="44">
        <f t="shared" si="4"/>
        <v>0</v>
      </c>
      <c r="L20" s="44"/>
      <c r="M20" s="312">
        <f t="shared" si="3"/>
        <v>861545.75999999989</v>
      </c>
      <c r="N20" s="44"/>
      <c r="O20" s="30"/>
    </row>
    <row r="21" spans="1:15" ht="15">
      <c r="A21" s="67">
        <v>18</v>
      </c>
      <c r="B21" s="306">
        <v>45706</v>
      </c>
      <c r="C21" s="143"/>
      <c r="D21" s="42"/>
      <c r="E21" s="44"/>
      <c r="F21" s="44"/>
      <c r="G21" s="44">
        <f t="shared" si="0"/>
        <v>0</v>
      </c>
      <c r="H21" s="44"/>
      <c r="I21" s="44"/>
      <c r="J21" s="44">
        <f t="shared" si="1"/>
        <v>0</v>
      </c>
      <c r="K21" s="44">
        <f t="shared" si="4"/>
        <v>0</v>
      </c>
      <c r="L21" s="44"/>
      <c r="M21" s="312">
        <f t="shared" si="3"/>
        <v>861545.75999999989</v>
      </c>
      <c r="N21" s="44"/>
      <c r="O21" s="30"/>
    </row>
    <row r="22" spans="1:15" ht="15">
      <c r="A22" s="67">
        <v>19</v>
      </c>
      <c r="B22" s="306">
        <v>45707</v>
      </c>
      <c r="C22" s="143"/>
      <c r="D22" s="42"/>
      <c r="E22" s="44"/>
      <c r="F22" s="44"/>
      <c r="G22" s="44">
        <f t="shared" si="0"/>
        <v>0</v>
      </c>
      <c r="H22" s="44"/>
      <c r="I22" s="44"/>
      <c r="J22" s="44">
        <f t="shared" si="1"/>
        <v>0</v>
      </c>
      <c r="K22" s="44">
        <f t="shared" si="4"/>
        <v>0</v>
      </c>
      <c r="L22" s="44"/>
      <c r="M22" s="312">
        <f t="shared" si="3"/>
        <v>861545.75999999989</v>
      </c>
      <c r="N22" s="44"/>
      <c r="O22" s="30"/>
    </row>
    <row r="23" spans="1:15" ht="15">
      <c r="A23" s="67">
        <v>20</v>
      </c>
      <c r="B23" s="306">
        <v>45708</v>
      </c>
      <c r="C23" s="143"/>
      <c r="D23" s="42"/>
      <c r="E23" s="44"/>
      <c r="F23" s="44"/>
      <c r="G23" s="44">
        <f t="shared" si="0"/>
        <v>0</v>
      </c>
      <c r="H23" s="44"/>
      <c r="I23" s="44"/>
      <c r="J23" s="44">
        <f t="shared" si="1"/>
        <v>0</v>
      </c>
      <c r="K23" s="44">
        <f t="shared" si="4"/>
        <v>0</v>
      </c>
      <c r="L23" s="44"/>
      <c r="M23" s="312">
        <f t="shared" si="3"/>
        <v>861545.75999999989</v>
      </c>
      <c r="N23" s="44"/>
      <c r="O23" s="30"/>
    </row>
    <row r="24" spans="1:15" ht="15">
      <c r="A24" s="67">
        <v>21</v>
      </c>
      <c r="B24" s="306">
        <v>45709</v>
      </c>
      <c r="C24" s="143"/>
      <c r="D24" s="42"/>
      <c r="E24" s="44">
        <v>1500</v>
      </c>
      <c r="F24" s="44">
        <v>90.15</v>
      </c>
      <c r="G24" s="44">
        <f t="shared" si="0"/>
        <v>135225</v>
      </c>
      <c r="H24" s="44">
        <v>70</v>
      </c>
      <c r="I24" s="44">
        <v>104.27</v>
      </c>
      <c r="J24" s="44">
        <f t="shared" si="1"/>
        <v>7298.9</v>
      </c>
      <c r="K24" s="44">
        <f t="shared" si="4"/>
        <v>142523.9</v>
      </c>
      <c r="L24" s="44"/>
      <c r="M24" s="312">
        <f t="shared" si="3"/>
        <v>1004069.6599999999</v>
      </c>
      <c r="N24" s="44"/>
      <c r="O24" s="30"/>
    </row>
    <row r="25" spans="1:15" ht="15">
      <c r="A25" s="67">
        <v>22</v>
      </c>
      <c r="B25" s="306">
        <v>45710</v>
      </c>
      <c r="C25" s="143"/>
      <c r="D25" s="42"/>
      <c r="E25" s="44"/>
      <c r="F25" s="44"/>
      <c r="G25" s="44">
        <f t="shared" si="0"/>
        <v>0</v>
      </c>
      <c r="H25" s="44"/>
      <c r="I25" s="44"/>
      <c r="J25" s="44">
        <f t="shared" si="1"/>
        <v>0</v>
      </c>
      <c r="K25" s="44">
        <f t="shared" si="4"/>
        <v>0</v>
      </c>
      <c r="L25" s="44"/>
      <c r="M25" s="312">
        <f t="shared" si="3"/>
        <v>1004069.6599999999</v>
      </c>
      <c r="N25" s="44"/>
      <c r="O25" s="30"/>
    </row>
    <row r="26" spans="1:15" ht="15">
      <c r="A26" s="67">
        <v>23</v>
      </c>
      <c r="B26" s="306">
        <v>45711</v>
      </c>
      <c r="C26" s="143"/>
      <c r="D26" s="42"/>
      <c r="E26" s="44"/>
      <c r="F26" s="44"/>
      <c r="G26" s="44">
        <f t="shared" si="0"/>
        <v>0</v>
      </c>
      <c r="H26" s="44"/>
      <c r="I26" s="44"/>
      <c r="J26" s="44">
        <f t="shared" si="1"/>
        <v>0</v>
      </c>
      <c r="K26" s="44">
        <f t="shared" si="4"/>
        <v>0</v>
      </c>
      <c r="L26" s="44"/>
      <c r="M26" s="312">
        <f t="shared" si="3"/>
        <v>1004069.6599999999</v>
      </c>
      <c r="N26" s="44"/>
      <c r="O26" s="30"/>
    </row>
    <row r="27" spans="1:15" ht="15">
      <c r="A27" s="67">
        <v>24</v>
      </c>
      <c r="B27" s="306">
        <v>45712</v>
      </c>
      <c r="C27" s="143"/>
      <c r="D27" s="42"/>
      <c r="E27" s="44"/>
      <c r="F27" s="44"/>
      <c r="G27" s="44">
        <f t="shared" si="0"/>
        <v>0</v>
      </c>
      <c r="H27" s="44"/>
      <c r="I27" s="44"/>
      <c r="J27" s="44">
        <f t="shared" si="1"/>
        <v>0</v>
      </c>
      <c r="K27" s="44">
        <f t="shared" si="4"/>
        <v>0</v>
      </c>
      <c r="L27" s="44"/>
      <c r="M27" s="312">
        <f t="shared" si="3"/>
        <v>1004069.6599999999</v>
      </c>
      <c r="N27" s="44"/>
      <c r="O27" s="30"/>
    </row>
    <row r="28" spans="1:15" ht="15">
      <c r="A28" s="67">
        <v>25</v>
      </c>
      <c r="B28" s="306">
        <v>45713</v>
      </c>
      <c r="C28" s="143"/>
      <c r="D28" s="42"/>
      <c r="E28" s="44"/>
      <c r="F28" s="44"/>
      <c r="G28" s="44">
        <f t="shared" si="0"/>
        <v>0</v>
      </c>
      <c r="H28" s="44"/>
      <c r="I28" s="44"/>
      <c r="J28" s="44">
        <f t="shared" si="1"/>
        <v>0</v>
      </c>
      <c r="K28" s="44">
        <f t="shared" si="4"/>
        <v>0</v>
      </c>
      <c r="L28" s="44"/>
      <c r="M28" s="312">
        <f t="shared" si="3"/>
        <v>1004069.6599999999</v>
      </c>
      <c r="N28" s="44"/>
      <c r="O28" s="30"/>
    </row>
    <row r="29" spans="1:15" ht="15">
      <c r="A29" s="67">
        <v>26</v>
      </c>
      <c r="B29" s="306">
        <v>45714</v>
      </c>
      <c r="C29" s="143"/>
      <c r="D29" s="42"/>
      <c r="E29" s="44"/>
      <c r="F29" s="44"/>
      <c r="G29" s="44">
        <f t="shared" si="0"/>
        <v>0</v>
      </c>
      <c r="H29" s="44"/>
      <c r="I29" s="44"/>
      <c r="J29" s="44">
        <f t="shared" si="1"/>
        <v>0</v>
      </c>
      <c r="K29" s="44">
        <f t="shared" si="4"/>
        <v>0</v>
      </c>
      <c r="L29" s="44"/>
      <c r="M29" s="312">
        <f t="shared" si="3"/>
        <v>1004069.6599999999</v>
      </c>
      <c r="N29" s="44"/>
      <c r="O29" s="30"/>
    </row>
    <row r="30" spans="1:15" ht="15">
      <c r="A30" s="67">
        <v>27</v>
      </c>
      <c r="B30" s="306">
        <v>45715</v>
      </c>
      <c r="C30" s="143"/>
      <c r="D30" s="42"/>
      <c r="E30" s="44">
        <v>1500</v>
      </c>
      <c r="F30" s="44">
        <v>90.15</v>
      </c>
      <c r="G30" s="44">
        <f t="shared" si="0"/>
        <v>135225</v>
      </c>
      <c r="H30" s="44">
        <v>35</v>
      </c>
      <c r="I30" s="44">
        <v>104.27</v>
      </c>
      <c r="J30" s="44">
        <f t="shared" si="1"/>
        <v>3649.45</v>
      </c>
      <c r="K30" s="44">
        <f t="shared" si="4"/>
        <v>138874.45000000001</v>
      </c>
      <c r="L30" s="44"/>
      <c r="M30" s="312">
        <f t="shared" si="3"/>
        <v>1142944.1099999999</v>
      </c>
      <c r="N30" s="44"/>
      <c r="O30" s="30"/>
    </row>
    <row r="31" spans="1:15" ht="15">
      <c r="A31" s="67">
        <v>28</v>
      </c>
      <c r="B31" s="306">
        <v>45716</v>
      </c>
      <c r="C31" s="143"/>
      <c r="D31" s="42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0"/>
    </row>
    <row r="32" spans="1:15">
      <c r="A32" s="63"/>
      <c r="B32" s="63"/>
      <c r="C32" s="318"/>
      <c r="D32" s="318"/>
      <c r="E32" s="319">
        <f>SUM(E4:E31)</f>
        <v>6000</v>
      </c>
      <c r="F32" s="319"/>
      <c r="G32" s="319">
        <f>SUM(G4:G31)</f>
        <v>540900</v>
      </c>
      <c r="H32" s="319">
        <f>SUM(H4:H31)</f>
        <v>210</v>
      </c>
      <c r="I32" s="319"/>
      <c r="J32" s="319">
        <f>SUM(J4:J31)</f>
        <v>21896.7</v>
      </c>
      <c r="K32" s="319">
        <f>SUM(K4:K31)</f>
        <v>562796.69999999995</v>
      </c>
      <c r="L32" s="319">
        <f>SUM(L4:L31)</f>
        <v>0</v>
      </c>
      <c r="M32" s="319"/>
      <c r="N32" s="319"/>
      <c r="O32" s="36"/>
    </row>
    <row r="33" spans="1:15">
      <c r="A33" s="33"/>
      <c r="B33" s="33"/>
      <c r="C33" s="33"/>
      <c r="D33" s="33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0"/>
    </row>
    <row r="34" spans="1:15">
      <c r="A34" s="30"/>
      <c r="B34" s="30"/>
      <c r="C34" s="30"/>
      <c r="D34" s="30"/>
      <c r="E34" s="30"/>
      <c r="F34" s="30"/>
      <c r="G34" s="34"/>
      <c r="H34" s="30"/>
      <c r="I34" s="30"/>
      <c r="J34" s="30"/>
      <c r="K34" s="30"/>
      <c r="L34" s="30"/>
      <c r="M34" s="30"/>
      <c r="N34" s="30"/>
      <c r="O34" s="35"/>
    </row>
    <row r="35" spans="1:15">
      <c r="A35" s="30"/>
      <c r="B35" s="431"/>
      <c r="C35" s="431"/>
      <c r="D35" s="431"/>
      <c r="E35" s="431"/>
      <c r="F35" s="30"/>
      <c r="G35" s="30"/>
      <c r="H35" s="30"/>
      <c r="I35" s="431"/>
      <c r="J35" s="431"/>
      <c r="K35" s="431"/>
      <c r="L35" s="431"/>
      <c r="M35" s="431"/>
      <c r="N35" s="431"/>
      <c r="O35" s="35"/>
    </row>
    <row r="36" spans="1: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5"/>
    </row>
  </sheetData>
  <mergeCells count="4">
    <mergeCell ref="A1:N1"/>
    <mergeCell ref="B35:E35"/>
    <mergeCell ref="I35:N35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view="pageBreakPreview" zoomScale="60" zoomScaleNormal="90" workbookViewId="0">
      <pane ySplit="2" topLeftCell="A3" activePane="bottomLeft" state="frozen"/>
      <selection pane="bottomLeft" activeCell="N43" sqref="N43"/>
    </sheetView>
  </sheetViews>
  <sheetFormatPr defaultColWidth="9.140625" defaultRowHeight="12.75"/>
  <cols>
    <col min="1" max="1" width="5.28515625" style="36" bestFit="1" customWidth="1"/>
    <col min="2" max="2" width="11.85546875" style="36" bestFit="1" customWidth="1"/>
    <col min="3" max="3" width="10.7109375" style="36" bestFit="1" customWidth="1"/>
    <col min="4" max="4" width="21.5703125" style="36" customWidth="1"/>
    <col min="5" max="5" width="10.85546875" style="36" bestFit="1" customWidth="1"/>
    <col min="6" max="6" width="13.7109375" style="36" bestFit="1" customWidth="1"/>
    <col min="7" max="7" width="11.85546875" style="36" bestFit="1" customWidth="1"/>
    <col min="8" max="8" width="10.85546875" style="36" bestFit="1" customWidth="1"/>
    <col min="9" max="9" width="8.140625" style="36" bestFit="1" customWidth="1"/>
    <col min="10" max="10" width="10.85546875" style="36" bestFit="1" customWidth="1"/>
    <col min="11" max="11" width="13.85546875" style="36" bestFit="1" customWidth="1"/>
    <col min="12" max="12" width="12.7109375" style="36" bestFit="1" customWidth="1"/>
    <col min="13" max="13" width="12.7109375" style="36" customWidth="1"/>
    <col min="14" max="14" width="17.7109375" style="36" bestFit="1" customWidth="1"/>
    <col min="15" max="15" width="11.42578125" style="36" customWidth="1"/>
    <col min="16" max="16" width="13.7109375" style="36" customWidth="1"/>
    <col min="17" max="16384" width="9.140625" style="36"/>
  </cols>
  <sheetData>
    <row r="1" spans="1:14" ht="12.75" customHeight="1">
      <c r="A1" s="429" t="s">
        <v>56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</row>
    <row r="2" spans="1:14" ht="13.5">
      <c r="A2" s="135" t="s">
        <v>1</v>
      </c>
      <c r="B2" s="142" t="s">
        <v>2</v>
      </c>
      <c r="C2" s="142" t="s">
        <v>3</v>
      </c>
      <c r="D2" s="142" t="s">
        <v>4</v>
      </c>
      <c r="E2" s="142" t="s">
        <v>5</v>
      </c>
      <c r="F2" s="142" t="s">
        <v>6</v>
      </c>
      <c r="G2" s="142" t="s">
        <v>7</v>
      </c>
      <c r="H2" s="142" t="s">
        <v>8</v>
      </c>
      <c r="I2" s="142" t="s">
        <v>6</v>
      </c>
      <c r="J2" s="142" t="s">
        <v>7</v>
      </c>
      <c r="K2" s="142" t="s">
        <v>9</v>
      </c>
      <c r="L2" s="142" t="s">
        <v>10</v>
      </c>
      <c r="M2" s="142" t="s">
        <v>11</v>
      </c>
      <c r="N2" s="142" t="s">
        <v>12</v>
      </c>
    </row>
    <row r="3" spans="1:14" ht="15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34"/>
      <c r="K3" s="196">
        <v>99999.121800000023</v>
      </c>
      <c r="L3" s="195"/>
      <c r="M3" s="195">
        <f>+K3</f>
        <v>99999.121800000023</v>
      </c>
      <c r="N3" s="143"/>
    </row>
    <row r="4" spans="1:14" ht="15">
      <c r="A4" s="67">
        <v>1</v>
      </c>
      <c r="B4" s="116">
        <v>45689</v>
      </c>
      <c r="C4" s="143"/>
      <c r="D4" s="157"/>
      <c r="E4" s="43">
        <v>0</v>
      </c>
      <c r="F4" s="43">
        <v>0</v>
      </c>
      <c r="G4" s="43">
        <f>E4*F4</f>
        <v>0</v>
      </c>
      <c r="H4" s="158">
        <v>0</v>
      </c>
      <c r="I4" s="158">
        <v>0</v>
      </c>
      <c r="J4" s="43">
        <f>H4*I4</f>
        <v>0</v>
      </c>
      <c r="K4" s="44">
        <f>G4+J4</f>
        <v>0</v>
      </c>
      <c r="L4" s="44"/>
      <c r="M4" s="44">
        <f>M3+K4-L4</f>
        <v>99999.121800000023</v>
      </c>
      <c r="N4" s="65" t="s">
        <v>57</v>
      </c>
    </row>
    <row r="5" spans="1:14" ht="15">
      <c r="A5" s="67">
        <v>2</v>
      </c>
      <c r="B5" s="116">
        <v>45690</v>
      </c>
      <c r="C5" s="143"/>
      <c r="D5" s="157"/>
      <c r="E5" s="43">
        <v>0</v>
      </c>
      <c r="F5" s="43">
        <v>0</v>
      </c>
      <c r="G5" s="43">
        <f t="shared" ref="G5:G27" si="0">E5*F5</f>
        <v>0</v>
      </c>
      <c r="H5" s="158">
        <v>0</v>
      </c>
      <c r="I5" s="158">
        <v>0</v>
      </c>
      <c r="J5" s="43">
        <f t="shared" ref="J5:J27" si="1">H5*I5</f>
        <v>0</v>
      </c>
      <c r="K5" s="44">
        <f t="shared" ref="K5:M20" si="2">G5+J5</f>
        <v>0</v>
      </c>
      <c r="L5" s="44"/>
      <c r="M5" s="44">
        <f>M4+K5-L5</f>
        <v>99999.121800000023</v>
      </c>
      <c r="N5" s="65" t="s">
        <v>57</v>
      </c>
    </row>
    <row r="6" spans="1:14" ht="15">
      <c r="A6" s="67">
        <v>3</v>
      </c>
      <c r="B6" s="116">
        <v>45691</v>
      </c>
      <c r="C6" s="143"/>
      <c r="D6" s="157"/>
      <c r="E6" s="43">
        <v>0</v>
      </c>
      <c r="F6" s="43">
        <v>0</v>
      </c>
      <c r="G6" s="43">
        <f t="shared" si="0"/>
        <v>0</v>
      </c>
      <c r="H6" s="158">
        <v>0</v>
      </c>
      <c r="I6" s="158">
        <v>0</v>
      </c>
      <c r="J6" s="43">
        <f t="shared" si="1"/>
        <v>0</v>
      </c>
      <c r="K6" s="44">
        <f t="shared" si="2"/>
        <v>0</v>
      </c>
      <c r="L6" s="44"/>
      <c r="M6" s="44">
        <f>M5+K6-L6</f>
        <v>99999.121800000023</v>
      </c>
      <c r="N6" s="65" t="s">
        <v>57</v>
      </c>
    </row>
    <row r="7" spans="1:14" ht="15">
      <c r="A7" s="67">
        <v>4</v>
      </c>
      <c r="B7" s="29">
        <v>45692</v>
      </c>
      <c r="C7" s="143" t="s">
        <v>58</v>
      </c>
      <c r="D7" s="157" t="s">
        <v>59</v>
      </c>
      <c r="E7" s="43">
        <v>1073.29</v>
      </c>
      <c r="F7" s="43">
        <v>89.78</v>
      </c>
      <c r="G7" s="43">
        <f t="shared" si="0"/>
        <v>96359.976200000005</v>
      </c>
      <c r="H7" s="158">
        <v>35</v>
      </c>
      <c r="I7" s="158">
        <v>104</v>
      </c>
      <c r="J7" s="43">
        <f t="shared" si="1"/>
        <v>3640</v>
      </c>
      <c r="K7" s="44">
        <f t="shared" si="2"/>
        <v>99999.976200000005</v>
      </c>
      <c r="L7" s="44">
        <v>100000</v>
      </c>
      <c r="M7" s="44">
        <f>M6+K7-L7</f>
        <v>99999.098000000027</v>
      </c>
      <c r="N7" s="65" t="s">
        <v>57</v>
      </c>
    </row>
    <row r="8" spans="1:14" ht="15">
      <c r="A8" s="67">
        <v>5</v>
      </c>
      <c r="B8" s="29">
        <v>45693</v>
      </c>
      <c r="C8" s="143"/>
      <c r="D8" s="157"/>
      <c r="E8" s="43">
        <v>0</v>
      </c>
      <c r="F8" s="43">
        <v>89.78</v>
      </c>
      <c r="G8" s="43">
        <f t="shared" si="0"/>
        <v>0</v>
      </c>
      <c r="H8" s="158">
        <v>0</v>
      </c>
      <c r="I8" s="158">
        <v>104</v>
      </c>
      <c r="J8" s="43">
        <f t="shared" si="1"/>
        <v>0</v>
      </c>
      <c r="K8" s="44">
        <f t="shared" si="2"/>
        <v>0</v>
      </c>
      <c r="L8" s="44">
        <v>100000</v>
      </c>
      <c r="M8" s="44">
        <f>M7+K8-L8</f>
        <v>-0.90199999997275881</v>
      </c>
      <c r="N8" s="65" t="s">
        <v>57</v>
      </c>
    </row>
    <row r="9" spans="1:14" ht="15">
      <c r="A9" s="67">
        <v>6</v>
      </c>
      <c r="B9" s="29">
        <v>45694</v>
      </c>
      <c r="C9" s="143"/>
      <c r="D9" s="157"/>
      <c r="E9" s="43">
        <v>1670.75</v>
      </c>
      <c r="F9" s="43">
        <v>89.78</v>
      </c>
      <c r="G9" s="43">
        <f t="shared" si="0"/>
        <v>149999.935</v>
      </c>
      <c r="H9" s="158">
        <v>0</v>
      </c>
      <c r="I9" s="158">
        <v>104</v>
      </c>
      <c r="J9" s="43">
        <f t="shared" si="1"/>
        <v>0</v>
      </c>
      <c r="K9" s="44">
        <f t="shared" si="2"/>
        <v>149999.935</v>
      </c>
      <c r="L9" s="44"/>
      <c r="M9" s="44">
        <f t="shared" ref="M9:M27" si="3">M8+K9-L9</f>
        <v>149999.03300000002</v>
      </c>
      <c r="N9" s="65" t="s">
        <v>57</v>
      </c>
    </row>
    <row r="10" spans="1:14" ht="15">
      <c r="A10" s="67">
        <v>7</v>
      </c>
      <c r="B10" s="29">
        <v>45695</v>
      </c>
      <c r="C10" s="143"/>
      <c r="D10" s="157"/>
      <c r="E10" s="43">
        <v>0</v>
      </c>
      <c r="F10" s="43">
        <v>89.78</v>
      </c>
      <c r="G10" s="43">
        <f t="shared" si="0"/>
        <v>0</v>
      </c>
      <c r="H10" s="158">
        <v>0</v>
      </c>
      <c r="I10" s="158">
        <v>104</v>
      </c>
      <c r="J10" s="43">
        <f t="shared" si="1"/>
        <v>0</v>
      </c>
      <c r="K10" s="44">
        <f t="shared" si="2"/>
        <v>0</v>
      </c>
      <c r="L10" s="44"/>
      <c r="M10" s="44">
        <f t="shared" si="3"/>
        <v>149999.03300000002</v>
      </c>
      <c r="N10" s="65" t="s">
        <v>57</v>
      </c>
    </row>
    <row r="11" spans="1:14" ht="15">
      <c r="A11" s="67">
        <v>8</v>
      </c>
      <c r="B11" s="29">
        <v>45696</v>
      </c>
      <c r="C11" s="143"/>
      <c r="D11" s="157"/>
      <c r="E11" s="43">
        <v>0</v>
      </c>
      <c r="F11" s="43">
        <v>89.78</v>
      </c>
      <c r="G11" s="43">
        <f t="shared" si="0"/>
        <v>0</v>
      </c>
      <c r="H11" s="158">
        <v>0</v>
      </c>
      <c r="I11" s="158">
        <v>104</v>
      </c>
      <c r="J11" s="43">
        <f t="shared" si="1"/>
        <v>0</v>
      </c>
      <c r="K11" s="44">
        <f t="shared" si="2"/>
        <v>0</v>
      </c>
      <c r="L11" s="44"/>
      <c r="M11" s="44">
        <f t="shared" si="3"/>
        <v>149999.03300000002</v>
      </c>
      <c r="N11" s="65"/>
    </row>
    <row r="12" spans="1:14" ht="15">
      <c r="A12" s="67">
        <v>9</v>
      </c>
      <c r="B12" s="29">
        <v>45697</v>
      </c>
      <c r="C12" s="143"/>
      <c r="D12" s="157"/>
      <c r="E12" s="43">
        <v>0</v>
      </c>
      <c r="F12" s="43">
        <v>89.78</v>
      </c>
      <c r="G12" s="43">
        <f t="shared" si="0"/>
        <v>0</v>
      </c>
      <c r="H12" s="158">
        <v>0</v>
      </c>
      <c r="I12" s="158">
        <v>104</v>
      </c>
      <c r="J12" s="43">
        <f t="shared" si="1"/>
        <v>0</v>
      </c>
      <c r="K12" s="44">
        <f t="shared" si="2"/>
        <v>0</v>
      </c>
      <c r="L12" s="44"/>
      <c r="M12" s="44">
        <f t="shared" si="3"/>
        <v>149999.03300000002</v>
      </c>
      <c r="N12" s="65"/>
    </row>
    <row r="13" spans="1:14" ht="15">
      <c r="A13" s="67">
        <v>10</v>
      </c>
      <c r="B13" s="29">
        <v>45698</v>
      </c>
      <c r="C13" s="143"/>
      <c r="D13" s="157"/>
      <c r="E13" s="43">
        <v>0</v>
      </c>
      <c r="F13" s="43">
        <v>89.78</v>
      </c>
      <c r="G13" s="43">
        <f t="shared" si="0"/>
        <v>0</v>
      </c>
      <c r="H13" s="158">
        <v>0</v>
      </c>
      <c r="I13" s="158">
        <v>104</v>
      </c>
      <c r="J13" s="43">
        <f t="shared" si="1"/>
        <v>0</v>
      </c>
      <c r="K13" s="44">
        <f t="shared" si="2"/>
        <v>0</v>
      </c>
      <c r="L13" s="44"/>
      <c r="M13" s="44">
        <f t="shared" si="3"/>
        <v>149999.03300000002</v>
      </c>
      <c r="N13" s="65"/>
    </row>
    <row r="14" spans="1:14" ht="27">
      <c r="A14" s="67">
        <v>11</v>
      </c>
      <c r="B14" s="29">
        <v>45699</v>
      </c>
      <c r="C14" s="42" t="s">
        <v>60</v>
      </c>
      <c r="D14" s="157" t="s">
        <v>61</v>
      </c>
      <c r="E14" s="43">
        <v>1044.33</v>
      </c>
      <c r="F14" s="43">
        <v>89.78</v>
      </c>
      <c r="G14" s="43">
        <f t="shared" si="0"/>
        <v>93759.94739999999</v>
      </c>
      <c r="H14" s="158">
        <v>60</v>
      </c>
      <c r="I14" s="158">
        <v>104</v>
      </c>
      <c r="J14" s="43">
        <f t="shared" si="1"/>
        <v>6240</v>
      </c>
      <c r="K14" s="44">
        <f t="shared" si="2"/>
        <v>99999.94739999999</v>
      </c>
      <c r="L14" s="44"/>
      <c r="M14" s="44">
        <f t="shared" si="3"/>
        <v>249998.9804</v>
      </c>
      <c r="N14" s="65"/>
    </row>
    <row r="15" spans="1:14" ht="15">
      <c r="A15" s="67">
        <v>12</v>
      </c>
      <c r="B15" s="29">
        <v>45700</v>
      </c>
      <c r="C15" s="143"/>
      <c r="D15" s="157"/>
      <c r="E15" s="43">
        <v>0</v>
      </c>
      <c r="F15" s="43">
        <v>89.78</v>
      </c>
      <c r="G15" s="43">
        <f t="shared" si="0"/>
        <v>0</v>
      </c>
      <c r="H15" s="158">
        <v>0</v>
      </c>
      <c r="I15" s="158">
        <v>104</v>
      </c>
      <c r="J15" s="43">
        <f t="shared" si="1"/>
        <v>0</v>
      </c>
      <c r="K15" s="44">
        <f t="shared" si="2"/>
        <v>0</v>
      </c>
      <c r="L15" s="44"/>
      <c r="M15" s="44">
        <f t="shared" si="3"/>
        <v>249998.9804</v>
      </c>
      <c r="N15" s="65"/>
    </row>
    <row r="16" spans="1:14" ht="15">
      <c r="A16" s="67">
        <v>13</v>
      </c>
      <c r="B16" s="29">
        <v>45701</v>
      </c>
      <c r="C16" s="143"/>
      <c r="D16" s="42"/>
      <c r="E16" s="43"/>
      <c r="F16" s="43">
        <v>89.78</v>
      </c>
      <c r="G16" s="43">
        <f t="shared" si="0"/>
        <v>0</v>
      </c>
      <c r="H16" s="43"/>
      <c r="I16" s="158">
        <v>104</v>
      </c>
      <c r="J16" s="43">
        <f t="shared" si="1"/>
        <v>0</v>
      </c>
      <c r="K16" s="44">
        <f t="shared" si="2"/>
        <v>0</v>
      </c>
      <c r="L16" s="44"/>
      <c r="M16" s="44">
        <f t="shared" si="3"/>
        <v>249998.9804</v>
      </c>
      <c r="N16" s="65"/>
    </row>
    <row r="17" spans="1:14" ht="15">
      <c r="A17" s="67">
        <v>14</v>
      </c>
      <c r="B17" s="29">
        <v>45702</v>
      </c>
      <c r="C17" s="143" t="s">
        <v>62</v>
      </c>
      <c r="D17" s="42" t="s">
        <v>63</v>
      </c>
      <c r="E17" s="43">
        <v>1080</v>
      </c>
      <c r="F17" s="43">
        <v>89.78</v>
      </c>
      <c r="G17" s="43">
        <f t="shared" si="0"/>
        <v>96962.4</v>
      </c>
      <c r="H17" s="43">
        <v>29.21</v>
      </c>
      <c r="I17" s="158">
        <v>104</v>
      </c>
      <c r="J17" s="43">
        <f t="shared" si="1"/>
        <v>3037.84</v>
      </c>
      <c r="K17" s="44">
        <f t="shared" si="2"/>
        <v>100000.23999999999</v>
      </c>
      <c r="L17" s="44"/>
      <c r="M17" s="44">
        <f t="shared" si="3"/>
        <v>349999.22039999999</v>
      </c>
      <c r="N17" s="65"/>
    </row>
    <row r="18" spans="1:14" ht="15">
      <c r="A18" s="67">
        <v>15</v>
      </c>
      <c r="B18" s="29">
        <v>45703</v>
      </c>
      <c r="C18" s="143"/>
      <c r="D18" s="42"/>
      <c r="E18" s="43"/>
      <c r="F18" s="43"/>
      <c r="G18" s="43">
        <f t="shared" si="0"/>
        <v>0</v>
      </c>
      <c r="H18" s="43"/>
      <c r="I18" s="158"/>
      <c r="J18" s="43">
        <f t="shared" si="1"/>
        <v>0</v>
      </c>
      <c r="K18" s="44">
        <f t="shared" si="2"/>
        <v>0</v>
      </c>
      <c r="L18" s="44"/>
      <c r="M18" s="44">
        <f t="shared" si="3"/>
        <v>349999.22039999999</v>
      </c>
      <c r="N18" s="65"/>
    </row>
    <row r="19" spans="1:14" ht="15">
      <c r="A19" s="67">
        <v>16</v>
      </c>
      <c r="B19" s="29">
        <v>45704</v>
      </c>
      <c r="C19" s="143"/>
      <c r="D19" s="42"/>
      <c r="E19" s="43"/>
      <c r="F19" s="43"/>
      <c r="G19" s="43">
        <f t="shared" si="0"/>
        <v>0</v>
      </c>
      <c r="H19" s="43"/>
      <c r="I19" s="158"/>
      <c r="J19" s="43">
        <f t="shared" si="1"/>
        <v>0</v>
      </c>
      <c r="K19" s="44">
        <f t="shared" si="2"/>
        <v>0</v>
      </c>
      <c r="L19" s="44"/>
      <c r="M19" s="44">
        <f t="shared" si="3"/>
        <v>349999.22039999999</v>
      </c>
      <c r="N19" s="65"/>
    </row>
    <row r="20" spans="1:14" ht="15">
      <c r="A20" s="67">
        <v>17</v>
      </c>
      <c r="B20" s="29">
        <v>45705</v>
      </c>
      <c r="C20" s="143"/>
      <c r="D20" s="42"/>
      <c r="E20" s="43"/>
      <c r="F20" s="43"/>
      <c r="G20" s="43">
        <f t="shared" si="0"/>
        <v>0</v>
      </c>
      <c r="H20" s="43"/>
      <c r="I20" s="158"/>
      <c r="J20" s="43">
        <f t="shared" si="1"/>
        <v>0</v>
      </c>
      <c r="K20" s="44">
        <f t="shared" si="2"/>
        <v>0</v>
      </c>
      <c r="L20" s="44"/>
      <c r="M20" s="44">
        <f t="shared" si="3"/>
        <v>349999.22039999999</v>
      </c>
      <c r="N20" s="65"/>
    </row>
    <row r="21" spans="1:14" ht="15">
      <c r="A21" s="67">
        <v>18</v>
      </c>
      <c r="B21" s="29">
        <v>45706</v>
      </c>
      <c r="C21" s="143" t="s">
        <v>64</v>
      </c>
      <c r="D21" s="42" t="s">
        <v>65</v>
      </c>
      <c r="E21" s="43">
        <v>1600</v>
      </c>
      <c r="F21" s="43">
        <v>89.78</v>
      </c>
      <c r="G21" s="43">
        <f t="shared" si="0"/>
        <v>143648</v>
      </c>
      <c r="H21" s="43">
        <v>70</v>
      </c>
      <c r="I21" s="158">
        <v>104</v>
      </c>
      <c r="J21" s="43">
        <f t="shared" si="1"/>
        <v>7280</v>
      </c>
      <c r="K21" s="44">
        <f t="shared" ref="K21:K27" si="4">G21+J21</f>
        <v>150928</v>
      </c>
      <c r="L21" s="44">
        <v>250000</v>
      </c>
      <c r="M21" s="44">
        <f t="shared" si="3"/>
        <v>250927.22039999999</v>
      </c>
      <c r="N21" s="65"/>
    </row>
    <row r="22" spans="1:14" ht="15">
      <c r="A22" s="67">
        <v>19</v>
      </c>
      <c r="B22" s="29">
        <v>45707</v>
      </c>
      <c r="C22" s="143"/>
      <c r="D22" s="42"/>
      <c r="E22" s="43"/>
      <c r="F22" s="43"/>
      <c r="G22" s="43">
        <f t="shared" si="0"/>
        <v>0</v>
      </c>
      <c r="H22" s="43"/>
      <c r="I22" s="158"/>
      <c r="J22" s="43">
        <f t="shared" si="1"/>
        <v>0</v>
      </c>
      <c r="K22" s="44">
        <f t="shared" si="4"/>
        <v>0</v>
      </c>
      <c r="L22" s="44"/>
      <c r="M22" s="44">
        <f t="shared" si="3"/>
        <v>250927.22039999999</v>
      </c>
      <c r="N22" s="65"/>
    </row>
    <row r="23" spans="1:14" ht="15">
      <c r="A23" s="67">
        <v>20</v>
      </c>
      <c r="B23" s="29">
        <v>45708</v>
      </c>
      <c r="C23" s="143"/>
      <c r="D23" s="42"/>
      <c r="E23" s="43"/>
      <c r="F23" s="43"/>
      <c r="G23" s="43">
        <f t="shared" si="0"/>
        <v>0</v>
      </c>
      <c r="H23" s="43"/>
      <c r="I23" s="158"/>
      <c r="J23" s="43">
        <f t="shared" si="1"/>
        <v>0</v>
      </c>
      <c r="K23" s="44">
        <f t="shared" si="4"/>
        <v>0</v>
      </c>
      <c r="L23" s="44"/>
      <c r="M23" s="44">
        <f t="shared" si="3"/>
        <v>250927.22039999999</v>
      </c>
      <c r="N23" s="65"/>
    </row>
    <row r="24" spans="1:14" ht="15">
      <c r="A24" s="67">
        <v>21</v>
      </c>
      <c r="B24" s="29">
        <v>45709</v>
      </c>
      <c r="C24" s="143"/>
      <c r="D24" s="42"/>
      <c r="E24" s="43"/>
      <c r="F24" s="43"/>
      <c r="G24" s="43">
        <f t="shared" si="0"/>
        <v>0</v>
      </c>
      <c r="H24" s="43"/>
      <c r="I24" s="158"/>
      <c r="J24" s="43">
        <f t="shared" si="1"/>
        <v>0</v>
      </c>
      <c r="K24" s="44">
        <f t="shared" si="4"/>
        <v>0</v>
      </c>
      <c r="L24" s="44"/>
      <c r="M24" s="44">
        <f t="shared" si="3"/>
        <v>250927.22039999999</v>
      </c>
      <c r="N24" s="65"/>
    </row>
    <row r="25" spans="1:14" ht="15">
      <c r="A25" s="67">
        <v>22</v>
      </c>
      <c r="B25" s="29">
        <v>45710</v>
      </c>
      <c r="C25" s="143"/>
      <c r="D25" s="42"/>
      <c r="E25" s="43"/>
      <c r="F25" s="43"/>
      <c r="G25" s="43">
        <f t="shared" si="0"/>
        <v>0</v>
      </c>
      <c r="H25" s="43"/>
      <c r="I25" s="158"/>
      <c r="J25" s="43">
        <f t="shared" si="1"/>
        <v>0</v>
      </c>
      <c r="K25" s="44">
        <f t="shared" si="4"/>
        <v>0</v>
      </c>
      <c r="L25" s="44">
        <v>50000</v>
      </c>
      <c r="M25" s="44">
        <f t="shared" si="3"/>
        <v>200927.22039999999</v>
      </c>
      <c r="N25" s="65"/>
    </row>
    <row r="26" spans="1:14" ht="15">
      <c r="A26" s="67">
        <v>23</v>
      </c>
      <c r="B26" s="29">
        <v>45711</v>
      </c>
      <c r="C26" s="143"/>
      <c r="D26" s="42"/>
      <c r="E26" s="43"/>
      <c r="F26" s="43"/>
      <c r="G26" s="43">
        <f t="shared" si="0"/>
        <v>0</v>
      </c>
      <c r="H26" s="43"/>
      <c r="I26" s="158"/>
      <c r="J26" s="43">
        <f t="shared" si="1"/>
        <v>0</v>
      </c>
      <c r="K26" s="44">
        <f t="shared" si="4"/>
        <v>0</v>
      </c>
      <c r="L26" s="44"/>
      <c r="M26" s="44">
        <f t="shared" si="3"/>
        <v>200927.22039999999</v>
      </c>
      <c r="N26" s="65"/>
    </row>
    <row r="27" spans="1:14" ht="15">
      <c r="A27" s="67">
        <v>24</v>
      </c>
      <c r="B27" s="29">
        <v>45712</v>
      </c>
      <c r="C27" s="143" t="s">
        <v>66</v>
      </c>
      <c r="D27" s="42" t="s">
        <v>67</v>
      </c>
      <c r="E27" s="43">
        <v>1600</v>
      </c>
      <c r="F27" s="43">
        <v>89.78</v>
      </c>
      <c r="G27" s="43">
        <f t="shared" si="0"/>
        <v>143648</v>
      </c>
      <c r="H27" s="43">
        <v>70</v>
      </c>
      <c r="I27" s="158">
        <v>104</v>
      </c>
      <c r="J27" s="43">
        <f t="shared" si="1"/>
        <v>7280</v>
      </c>
      <c r="K27" s="44">
        <f t="shared" si="4"/>
        <v>150928</v>
      </c>
      <c r="L27" s="44"/>
      <c r="M27" s="44">
        <f>M26+K27-L27</f>
        <v>351855.22039999999</v>
      </c>
      <c r="N27" s="65"/>
    </row>
    <row r="28" spans="1:14" ht="15">
      <c r="A28" s="67">
        <v>25</v>
      </c>
      <c r="B28" s="29">
        <v>45713</v>
      </c>
      <c r="C28" s="143"/>
      <c r="D28" s="42"/>
      <c r="E28" s="43"/>
      <c r="F28" s="43"/>
      <c r="G28" s="43"/>
      <c r="H28" s="43"/>
      <c r="I28" s="158"/>
      <c r="J28" s="43"/>
      <c r="K28" s="44"/>
      <c r="L28" s="44"/>
      <c r="M28" s="44"/>
      <c r="N28" s="65"/>
    </row>
    <row r="29" spans="1:14" ht="15">
      <c r="A29" s="67">
        <v>26</v>
      </c>
      <c r="B29" s="29">
        <v>45714</v>
      </c>
      <c r="C29" s="143"/>
      <c r="D29" s="42"/>
      <c r="E29" s="43"/>
      <c r="F29" s="43"/>
      <c r="G29" s="43"/>
      <c r="H29" s="43"/>
      <c r="I29" s="158"/>
      <c r="J29" s="43"/>
      <c r="K29" s="44"/>
      <c r="L29" s="44"/>
      <c r="M29" s="44"/>
      <c r="N29" s="65"/>
    </row>
    <row r="30" spans="1:14" ht="15">
      <c r="A30" s="67">
        <v>27</v>
      </c>
      <c r="B30" s="29">
        <v>45715</v>
      </c>
      <c r="C30" s="143"/>
      <c r="D30" s="42"/>
      <c r="E30" s="43"/>
      <c r="F30" s="43"/>
      <c r="G30" s="43"/>
      <c r="H30" s="43"/>
      <c r="I30" s="158"/>
      <c r="J30" s="43"/>
      <c r="K30" s="44"/>
      <c r="L30" s="44"/>
      <c r="M30" s="44"/>
      <c r="N30" s="65"/>
    </row>
    <row r="31" spans="1:14" ht="15">
      <c r="A31" s="67">
        <v>28</v>
      </c>
      <c r="B31" s="29">
        <v>45716</v>
      </c>
      <c r="C31" s="143"/>
      <c r="D31" s="42"/>
      <c r="E31" s="43"/>
      <c r="F31" s="43"/>
      <c r="G31" s="43"/>
      <c r="H31" s="43"/>
      <c r="I31" s="158"/>
      <c r="J31" s="43"/>
      <c r="K31" s="44"/>
      <c r="L31" s="44"/>
      <c r="M31" s="44"/>
      <c r="N31" s="65"/>
    </row>
    <row r="32" spans="1:14">
      <c r="A32" s="63"/>
      <c r="B32" s="63"/>
      <c r="C32" s="63"/>
      <c r="D32" s="63"/>
      <c r="E32" s="64">
        <f>SUM(E4:E31)</f>
        <v>8068.37</v>
      </c>
      <c r="F32" s="64"/>
      <c r="G32" s="64">
        <f>SUM(G4:G31)</f>
        <v>724378.25859999994</v>
      </c>
      <c r="H32" s="64">
        <f>SUM(H4:H31)</f>
        <v>264.21000000000004</v>
      </c>
      <c r="I32" s="64"/>
      <c r="J32" s="64">
        <f>SUM(J4:J31)</f>
        <v>27477.84</v>
      </c>
      <c r="K32" s="64">
        <f>SUM(K4:K31)</f>
        <v>751856.09859999991</v>
      </c>
      <c r="L32" s="64">
        <f>SUM(L4:L31)</f>
        <v>500000</v>
      </c>
      <c r="M32" s="64"/>
      <c r="N32" s="64"/>
    </row>
    <row r="33" spans="1:1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5">
      <c r="G34" s="47"/>
      <c r="O34" s="48"/>
    </row>
    <row r="35" spans="1:15">
      <c r="B35" s="428"/>
      <c r="C35" s="428"/>
      <c r="D35" s="428"/>
      <c r="E35" s="428"/>
      <c r="I35" s="428"/>
      <c r="J35" s="428"/>
      <c r="K35" s="428"/>
      <c r="L35" s="428"/>
      <c r="M35" s="428"/>
      <c r="N35" s="428"/>
      <c r="O35" s="48"/>
    </row>
    <row r="36" spans="1:15">
      <c r="O36" s="48"/>
    </row>
  </sheetData>
  <mergeCells count="4">
    <mergeCell ref="A1:N1"/>
    <mergeCell ref="I35:N35"/>
    <mergeCell ref="B35:E35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2"/>
  <sheetViews>
    <sheetView workbookViewId="0">
      <selection activeCell="R28" sqref="R28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</cols>
  <sheetData>
    <row r="1" spans="1:14" ht="15.75">
      <c r="A1" s="429" t="s">
        <v>68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</row>
    <row r="2" spans="1:14">
      <c r="A2" s="135" t="s">
        <v>1</v>
      </c>
      <c r="B2" s="142" t="s">
        <v>2</v>
      </c>
      <c r="C2" s="142" t="s">
        <v>3</v>
      </c>
      <c r="D2" s="142" t="s">
        <v>4</v>
      </c>
      <c r="E2" s="142" t="s">
        <v>5</v>
      </c>
      <c r="F2" s="142" t="s">
        <v>6</v>
      </c>
      <c r="G2" s="142" t="s">
        <v>7</v>
      </c>
      <c r="H2" s="142" t="s">
        <v>8</v>
      </c>
      <c r="I2" s="142" t="s">
        <v>6</v>
      </c>
      <c r="J2" s="142" t="s">
        <v>7</v>
      </c>
      <c r="K2" s="142" t="s">
        <v>9</v>
      </c>
      <c r="L2" s="142" t="s">
        <v>10</v>
      </c>
      <c r="M2" s="142" t="s">
        <v>11</v>
      </c>
      <c r="N2" s="142" t="s">
        <v>12</v>
      </c>
    </row>
    <row r="3" spans="1:14">
      <c r="A3" s="435" t="s">
        <v>13</v>
      </c>
      <c r="B3" s="435"/>
      <c r="C3" s="435"/>
      <c r="D3" s="435"/>
      <c r="E3" s="435"/>
      <c r="F3" s="435"/>
      <c r="G3" s="435"/>
      <c r="H3" s="435"/>
      <c r="I3" s="435"/>
      <c r="J3" s="435"/>
      <c r="K3" s="127">
        <v>0</v>
      </c>
      <c r="L3" s="127">
        <v>0</v>
      </c>
      <c r="M3" s="127">
        <f>+K3</f>
        <v>0</v>
      </c>
      <c r="N3" s="19"/>
    </row>
    <row r="4" spans="1:14">
      <c r="A4" s="67">
        <v>1</v>
      </c>
      <c r="B4" s="314">
        <v>45689</v>
      </c>
      <c r="C4" s="19"/>
      <c r="D4" s="19"/>
      <c r="E4" s="117"/>
      <c r="F4" s="117"/>
      <c r="G4" s="19">
        <f>E4*F4</f>
        <v>0</v>
      </c>
      <c r="H4" s="117"/>
      <c r="I4" s="117"/>
      <c r="J4" s="19">
        <f>H4*I4</f>
        <v>0</v>
      </c>
      <c r="K4" s="19">
        <f>G4+J4</f>
        <v>0</v>
      </c>
      <c r="L4" s="19">
        <f>K4</f>
        <v>0</v>
      </c>
      <c r="M4" s="19">
        <f>M3+K4-L4</f>
        <v>0</v>
      </c>
      <c r="N4" s="65"/>
    </row>
    <row r="5" spans="1:14">
      <c r="A5" s="67">
        <v>2</v>
      </c>
      <c r="B5" s="314">
        <v>45690</v>
      </c>
      <c r="C5" s="19"/>
      <c r="D5" s="19"/>
      <c r="E5" s="117"/>
      <c r="F5" s="117"/>
      <c r="G5" s="19">
        <f t="shared" ref="G5:G30" si="0">E5*F5</f>
        <v>0</v>
      </c>
      <c r="H5" s="117"/>
      <c r="I5" s="117"/>
      <c r="J5" s="19">
        <f t="shared" ref="J5:J28" si="1">H5*I5</f>
        <v>0</v>
      </c>
      <c r="K5" s="19">
        <f t="shared" ref="K5:L29" si="2">G5+J5</f>
        <v>0</v>
      </c>
      <c r="L5" s="19">
        <f t="shared" ref="L5:L10" si="3">K5</f>
        <v>0</v>
      </c>
      <c r="M5" s="19">
        <f t="shared" ref="M5:M27" si="4">M4+K5-L5</f>
        <v>0</v>
      </c>
      <c r="N5" s="65"/>
    </row>
    <row r="6" spans="1:14">
      <c r="A6" s="67">
        <v>3</v>
      </c>
      <c r="B6" s="314">
        <v>45691</v>
      </c>
      <c r="C6" s="19"/>
      <c r="D6" s="19"/>
      <c r="E6" s="117"/>
      <c r="F6" s="117"/>
      <c r="G6" s="19">
        <f t="shared" si="0"/>
        <v>0</v>
      </c>
      <c r="H6" s="117"/>
      <c r="I6" s="117"/>
      <c r="J6" s="19">
        <f t="shared" si="1"/>
        <v>0</v>
      </c>
      <c r="K6" s="19">
        <f t="shared" si="2"/>
        <v>0</v>
      </c>
      <c r="L6" s="19">
        <f t="shared" si="3"/>
        <v>0</v>
      </c>
      <c r="M6" s="19">
        <f t="shared" si="4"/>
        <v>0</v>
      </c>
      <c r="N6" s="65"/>
    </row>
    <row r="7" spans="1:14">
      <c r="A7" s="67">
        <v>4</v>
      </c>
      <c r="B7" s="306">
        <v>45692</v>
      </c>
      <c r="C7" s="19"/>
      <c r="D7" s="19"/>
      <c r="E7" s="117">
        <v>400</v>
      </c>
      <c r="F7" s="117">
        <v>90.23</v>
      </c>
      <c r="G7" s="19">
        <f t="shared" si="0"/>
        <v>36092</v>
      </c>
      <c r="H7" s="117">
        <v>35</v>
      </c>
      <c r="I7" s="117">
        <v>104.13</v>
      </c>
      <c r="J7" s="19">
        <f t="shared" si="1"/>
        <v>3644.5499999999997</v>
      </c>
      <c r="K7" s="19">
        <f t="shared" si="2"/>
        <v>39736.550000000003</v>
      </c>
      <c r="L7" s="19">
        <f t="shared" si="3"/>
        <v>39736.550000000003</v>
      </c>
      <c r="M7" s="19">
        <f t="shared" si="4"/>
        <v>0</v>
      </c>
      <c r="N7" s="65" t="s">
        <v>57</v>
      </c>
    </row>
    <row r="8" spans="1:14">
      <c r="A8" s="67">
        <v>5</v>
      </c>
      <c r="B8" s="306">
        <v>45693</v>
      </c>
      <c r="C8" s="19"/>
      <c r="D8" s="19"/>
      <c r="E8" s="117"/>
      <c r="F8" s="117">
        <v>90.23</v>
      </c>
      <c r="G8" s="19">
        <f t="shared" si="0"/>
        <v>0</v>
      </c>
      <c r="H8" s="117"/>
      <c r="I8" s="117"/>
      <c r="J8" s="19">
        <f t="shared" si="1"/>
        <v>0</v>
      </c>
      <c r="K8" s="19">
        <f t="shared" si="2"/>
        <v>0</v>
      </c>
      <c r="L8" s="19">
        <f t="shared" si="3"/>
        <v>0</v>
      </c>
      <c r="M8" s="19">
        <f t="shared" si="4"/>
        <v>0</v>
      </c>
      <c r="N8" s="65"/>
    </row>
    <row r="9" spans="1:14">
      <c r="A9" s="67">
        <v>6</v>
      </c>
      <c r="B9" s="306">
        <v>45694</v>
      </c>
      <c r="C9" s="19"/>
      <c r="D9" s="19"/>
      <c r="E9" s="117"/>
      <c r="F9" s="117">
        <v>90.23</v>
      </c>
      <c r="G9" s="19">
        <f t="shared" si="0"/>
        <v>0</v>
      </c>
      <c r="H9" s="117"/>
      <c r="I9" s="117"/>
      <c r="J9" s="19">
        <f t="shared" si="1"/>
        <v>0</v>
      </c>
      <c r="K9" s="19">
        <f t="shared" si="2"/>
        <v>0</v>
      </c>
      <c r="L9" s="19">
        <f t="shared" si="3"/>
        <v>0</v>
      </c>
      <c r="M9" s="19">
        <f t="shared" si="4"/>
        <v>0</v>
      </c>
      <c r="N9" s="65"/>
    </row>
    <row r="10" spans="1:14">
      <c r="A10" s="67">
        <v>7</v>
      </c>
      <c r="B10" s="306">
        <v>45695</v>
      </c>
      <c r="C10" s="19"/>
      <c r="D10" s="19"/>
      <c r="E10" s="117"/>
      <c r="F10" s="117">
        <v>90.23</v>
      </c>
      <c r="G10" s="19">
        <f t="shared" si="0"/>
        <v>0</v>
      </c>
      <c r="H10" s="19"/>
      <c r="I10" s="117"/>
      <c r="J10" s="19">
        <f t="shared" si="1"/>
        <v>0</v>
      </c>
      <c r="K10" s="19">
        <f t="shared" si="2"/>
        <v>0</v>
      </c>
      <c r="L10" s="19">
        <f t="shared" si="3"/>
        <v>0</v>
      </c>
      <c r="M10" s="19">
        <f t="shared" si="4"/>
        <v>0</v>
      </c>
      <c r="N10" s="65"/>
    </row>
    <row r="11" spans="1:14">
      <c r="A11" s="67">
        <v>8</v>
      </c>
      <c r="B11" s="306">
        <v>45696</v>
      </c>
      <c r="C11" s="19"/>
      <c r="D11" s="19"/>
      <c r="E11" s="117">
        <v>330</v>
      </c>
      <c r="F11" s="117">
        <v>90.23</v>
      </c>
      <c r="G11" s="19">
        <f t="shared" si="0"/>
        <v>29775.9</v>
      </c>
      <c r="H11" s="19"/>
      <c r="I11" s="117"/>
      <c r="J11" s="19">
        <f t="shared" si="1"/>
        <v>0</v>
      </c>
      <c r="K11" s="19">
        <f t="shared" si="2"/>
        <v>29775.9</v>
      </c>
      <c r="L11" s="19">
        <v>29775.9</v>
      </c>
      <c r="M11" s="19">
        <f t="shared" si="4"/>
        <v>0</v>
      </c>
      <c r="N11" s="65" t="s">
        <v>57</v>
      </c>
    </row>
    <row r="12" spans="1:14">
      <c r="A12" s="67">
        <v>9</v>
      </c>
      <c r="B12" s="306">
        <v>45697</v>
      </c>
      <c r="C12" s="19"/>
      <c r="D12" s="19"/>
      <c r="E12" s="117">
        <v>0</v>
      </c>
      <c r="F12" s="117">
        <v>90.23</v>
      </c>
      <c r="G12" s="19">
        <f t="shared" si="0"/>
        <v>0</v>
      </c>
      <c r="H12" s="19"/>
      <c r="I12" s="117"/>
      <c r="J12" s="19">
        <f t="shared" si="1"/>
        <v>0</v>
      </c>
      <c r="K12" s="19">
        <f t="shared" si="2"/>
        <v>0</v>
      </c>
      <c r="L12" s="19">
        <v>0</v>
      </c>
      <c r="M12" s="19">
        <f t="shared" si="4"/>
        <v>0</v>
      </c>
      <c r="N12" s="65" t="s">
        <v>57</v>
      </c>
    </row>
    <row r="13" spans="1:14">
      <c r="A13" s="67">
        <v>10</v>
      </c>
      <c r="B13" s="306">
        <v>45698</v>
      </c>
      <c r="C13" s="19"/>
      <c r="D13" s="19"/>
      <c r="E13" s="117"/>
      <c r="F13" s="117">
        <v>90.23</v>
      </c>
      <c r="G13" s="19">
        <f t="shared" si="0"/>
        <v>0</v>
      </c>
      <c r="H13" s="19"/>
      <c r="I13" s="117"/>
      <c r="J13" s="19">
        <f t="shared" si="1"/>
        <v>0</v>
      </c>
      <c r="K13" s="19">
        <f t="shared" si="2"/>
        <v>0</v>
      </c>
      <c r="L13" s="19"/>
      <c r="M13" s="19">
        <f t="shared" si="4"/>
        <v>0</v>
      </c>
      <c r="N13" s="65"/>
    </row>
    <row r="14" spans="1:14">
      <c r="A14" s="67">
        <v>11</v>
      </c>
      <c r="B14" s="306">
        <v>45699</v>
      </c>
      <c r="C14" s="19"/>
      <c r="D14" s="19"/>
      <c r="E14" s="117"/>
      <c r="F14" s="117">
        <v>90.23</v>
      </c>
      <c r="G14" s="19">
        <f t="shared" si="0"/>
        <v>0</v>
      </c>
      <c r="H14" s="19"/>
      <c r="I14" s="117"/>
      <c r="J14" s="19">
        <f t="shared" si="1"/>
        <v>0</v>
      </c>
      <c r="K14" s="19">
        <f t="shared" si="2"/>
        <v>0</v>
      </c>
      <c r="L14" s="19"/>
      <c r="M14" s="19">
        <f t="shared" si="4"/>
        <v>0</v>
      </c>
      <c r="N14" s="65"/>
    </row>
    <row r="15" spans="1:14">
      <c r="A15" s="67">
        <v>12</v>
      </c>
      <c r="B15" s="306">
        <v>45700</v>
      </c>
      <c r="C15" s="19"/>
      <c r="D15" s="19"/>
      <c r="E15" s="117">
        <v>440</v>
      </c>
      <c r="F15" s="117">
        <v>90.23</v>
      </c>
      <c r="G15" s="19">
        <f t="shared" si="0"/>
        <v>39701.200000000004</v>
      </c>
      <c r="H15" s="19"/>
      <c r="I15" s="117"/>
      <c r="J15" s="19">
        <f t="shared" si="1"/>
        <v>0</v>
      </c>
      <c r="K15" s="19">
        <f t="shared" si="2"/>
        <v>39701.200000000004</v>
      </c>
      <c r="L15" s="19">
        <v>39701.199999999997</v>
      </c>
      <c r="M15" s="19">
        <f t="shared" si="4"/>
        <v>0</v>
      </c>
      <c r="N15" s="65" t="s">
        <v>57</v>
      </c>
    </row>
    <row r="16" spans="1:14">
      <c r="A16" s="67">
        <v>13</v>
      </c>
      <c r="B16" s="306">
        <v>45701</v>
      </c>
      <c r="C16" s="19"/>
      <c r="D16" s="19"/>
      <c r="E16" s="117"/>
      <c r="F16" s="117"/>
      <c r="G16" s="19">
        <f t="shared" si="0"/>
        <v>0</v>
      </c>
      <c r="H16" s="19"/>
      <c r="I16" s="117"/>
      <c r="J16" s="19">
        <f t="shared" si="1"/>
        <v>0</v>
      </c>
      <c r="K16" s="19">
        <f t="shared" si="2"/>
        <v>0</v>
      </c>
      <c r="L16" s="19"/>
      <c r="M16" s="19">
        <f t="shared" si="4"/>
        <v>0</v>
      </c>
      <c r="N16" s="65"/>
    </row>
    <row r="17" spans="1:14">
      <c r="A17" s="67">
        <v>14</v>
      </c>
      <c r="B17" s="306">
        <v>45702</v>
      </c>
      <c r="C17" s="19"/>
      <c r="D17" s="19"/>
      <c r="E17" s="117"/>
      <c r="F17" s="117"/>
      <c r="G17" s="19">
        <f t="shared" si="0"/>
        <v>0</v>
      </c>
      <c r="H17" s="19"/>
      <c r="I17" s="117"/>
      <c r="J17" s="19">
        <f t="shared" si="1"/>
        <v>0</v>
      </c>
      <c r="K17" s="19">
        <f t="shared" si="2"/>
        <v>0</v>
      </c>
      <c r="L17" s="19"/>
      <c r="M17" s="19">
        <f t="shared" si="4"/>
        <v>0</v>
      </c>
      <c r="N17" s="65"/>
    </row>
    <row r="18" spans="1:14">
      <c r="A18" s="67">
        <v>15</v>
      </c>
      <c r="B18" s="306">
        <v>45703</v>
      </c>
      <c r="C18" s="19"/>
      <c r="D18" s="19"/>
      <c r="E18" s="117"/>
      <c r="F18" s="117"/>
      <c r="G18" s="19">
        <f t="shared" si="0"/>
        <v>0</v>
      </c>
      <c r="H18" s="19"/>
      <c r="I18" s="117"/>
      <c r="J18" s="19">
        <f t="shared" si="1"/>
        <v>0</v>
      </c>
      <c r="K18" s="19">
        <f t="shared" si="2"/>
        <v>0</v>
      </c>
      <c r="L18" s="19"/>
      <c r="M18" s="19">
        <f t="shared" si="4"/>
        <v>0</v>
      </c>
      <c r="N18" s="65"/>
    </row>
    <row r="19" spans="1:14">
      <c r="A19" s="67">
        <v>16</v>
      </c>
      <c r="B19" s="306">
        <v>45704</v>
      </c>
      <c r="C19" s="19"/>
      <c r="D19" s="19"/>
      <c r="E19" s="117"/>
      <c r="F19" s="117"/>
      <c r="G19" s="19">
        <f t="shared" si="0"/>
        <v>0</v>
      </c>
      <c r="H19" s="19"/>
      <c r="I19" s="117"/>
      <c r="J19" s="19">
        <f t="shared" si="1"/>
        <v>0</v>
      </c>
      <c r="K19" s="19">
        <f t="shared" si="2"/>
        <v>0</v>
      </c>
      <c r="L19" s="19"/>
      <c r="M19" s="19">
        <f t="shared" si="4"/>
        <v>0</v>
      </c>
      <c r="N19" s="65"/>
    </row>
    <row r="20" spans="1:14">
      <c r="A20" s="67">
        <v>17</v>
      </c>
      <c r="B20" s="306">
        <v>45705</v>
      </c>
      <c r="C20" s="19"/>
      <c r="D20" s="19"/>
      <c r="E20" s="117">
        <v>290</v>
      </c>
      <c r="F20" s="117">
        <v>90.23</v>
      </c>
      <c r="G20" s="19">
        <f t="shared" si="0"/>
        <v>26166.7</v>
      </c>
      <c r="H20" s="19"/>
      <c r="I20" s="117"/>
      <c r="J20" s="19">
        <f t="shared" si="1"/>
        <v>0</v>
      </c>
      <c r="K20" s="19">
        <f t="shared" si="2"/>
        <v>26166.7</v>
      </c>
      <c r="L20" s="19">
        <v>26166.7</v>
      </c>
      <c r="M20" s="19">
        <f t="shared" si="4"/>
        <v>0</v>
      </c>
      <c r="N20" s="65" t="s">
        <v>57</v>
      </c>
    </row>
    <row r="21" spans="1:14">
      <c r="A21" s="67">
        <v>18</v>
      </c>
      <c r="B21" s="306">
        <v>45706</v>
      </c>
      <c r="C21" s="19"/>
      <c r="D21" s="19"/>
      <c r="E21" s="117">
        <v>330</v>
      </c>
      <c r="F21" s="117">
        <v>90.23</v>
      </c>
      <c r="G21" s="19">
        <f t="shared" si="0"/>
        <v>29775.9</v>
      </c>
      <c r="H21" s="19">
        <v>35</v>
      </c>
      <c r="I21" s="117">
        <v>104.13</v>
      </c>
      <c r="J21" s="19">
        <f t="shared" si="1"/>
        <v>3644.5499999999997</v>
      </c>
      <c r="K21" s="19">
        <f t="shared" si="2"/>
        <v>33420.450000000004</v>
      </c>
      <c r="L21" s="19">
        <v>33420.449999999997</v>
      </c>
      <c r="M21" s="19">
        <f t="shared" si="4"/>
        <v>0</v>
      </c>
      <c r="N21" s="65" t="s">
        <v>57</v>
      </c>
    </row>
    <row r="22" spans="1:14">
      <c r="A22" s="67">
        <v>19</v>
      </c>
      <c r="B22" s="306">
        <v>45707</v>
      </c>
      <c r="C22" s="19"/>
      <c r="D22" s="19"/>
      <c r="E22" s="117"/>
      <c r="F22" s="117"/>
      <c r="G22" s="19">
        <f t="shared" si="0"/>
        <v>0</v>
      </c>
      <c r="H22" s="19"/>
      <c r="I22" s="117"/>
      <c r="J22" s="19">
        <f t="shared" si="1"/>
        <v>0</v>
      </c>
      <c r="K22" s="19">
        <f t="shared" si="2"/>
        <v>0</v>
      </c>
      <c r="L22" s="19"/>
      <c r="M22" s="19">
        <f t="shared" si="4"/>
        <v>0</v>
      </c>
      <c r="N22" s="65"/>
    </row>
    <row r="23" spans="1:14">
      <c r="A23" s="67">
        <v>20</v>
      </c>
      <c r="B23" s="306">
        <v>45708</v>
      </c>
      <c r="C23" s="19"/>
      <c r="D23" s="19"/>
      <c r="E23" s="117">
        <v>305</v>
      </c>
      <c r="F23" s="117">
        <v>90.23</v>
      </c>
      <c r="G23" s="19">
        <f t="shared" si="0"/>
        <v>27520.15</v>
      </c>
      <c r="H23" s="19">
        <v>20</v>
      </c>
      <c r="I23" s="117">
        <v>104.13</v>
      </c>
      <c r="J23" s="19">
        <f t="shared" si="1"/>
        <v>2082.6</v>
      </c>
      <c r="K23" s="19">
        <f t="shared" si="2"/>
        <v>29602.75</v>
      </c>
      <c r="L23" s="19">
        <v>29602.75</v>
      </c>
      <c r="M23" s="19">
        <f t="shared" si="4"/>
        <v>0</v>
      </c>
      <c r="N23" s="65" t="s">
        <v>57</v>
      </c>
    </row>
    <row r="24" spans="1:14">
      <c r="A24" s="67">
        <v>21</v>
      </c>
      <c r="B24" s="306">
        <v>45709</v>
      </c>
      <c r="C24" s="19"/>
      <c r="D24" s="19"/>
      <c r="E24" s="117"/>
      <c r="F24" s="117"/>
      <c r="G24" s="19">
        <f t="shared" si="0"/>
        <v>0</v>
      </c>
      <c r="H24" s="19"/>
      <c r="I24" s="117"/>
      <c r="J24" s="19">
        <f t="shared" si="1"/>
        <v>0</v>
      </c>
      <c r="K24" s="19">
        <f t="shared" si="2"/>
        <v>0</v>
      </c>
      <c r="L24" s="19"/>
      <c r="M24" s="19">
        <f t="shared" si="4"/>
        <v>0</v>
      </c>
      <c r="N24" s="65"/>
    </row>
    <row r="25" spans="1:14">
      <c r="A25" s="67">
        <v>22</v>
      </c>
      <c r="B25" s="306">
        <v>45710</v>
      </c>
      <c r="C25" s="19"/>
      <c r="D25" s="19"/>
      <c r="E25" s="117">
        <v>330</v>
      </c>
      <c r="F25" s="117">
        <v>90.23</v>
      </c>
      <c r="G25" s="19">
        <f t="shared" si="0"/>
        <v>29775.9</v>
      </c>
      <c r="H25" s="19"/>
      <c r="I25" s="117"/>
      <c r="J25" s="19">
        <f t="shared" si="1"/>
        <v>0</v>
      </c>
      <c r="K25" s="19">
        <f t="shared" si="2"/>
        <v>29775.9</v>
      </c>
      <c r="L25" s="19">
        <v>29775.9</v>
      </c>
      <c r="M25" s="19">
        <f t="shared" si="4"/>
        <v>0</v>
      </c>
      <c r="N25" s="65" t="s">
        <v>57</v>
      </c>
    </row>
    <row r="26" spans="1:14">
      <c r="A26" s="67">
        <v>23</v>
      </c>
      <c r="B26" s="306">
        <v>45711</v>
      </c>
      <c r="C26" s="19"/>
      <c r="D26" s="19"/>
      <c r="E26" s="117"/>
      <c r="F26" s="117"/>
      <c r="G26" s="19">
        <f t="shared" si="0"/>
        <v>0</v>
      </c>
      <c r="H26" s="19"/>
      <c r="I26" s="117"/>
      <c r="J26" s="19">
        <f t="shared" si="1"/>
        <v>0</v>
      </c>
      <c r="K26" s="19">
        <f t="shared" si="2"/>
        <v>0</v>
      </c>
      <c r="L26" s="19"/>
      <c r="M26" s="19">
        <f t="shared" si="4"/>
        <v>0</v>
      </c>
      <c r="N26" s="65"/>
    </row>
    <row r="27" spans="1:14">
      <c r="A27" s="67">
        <v>24</v>
      </c>
      <c r="B27" s="306">
        <v>45712</v>
      </c>
      <c r="C27" s="19"/>
      <c r="D27" s="19"/>
      <c r="E27" s="117"/>
      <c r="F27" s="117"/>
      <c r="G27" s="19">
        <f t="shared" si="0"/>
        <v>0</v>
      </c>
      <c r="H27" s="19"/>
      <c r="I27" s="117"/>
      <c r="J27" s="19">
        <f t="shared" si="1"/>
        <v>0</v>
      </c>
      <c r="K27" s="19">
        <f t="shared" si="2"/>
        <v>0</v>
      </c>
      <c r="L27" s="19"/>
      <c r="M27" s="19">
        <f t="shared" si="4"/>
        <v>0</v>
      </c>
      <c r="N27" s="65"/>
    </row>
    <row r="28" spans="1:14">
      <c r="A28" s="67">
        <v>25</v>
      </c>
      <c r="B28" s="306">
        <v>45713</v>
      </c>
      <c r="C28" s="19"/>
      <c r="D28" s="19"/>
      <c r="E28" s="117">
        <v>300</v>
      </c>
      <c r="F28" s="117">
        <v>90.23</v>
      </c>
      <c r="G28" s="19">
        <f t="shared" si="0"/>
        <v>27069</v>
      </c>
      <c r="H28" s="19">
        <v>28</v>
      </c>
      <c r="I28" s="117">
        <v>104.13</v>
      </c>
      <c r="J28" s="19">
        <f t="shared" si="1"/>
        <v>2915.64</v>
      </c>
      <c r="K28" s="19">
        <f>G28+J28</f>
        <v>29984.639999999999</v>
      </c>
      <c r="L28" s="19">
        <v>29984.639999999999</v>
      </c>
      <c r="M28" s="19">
        <v>0</v>
      </c>
      <c r="N28" s="65" t="s">
        <v>57</v>
      </c>
    </row>
    <row r="29" spans="1:14">
      <c r="A29" s="67">
        <v>26</v>
      </c>
      <c r="B29" s="306">
        <v>45714</v>
      </c>
      <c r="C29" s="19"/>
      <c r="D29" s="19"/>
      <c r="E29" s="117"/>
      <c r="F29" s="117"/>
      <c r="G29" s="19">
        <f t="shared" si="0"/>
        <v>0</v>
      </c>
      <c r="H29" s="19"/>
      <c r="I29" s="117"/>
      <c r="J29" s="19"/>
      <c r="K29" s="19">
        <f t="shared" si="2"/>
        <v>0</v>
      </c>
      <c r="L29" s="19">
        <f t="shared" ref="L29:L30" si="5">H29+K29</f>
        <v>0</v>
      </c>
      <c r="M29" s="19">
        <v>0</v>
      </c>
      <c r="N29" s="65"/>
    </row>
    <row r="30" spans="1:14">
      <c r="A30" s="67">
        <v>27</v>
      </c>
      <c r="B30" s="306">
        <v>45715</v>
      </c>
      <c r="C30" s="19"/>
      <c r="D30" s="19"/>
      <c r="E30" s="117">
        <v>330</v>
      </c>
      <c r="F30" s="117">
        <v>90.23</v>
      </c>
      <c r="G30" s="19">
        <f t="shared" si="0"/>
        <v>29775.9</v>
      </c>
      <c r="H30" s="19"/>
      <c r="I30" s="117"/>
      <c r="J30" s="19"/>
      <c r="K30" s="19">
        <f t="shared" ref="K30" si="6">G30+J30</f>
        <v>29775.9</v>
      </c>
      <c r="L30" s="19">
        <f t="shared" si="5"/>
        <v>29775.9</v>
      </c>
      <c r="M30" s="19">
        <v>0</v>
      </c>
      <c r="N30" s="65" t="s">
        <v>57</v>
      </c>
    </row>
    <row r="31" spans="1:14">
      <c r="A31" s="67">
        <v>28</v>
      </c>
      <c r="B31" s="306">
        <v>45716</v>
      </c>
      <c r="C31" s="19"/>
      <c r="D31" s="19"/>
      <c r="E31" s="117"/>
      <c r="F31" s="117"/>
      <c r="G31" s="19"/>
      <c r="H31" s="19"/>
      <c r="I31" s="117"/>
      <c r="J31" s="19"/>
      <c r="K31" s="19"/>
      <c r="L31" s="19"/>
      <c r="M31" s="19"/>
      <c r="N31" s="65"/>
    </row>
    <row r="32" spans="1:14">
      <c r="A32" s="63"/>
      <c r="B32" s="63"/>
      <c r="C32" s="63"/>
      <c r="D32" s="63"/>
      <c r="E32" s="63">
        <f>SUM(E4:E31)</f>
        <v>3055</v>
      </c>
      <c r="F32" s="63"/>
      <c r="G32" s="63">
        <f>SUM(G4:G31)</f>
        <v>275652.65000000002</v>
      </c>
      <c r="H32" s="63">
        <f>SUM(H4:H31)</f>
        <v>118</v>
      </c>
      <c r="I32" s="63"/>
      <c r="J32" s="63">
        <f>SUM(J4:J31)</f>
        <v>12287.339999999998</v>
      </c>
      <c r="K32" s="63">
        <f>SUM(K4:K31)</f>
        <v>287939.99000000005</v>
      </c>
      <c r="L32" s="63">
        <f>SUM(L4:L31)</f>
        <v>287939.99</v>
      </c>
      <c r="M32" s="63"/>
      <c r="N32" s="63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1"/>
  <sheetViews>
    <sheetView workbookViewId="0">
      <pane ySplit="2" topLeftCell="A23" activePane="bottomLeft" state="frozen"/>
      <selection pane="bottomLeft" activeCell="J48" sqref="J48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9.7109375" bestFit="1" customWidth="1"/>
    <col min="11" max="11" width="13.85546875" bestFit="1" customWidth="1"/>
    <col min="12" max="12" width="12.710937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36" t="s">
        <v>69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111"/>
    </row>
    <row r="2" spans="1:15">
      <c r="A2" s="160" t="s">
        <v>1</v>
      </c>
      <c r="B2" s="161" t="s">
        <v>2</v>
      </c>
      <c r="C2" s="161" t="s">
        <v>3</v>
      </c>
      <c r="D2" s="161" t="s">
        <v>4</v>
      </c>
      <c r="E2" s="161" t="s">
        <v>5</v>
      </c>
      <c r="F2" s="161" t="s">
        <v>6</v>
      </c>
      <c r="G2" s="161" t="s">
        <v>7</v>
      </c>
      <c r="H2" s="161" t="s">
        <v>8</v>
      </c>
      <c r="I2" s="161" t="s">
        <v>6</v>
      </c>
      <c r="J2" s="162" t="s">
        <v>7</v>
      </c>
      <c r="K2" s="160" t="s">
        <v>9</v>
      </c>
      <c r="L2" s="163" t="s">
        <v>10</v>
      </c>
      <c r="M2" s="163" t="s">
        <v>11</v>
      </c>
      <c r="N2" s="161" t="s">
        <v>12</v>
      </c>
      <c r="O2" s="84"/>
    </row>
    <row r="3" spans="1:15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34"/>
      <c r="K3" s="128">
        <v>19999.479700000004</v>
      </c>
      <c r="L3" s="53"/>
      <c r="M3" s="53">
        <f>+K3</f>
        <v>19999.479700000004</v>
      </c>
      <c r="N3" s="19"/>
      <c r="O3" s="84"/>
    </row>
    <row r="4" spans="1:15">
      <c r="A4" s="67">
        <v>1</v>
      </c>
      <c r="B4" s="116">
        <v>45689</v>
      </c>
      <c r="C4" s="164"/>
      <c r="D4" s="165"/>
      <c r="E4" s="124">
        <v>0</v>
      </c>
      <c r="F4" s="124">
        <v>0</v>
      </c>
      <c r="G4" s="21">
        <f>E4*F4</f>
        <v>0</v>
      </c>
      <c r="H4" s="124">
        <v>0</v>
      </c>
      <c r="I4" s="124"/>
      <c r="J4" s="21">
        <f>H4*I4</f>
        <v>0</v>
      </c>
      <c r="K4" s="21">
        <f>G4+J4</f>
        <v>0</v>
      </c>
      <c r="L4" s="166">
        <f>+K4</f>
        <v>0</v>
      </c>
      <c r="M4" s="166">
        <f>M3+K4-L4</f>
        <v>19999.479700000004</v>
      </c>
      <c r="N4" s="65"/>
    </row>
    <row r="5" spans="1:15">
      <c r="A5" s="67">
        <v>2</v>
      </c>
      <c r="B5" s="116">
        <v>45690</v>
      </c>
      <c r="C5" s="92"/>
      <c r="D5" s="92"/>
      <c r="E5" s="124">
        <v>0</v>
      </c>
      <c r="F5" s="124">
        <v>0</v>
      </c>
      <c r="G5" s="21">
        <f t="shared" ref="G5:G28" si="0">E5*F5</f>
        <v>0</v>
      </c>
      <c r="H5" s="124">
        <v>0</v>
      </c>
      <c r="I5" s="124"/>
      <c r="J5" s="8">
        <f>H5*I5</f>
        <v>0</v>
      </c>
      <c r="K5" s="8">
        <f>G5+J5</f>
        <v>0</v>
      </c>
      <c r="L5" s="166">
        <f t="shared" ref="L5:L14" si="1">+K5</f>
        <v>0</v>
      </c>
      <c r="M5" s="166">
        <f>M4+K5-L5</f>
        <v>19999.479700000004</v>
      </c>
      <c r="N5" s="65"/>
    </row>
    <row r="6" spans="1:15">
      <c r="A6" s="67">
        <v>3</v>
      </c>
      <c r="B6" s="116">
        <v>45691</v>
      </c>
      <c r="C6" s="92"/>
      <c r="D6" s="92"/>
      <c r="E6" s="124">
        <v>0</v>
      </c>
      <c r="F6" s="124">
        <v>0</v>
      </c>
      <c r="G6" s="21">
        <f t="shared" si="0"/>
        <v>0</v>
      </c>
      <c r="H6" s="124">
        <v>0</v>
      </c>
      <c r="I6" s="124"/>
      <c r="J6" s="8">
        <f>H6*I6</f>
        <v>0</v>
      </c>
      <c r="K6" s="8">
        <f>G6+J6</f>
        <v>0</v>
      </c>
      <c r="L6" s="166">
        <f t="shared" si="1"/>
        <v>0</v>
      </c>
      <c r="M6" s="166">
        <f>M5+K6-L6</f>
        <v>19999.479700000004</v>
      </c>
      <c r="N6" s="65"/>
    </row>
    <row r="7" spans="1:15">
      <c r="A7" s="67">
        <v>4</v>
      </c>
      <c r="B7" s="29">
        <v>45692</v>
      </c>
      <c r="C7" s="92"/>
      <c r="D7" s="99"/>
      <c r="E7" s="124">
        <v>696.79</v>
      </c>
      <c r="F7" s="124">
        <v>90.23</v>
      </c>
      <c r="G7" s="21">
        <f t="shared" si="0"/>
        <v>62871.361700000001</v>
      </c>
      <c r="H7" s="124">
        <v>0</v>
      </c>
      <c r="I7" s="124"/>
      <c r="J7" s="8">
        <f>H7*I7</f>
        <v>0</v>
      </c>
      <c r="K7" s="8">
        <f>G7+J7</f>
        <v>62871.361700000001</v>
      </c>
      <c r="L7" s="166">
        <v>19999.48</v>
      </c>
      <c r="M7" s="166">
        <f>M6+K7-L7</f>
        <v>62871.361400000009</v>
      </c>
      <c r="N7" s="65" t="s">
        <v>57</v>
      </c>
    </row>
    <row r="8" spans="1:15">
      <c r="A8" s="67">
        <v>5</v>
      </c>
      <c r="B8" s="29">
        <v>45693</v>
      </c>
      <c r="C8" s="92"/>
      <c r="D8" s="99"/>
      <c r="E8" s="124">
        <v>0</v>
      </c>
      <c r="F8" s="124">
        <v>0</v>
      </c>
      <c r="G8" s="21">
        <f t="shared" si="0"/>
        <v>0</v>
      </c>
      <c r="H8" s="124">
        <v>0</v>
      </c>
      <c r="I8" s="124"/>
      <c r="J8" s="8">
        <f>H8*I8</f>
        <v>0</v>
      </c>
      <c r="K8" s="8">
        <f>G8+J8</f>
        <v>0</v>
      </c>
      <c r="L8" s="166">
        <f t="shared" si="1"/>
        <v>0</v>
      </c>
      <c r="M8" s="166">
        <f t="shared" ref="M8:M30" si="2">M7+K8-L8</f>
        <v>62871.361400000009</v>
      </c>
      <c r="N8" s="65"/>
      <c r="O8" s="96"/>
    </row>
    <row r="9" spans="1:15">
      <c r="A9" s="67">
        <v>6</v>
      </c>
      <c r="B9" s="29">
        <v>45694</v>
      </c>
      <c r="C9" s="92"/>
      <c r="D9" s="99"/>
      <c r="E9" s="124">
        <v>0</v>
      </c>
      <c r="F9" s="124">
        <v>0</v>
      </c>
      <c r="G9" s="21">
        <f t="shared" si="0"/>
        <v>0</v>
      </c>
      <c r="H9" s="124">
        <v>35</v>
      </c>
      <c r="I9" s="124">
        <v>104.14</v>
      </c>
      <c r="J9" s="8">
        <f>H9*I9</f>
        <v>3644.9</v>
      </c>
      <c r="K9" s="8">
        <f>G9+J9</f>
        <v>3644.9</v>
      </c>
      <c r="L9" s="166"/>
      <c r="M9" s="166">
        <f t="shared" si="2"/>
        <v>66516.261400000003</v>
      </c>
      <c r="N9" s="65"/>
      <c r="O9" s="96"/>
    </row>
    <row r="10" spans="1:15">
      <c r="A10" s="67">
        <v>7</v>
      </c>
      <c r="B10" s="29">
        <v>45695</v>
      </c>
      <c r="C10" s="92"/>
      <c r="D10" s="99"/>
      <c r="E10" s="124">
        <v>0</v>
      </c>
      <c r="F10" s="124">
        <v>0</v>
      </c>
      <c r="G10" s="21">
        <f t="shared" si="0"/>
        <v>0</v>
      </c>
      <c r="H10" s="124">
        <v>0</v>
      </c>
      <c r="I10" s="124"/>
      <c r="J10" s="8">
        <f t="shared" ref="J10:J30" si="3">H10*I10</f>
        <v>0</v>
      </c>
      <c r="K10" s="8">
        <f>G10+J10</f>
        <v>0</v>
      </c>
      <c r="L10" s="166">
        <f t="shared" si="1"/>
        <v>0</v>
      </c>
      <c r="M10" s="166">
        <f t="shared" si="2"/>
        <v>66516.261400000003</v>
      </c>
      <c r="N10" s="65"/>
      <c r="O10" s="96"/>
    </row>
    <row r="11" spans="1:15">
      <c r="A11" s="67">
        <v>8</v>
      </c>
      <c r="B11" s="29">
        <v>45696</v>
      </c>
      <c r="C11" s="92"/>
      <c r="D11" s="99"/>
      <c r="E11" s="124">
        <v>0</v>
      </c>
      <c r="F11" s="124">
        <v>0</v>
      </c>
      <c r="G11" s="21">
        <f t="shared" si="0"/>
        <v>0</v>
      </c>
      <c r="H11" s="124">
        <v>0</v>
      </c>
      <c r="I11" s="124"/>
      <c r="J11" s="8">
        <f t="shared" si="3"/>
        <v>0</v>
      </c>
      <c r="K11" s="8">
        <f>G11+J11</f>
        <v>0</v>
      </c>
      <c r="L11" s="166">
        <f t="shared" si="1"/>
        <v>0</v>
      </c>
      <c r="M11" s="166">
        <f t="shared" si="2"/>
        <v>66516.261400000003</v>
      </c>
      <c r="N11" s="65"/>
      <c r="O11" s="96"/>
    </row>
    <row r="12" spans="1:15">
      <c r="A12" s="67">
        <v>9</v>
      </c>
      <c r="B12" s="29">
        <v>45697</v>
      </c>
      <c r="C12" s="92"/>
      <c r="D12" s="99"/>
      <c r="E12" s="124">
        <v>635</v>
      </c>
      <c r="F12" s="124">
        <v>90.23</v>
      </c>
      <c r="G12" s="21">
        <f t="shared" si="0"/>
        <v>57296.05</v>
      </c>
      <c r="H12" s="124">
        <v>0</v>
      </c>
      <c r="I12" s="124"/>
      <c r="J12" s="8">
        <f t="shared" si="3"/>
        <v>0</v>
      </c>
      <c r="K12" s="8">
        <f>G12+J12</f>
        <v>57296.05</v>
      </c>
      <c r="L12" s="166"/>
      <c r="M12" s="166">
        <f t="shared" si="2"/>
        <v>123812.31140000001</v>
      </c>
      <c r="N12" s="65"/>
      <c r="O12" s="96"/>
    </row>
    <row r="13" spans="1:15">
      <c r="A13" s="67">
        <v>10</v>
      </c>
      <c r="B13" s="29">
        <v>45698</v>
      </c>
      <c r="C13" s="92"/>
      <c r="D13" s="99"/>
      <c r="E13" s="124">
        <v>0</v>
      </c>
      <c r="F13" s="124">
        <v>90.23</v>
      </c>
      <c r="G13" s="21">
        <f t="shared" si="0"/>
        <v>0</v>
      </c>
      <c r="H13" s="124">
        <v>0</v>
      </c>
      <c r="I13" s="124"/>
      <c r="J13" s="8">
        <f t="shared" si="3"/>
        <v>0</v>
      </c>
      <c r="K13" s="8">
        <f t="shared" ref="K13:K30" si="4">G13+J13</f>
        <v>0</v>
      </c>
      <c r="L13" s="166">
        <f t="shared" si="1"/>
        <v>0</v>
      </c>
      <c r="M13" s="166">
        <f t="shared" si="2"/>
        <v>123812.31140000001</v>
      </c>
      <c r="N13" s="65"/>
      <c r="O13" s="96"/>
    </row>
    <row r="14" spans="1:15">
      <c r="A14" s="67">
        <v>11</v>
      </c>
      <c r="B14" s="29">
        <v>45699</v>
      </c>
      <c r="C14" s="92"/>
      <c r="D14" s="99"/>
      <c r="E14" s="124">
        <v>0</v>
      </c>
      <c r="F14" s="124">
        <v>90.23</v>
      </c>
      <c r="G14" s="21">
        <f t="shared" si="0"/>
        <v>0</v>
      </c>
      <c r="H14" s="124">
        <v>0</v>
      </c>
      <c r="I14" s="124"/>
      <c r="J14" s="8">
        <f t="shared" si="3"/>
        <v>0</v>
      </c>
      <c r="K14" s="8">
        <f t="shared" si="4"/>
        <v>0</v>
      </c>
      <c r="L14" s="166">
        <f t="shared" si="1"/>
        <v>0</v>
      </c>
      <c r="M14" s="166">
        <f t="shared" si="2"/>
        <v>123812.31140000001</v>
      </c>
      <c r="N14" s="65"/>
      <c r="O14" s="96"/>
    </row>
    <row r="15" spans="1:15">
      <c r="A15" s="67">
        <v>12</v>
      </c>
      <c r="B15" s="29">
        <v>45700</v>
      </c>
      <c r="C15" s="92"/>
      <c r="D15" s="99"/>
      <c r="E15" s="90">
        <v>600</v>
      </c>
      <c r="F15" s="124">
        <v>90.23</v>
      </c>
      <c r="G15" s="21">
        <f t="shared" si="0"/>
        <v>54138</v>
      </c>
      <c r="H15" s="124">
        <v>0</v>
      </c>
      <c r="I15" s="65"/>
      <c r="J15" s="8">
        <f t="shared" si="3"/>
        <v>0</v>
      </c>
      <c r="K15" s="8">
        <f t="shared" si="4"/>
        <v>54138</v>
      </c>
      <c r="L15" s="166"/>
      <c r="M15" s="166">
        <f t="shared" si="2"/>
        <v>177950.31140000001</v>
      </c>
      <c r="N15" s="65"/>
      <c r="O15" s="96"/>
    </row>
    <row r="16" spans="1:15">
      <c r="A16" s="67">
        <v>13</v>
      </c>
      <c r="B16" s="29">
        <v>45701</v>
      </c>
      <c r="C16" s="92"/>
      <c r="D16" s="99"/>
      <c r="E16" s="90">
        <v>0</v>
      </c>
      <c r="F16" s="65"/>
      <c r="G16" s="21">
        <f t="shared" si="0"/>
        <v>0</v>
      </c>
      <c r="H16" s="90"/>
      <c r="I16" s="65"/>
      <c r="J16" s="8">
        <f t="shared" si="3"/>
        <v>0</v>
      </c>
      <c r="K16" s="8">
        <f t="shared" si="4"/>
        <v>0</v>
      </c>
      <c r="L16" s="166"/>
      <c r="M16" s="166">
        <f t="shared" si="2"/>
        <v>177950.31140000001</v>
      </c>
      <c r="N16" s="65"/>
      <c r="O16" s="96"/>
    </row>
    <row r="17" spans="1:15">
      <c r="A17" s="67">
        <v>14</v>
      </c>
      <c r="B17" s="29">
        <v>45702</v>
      </c>
      <c r="C17" s="92"/>
      <c r="D17" s="99"/>
      <c r="E17" s="90"/>
      <c r="F17" s="65"/>
      <c r="G17" s="21">
        <f t="shared" si="0"/>
        <v>0</v>
      </c>
      <c r="H17" s="90">
        <v>35</v>
      </c>
      <c r="I17" s="65">
        <v>104.14</v>
      </c>
      <c r="J17" s="8">
        <f t="shared" si="3"/>
        <v>3644.9</v>
      </c>
      <c r="K17" s="8">
        <f t="shared" si="4"/>
        <v>3644.9</v>
      </c>
      <c r="L17" s="166">
        <v>100000</v>
      </c>
      <c r="M17" s="166">
        <f t="shared" si="2"/>
        <v>81595.2114</v>
      </c>
      <c r="N17" s="65"/>
      <c r="O17" s="96"/>
    </row>
    <row r="18" spans="1:15">
      <c r="A18" s="67">
        <v>15</v>
      </c>
      <c r="B18" s="29">
        <v>45703</v>
      </c>
      <c r="C18" s="92"/>
      <c r="D18" s="99"/>
      <c r="E18" s="90">
        <v>600</v>
      </c>
      <c r="F18" s="65">
        <v>90.23</v>
      </c>
      <c r="G18" s="21">
        <f t="shared" si="0"/>
        <v>54138</v>
      </c>
      <c r="H18" s="90"/>
      <c r="I18" s="65">
        <v>104.14</v>
      </c>
      <c r="J18" s="8">
        <f t="shared" si="3"/>
        <v>0</v>
      </c>
      <c r="K18" s="8">
        <f t="shared" si="4"/>
        <v>54138</v>
      </c>
      <c r="L18" s="166"/>
      <c r="M18" s="166">
        <f t="shared" si="2"/>
        <v>135733.2114</v>
      </c>
      <c r="N18" s="65"/>
      <c r="O18" s="96"/>
    </row>
    <row r="19" spans="1:15">
      <c r="A19" s="67">
        <v>16</v>
      </c>
      <c r="B19" s="29">
        <v>45704</v>
      </c>
      <c r="C19" s="92"/>
      <c r="D19" s="99"/>
      <c r="E19" s="90"/>
      <c r="F19" s="65"/>
      <c r="G19" s="21">
        <f t="shared" si="0"/>
        <v>0</v>
      </c>
      <c r="H19" s="90"/>
      <c r="I19" s="65">
        <v>104.14</v>
      </c>
      <c r="J19" s="8">
        <f t="shared" si="3"/>
        <v>0</v>
      </c>
      <c r="K19" s="8">
        <f t="shared" si="4"/>
        <v>0</v>
      </c>
      <c r="L19" s="166"/>
      <c r="M19" s="166">
        <f t="shared" si="2"/>
        <v>135733.2114</v>
      </c>
      <c r="N19" s="65"/>
      <c r="O19" s="96"/>
    </row>
    <row r="20" spans="1:15">
      <c r="A20" s="67">
        <v>17</v>
      </c>
      <c r="B20" s="29">
        <v>45705</v>
      </c>
      <c r="C20" s="92"/>
      <c r="D20" s="99"/>
      <c r="E20" s="90">
        <v>200</v>
      </c>
      <c r="F20" s="65">
        <v>90.23</v>
      </c>
      <c r="G20" s="21">
        <f t="shared" si="0"/>
        <v>18046</v>
      </c>
      <c r="H20" s="90">
        <v>35</v>
      </c>
      <c r="I20" s="65">
        <v>104.14</v>
      </c>
      <c r="J20" s="8">
        <f t="shared" si="3"/>
        <v>3644.9</v>
      </c>
      <c r="K20" s="8">
        <f t="shared" si="4"/>
        <v>21690.9</v>
      </c>
      <c r="L20" s="166"/>
      <c r="M20" s="166">
        <f t="shared" si="2"/>
        <v>157424.11139999999</v>
      </c>
      <c r="N20" s="65"/>
      <c r="O20" s="96"/>
    </row>
    <row r="21" spans="1:15">
      <c r="A21" s="67">
        <v>18</v>
      </c>
      <c r="B21" s="29">
        <v>45706</v>
      </c>
      <c r="C21" s="92"/>
      <c r="D21" s="99"/>
      <c r="E21" s="90">
        <v>400</v>
      </c>
      <c r="F21" s="65">
        <v>90.23</v>
      </c>
      <c r="G21" s="21">
        <f t="shared" si="0"/>
        <v>36092</v>
      </c>
      <c r="H21" s="90"/>
      <c r="I21" s="65"/>
      <c r="J21" s="8">
        <f t="shared" si="3"/>
        <v>0</v>
      </c>
      <c r="K21" s="8">
        <f t="shared" si="4"/>
        <v>36092</v>
      </c>
      <c r="L21" s="166"/>
      <c r="M21" s="166">
        <f t="shared" si="2"/>
        <v>193516.11139999999</v>
      </c>
      <c r="N21" s="65"/>
      <c r="O21" s="96"/>
    </row>
    <row r="22" spans="1:15">
      <c r="A22" s="67">
        <v>19</v>
      </c>
      <c r="B22" s="29">
        <v>45707</v>
      </c>
      <c r="C22" s="92"/>
      <c r="D22" s="99"/>
      <c r="E22" s="90"/>
      <c r="F22" s="65"/>
      <c r="G22" s="21">
        <f t="shared" si="0"/>
        <v>0</v>
      </c>
      <c r="H22" s="90"/>
      <c r="I22" s="65"/>
      <c r="J22" s="8">
        <f t="shared" si="3"/>
        <v>0</v>
      </c>
      <c r="K22" s="8">
        <f t="shared" si="4"/>
        <v>0</v>
      </c>
      <c r="L22" s="166"/>
      <c r="M22" s="166">
        <f t="shared" si="2"/>
        <v>193516.11139999999</v>
      </c>
      <c r="N22" s="65"/>
      <c r="O22" s="96"/>
    </row>
    <row r="23" spans="1:15">
      <c r="A23" s="67">
        <v>20</v>
      </c>
      <c r="B23" s="29">
        <v>45708</v>
      </c>
      <c r="C23" s="92"/>
      <c r="D23" s="99"/>
      <c r="E23" s="90">
        <v>650</v>
      </c>
      <c r="F23" s="65">
        <v>90.23</v>
      </c>
      <c r="G23" s="21">
        <f t="shared" si="0"/>
        <v>58649.5</v>
      </c>
      <c r="H23" s="90"/>
      <c r="I23" s="65"/>
      <c r="J23" s="8">
        <f t="shared" si="3"/>
        <v>0</v>
      </c>
      <c r="K23" s="8">
        <f t="shared" si="4"/>
        <v>58649.5</v>
      </c>
      <c r="L23" s="166"/>
      <c r="M23" s="166">
        <f t="shared" si="2"/>
        <v>252165.61139999999</v>
      </c>
      <c r="N23" s="65"/>
      <c r="O23" s="96"/>
    </row>
    <row r="24" spans="1:15">
      <c r="A24" s="67">
        <v>21</v>
      </c>
      <c r="B24" s="29">
        <v>45709</v>
      </c>
      <c r="C24" s="92"/>
      <c r="D24" s="99"/>
      <c r="E24" s="90"/>
      <c r="F24" s="65"/>
      <c r="G24" s="21">
        <f t="shared" si="0"/>
        <v>0</v>
      </c>
      <c r="H24" s="90"/>
      <c r="I24" s="65"/>
      <c r="J24" s="8">
        <f t="shared" si="3"/>
        <v>0</v>
      </c>
      <c r="K24" s="8">
        <f t="shared" si="4"/>
        <v>0</v>
      </c>
      <c r="L24" s="166"/>
      <c r="M24" s="166">
        <f t="shared" si="2"/>
        <v>252165.61139999999</v>
      </c>
      <c r="N24" s="65"/>
      <c r="O24" s="96"/>
    </row>
    <row r="25" spans="1:15">
      <c r="A25" s="67">
        <v>22</v>
      </c>
      <c r="B25" s="29">
        <v>45710</v>
      </c>
      <c r="C25" s="92"/>
      <c r="D25" s="99"/>
      <c r="E25" s="90"/>
      <c r="F25" s="65"/>
      <c r="G25" s="21">
        <f t="shared" si="0"/>
        <v>0</v>
      </c>
      <c r="H25" s="90"/>
      <c r="I25" s="65"/>
      <c r="J25" s="8">
        <f t="shared" si="3"/>
        <v>0</v>
      </c>
      <c r="K25" s="8">
        <f t="shared" si="4"/>
        <v>0</v>
      </c>
      <c r="L25" s="166"/>
      <c r="M25" s="166">
        <f t="shared" si="2"/>
        <v>252165.61139999999</v>
      </c>
      <c r="N25" s="65"/>
      <c r="O25" s="96"/>
    </row>
    <row r="26" spans="1:15">
      <c r="A26" s="67">
        <v>23</v>
      </c>
      <c r="B26" s="29">
        <v>45711</v>
      </c>
      <c r="C26" s="92"/>
      <c r="D26" s="99"/>
      <c r="E26" s="90"/>
      <c r="F26" s="65"/>
      <c r="G26" s="21">
        <f t="shared" si="0"/>
        <v>0</v>
      </c>
      <c r="H26" s="90"/>
      <c r="I26" s="65"/>
      <c r="J26" s="8">
        <f t="shared" si="3"/>
        <v>0</v>
      </c>
      <c r="K26" s="8">
        <f t="shared" si="4"/>
        <v>0</v>
      </c>
      <c r="L26" s="166"/>
      <c r="M26" s="166">
        <f t="shared" si="2"/>
        <v>252165.61139999999</v>
      </c>
      <c r="N26" s="65"/>
      <c r="O26" s="96"/>
    </row>
    <row r="27" spans="1:15">
      <c r="A27" s="67">
        <v>24</v>
      </c>
      <c r="B27" s="29">
        <v>45712</v>
      </c>
      <c r="C27" s="92"/>
      <c r="D27" s="99"/>
      <c r="E27" s="90"/>
      <c r="F27" s="65"/>
      <c r="G27" s="21">
        <f t="shared" si="0"/>
        <v>0</v>
      </c>
      <c r="H27" s="90"/>
      <c r="I27" s="65"/>
      <c r="J27" s="8">
        <f t="shared" si="3"/>
        <v>0</v>
      </c>
      <c r="K27" s="8">
        <f t="shared" si="4"/>
        <v>0</v>
      </c>
      <c r="L27" s="166"/>
      <c r="M27" s="166">
        <f t="shared" si="2"/>
        <v>252165.61139999999</v>
      </c>
      <c r="N27" s="65"/>
      <c r="O27" s="96"/>
    </row>
    <row r="28" spans="1:15">
      <c r="A28" s="67">
        <v>25</v>
      </c>
      <c r="B28" s="29">
        <v>45713</v>
      </c>
      <c r="C28" s="92"/>
      <c r="D28" s="99"/>
      <c r="E28" s="90">
        <v>600</v>
      </c>
      <c r="F28" s="65">
        <v>90.23</v>
      </c>
      <c r="G28" s="21">
        <f t="shared" si="0"/>
        <v>54138</v>
      </c>
      <c r="H28" s="90"/>
      <c r="I28" s="65"/>
      <c r="J28" s="8">
        <f t="shared" si="3"/>
        <v>0</v>
      </c>
      <c r="K28" s="8">
        <f t="shared" si="4"/>
        <v>54138</v>
      </c>
      <c r="L28" s="166">
        <v>199138</v>
      </c>
      <c r="M28" s="166">
        <f t="shared" si="2"/>
        <v>107165.61139999999</v>
      </c>
      <c r="N28" s="65"/>
      <c r="O28" s="96"/>
    </row>
    <row r="29" spans="1:15">
      <c r="A29" s="67">
        <v>26</v>
      </c>
      <c r="B29" s="29">
        <v>45714</v>
      </c>
      <c r="C29" s="92"/>
      <c r="D29" s="99"/>
      <c r="E29" s="90"/>
      <c r="F29" s="65"/>
      <c r="G29" s="8"/>
      <c r="H29" s="90"/>
      <c r="I29" s="65"/>
      <c r="J29" s="8">
        <f t="shared" si="3"/>
        <v>0</v>
      </c>
      <c r="K29" s="8">
        <f t="shared" si="4"/>
        <v>0</v>
      </c>
      <c r="L29" s="166"/>
      <c r="M29" s="166">
        <f t="shared" si="2"/>
        <v>107165.61139999999</v>
      </c>
      <c r="N29" s="65"/>
      <c r="O29" s="96"/>
    </row>
    <row r="30" spans="1:15">
      <c r="A30" s="67">
        <v>27</v>
      </c>
      <c r="B30" s="29">
        <v>45715</v>
      </c>
      <c r="C30" s="92"/>
      <c r="D30" s="99"/>
      <c r="E30" s="90"/>
      <c r="F30" s="65"/>
      <c r="G30" s="8"/>
      <c r="H30" s="90">
        <v>35</v>
      </c>
      <c r="I30" s="65">
        <v>104.14</v>
      </c>
      <c r="J30" s="8">
        <f t="shared" si="3"/>
        <v>3644.9</v>
      </c>
      <c r="K30" s="8">
        <f t="shared" si="4"/>
        <v>3644.9</v>
      </c>
      <c r="L30" s="166"/>
      <c r="M30" s="166">
        <f t="shared" si="2"/>
        <v>110810.51139999999</v>
      </c>
      <c r="N30" s="65"/>
      <c r="O30" s="96"/>
    </row>
    <row r="31" spans="1:15">
      <c r="A31" s="67">
        <v>28</v>
      </c>
      <c r="B31" s="29">
        <v>45716</v>
      </c>
      <c r="C31" s="92"/>
      <c r="D31" s="99"/>
      <c r="E31" s="90"/>
      <c r="F31" s="65"/>
      <c r="G31" s="8"/>
      <c r="H31" s="90"/>
      <c r="I31" s="65"/>
      <c r="J31" s="8"/>
      <c r="K31" s="8"/>
      <c r="L31" s="166"/>
      <c r="M31" s="166"/>
      <c r="N31" s="65"/>
      <c r="O31" s="96"/>
    </row>
    <row r="32" spans="1:15">
      <c r="A32" s="63"/>
      <c r="B32" s="63"/>
      <c r="C32" s="63"/>
      <c r="D32" s="63"/>
      <c r="E32" s="64">
        <f>SUM(E4:E31)</f>
        <v>4381.79</v>
      </c>
      <c r="F32" s="64"/>
      <c r="G32" s="64">
        <f>SUM(G4:G31)</f>
        <v>395368.9117</v>
      </c>
      <c r="H32" s="64">
        <f>SUM(H4:H31)</f>
        <v>140</v>
      </c>
      <c r="I32" s="64"/>
      <c r="J32" s="64">
        <f>SUM(J4:J31)</f>
        <v>14579.6</v>
      </c>
      <c r="K32" s="64">
        <f>SUM(K4:K31)</f>
        <v>409948.51170000003</v>
      </c>
      <c r="L32" s="64">
        <f>SUM(L4:L31)</f>
        <v>319137.48</v>
      </c>
      <c r="M32" s="64"/>
      <c r="N32" s="64"/>
      <c r="O32" s="36"/>
    </row>
    <row r="33" spans="1:19">
      <c r="A33" s="101"/>
      <c r="B33" s="102"/>
      <c r="C33" s="101"/>
      <c r="D33" s="101"/>
      <c r="E33" s="103"/>
      <c r="F33" s="103"/>
      <c r="G33" s="103"/>
      <c r="H33" s="103"/>
      <c r="I33" s="103"/>
      <c r="J33" s="104"/>
      <c r="K33" s="104"/>
      <c r="L33" s="104"/>
      <c r="M33" s="104"/>
      <c r="N33" s="103"/>
      <c r="O33" s="96"/>
    </row>
    <row r="34" spans="1:19">
      <c r="O34" s="96"/>
    </row>
    <row r="35" spans="1:19">
      <c r="O35" s="96"/>
    </row>
    <row r="36" spans="1:19">
      <c r="O36" s="96"/>
    </row>
    <row r="37" spans="1:19">
      <c r="O37" s="96"/>
    </row>
    <row r="38" spans="1:19">
      <c r="O38" s="96"/>
      <c r="S38">
        <v>9052944708</v>
      </c>
    </row>
    <row r="39" spans="1:19">
      <c r="A39" s="96"/>
      <c r="B39" s="84"/>
      <c r="C39" s="96"/>
      <c r="D39" s="96"/>
      <c r="E39" s="96"/>
      <c r="F39" s="96"/>
      <c r="G39" s="105"/>
      <c r="H39" s="96"/>
      <c r="I39" s="96"/>
      <c r="J39" s="84"/>
      <c r="K39" s="84"/>
      <c r="L39" s="84"/>
      <c r="M39" s="84"/>
      <c r="N39" s="96"/>
      <c r="O39" s="103"/>
    </row>
    <row r="40" spans="1:19">
      <c r="A40" s="96"/>
      <c r="B40" s="437"/>
      <c r="C40" s="437"/>
      <c r="D40" s="437"/>
      <c r="E40" s="437"/>
      <c r="F40" s="96"/>
      <c r="G40" s="96"/>
      <c r="H40" s="96"/>
      <c r="I40" s="437"/>
      <c r="J40" s="437"/>
      <c r="K40" s="437"/>
      <c r="L40" s="437"/>
      <c r="M40" s="437"/>
      <c r="N40" s="437"/>
      <c r="O40" s="103"/>
    </row>
    <row r="41" spans="1:19">
      <c r="A41" s="96"/>
      <c r="B41" s="84"/>
      <c r="C41" s="96"/>
      <c r="D41" s="96"/>
      <c r="E41" s="96"/>
      <c r="F41" s="96"/>
      <c r="G41" s="96"/>
      <c r="H41" s="96"/>
      <c r="I41" s="96"/>
      <c r="J41" s="84"/>
      <c r="K41" s="84"/>
      <c r="L41" s="84"/>
      <c r="M41" s="84"/>
      <c r="N41" s="96"/>
      <c r="O41" s="103"/>
    </row>
  </sheetData>
  <mergeCells count="4">
    <mergeCell ref="A1:N1"/>
    <mergeCell ref="B40:E40"/>
    <mergeCell ref="I40:N40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6945-7278-4A2D-A0B9-0B43E354BFF7}">
  <dimension ref="A1:N8"/>
  <sheetViews>
    <sheetView workbookViewId="0">
      <selection activeCell="M27" sqref="M27"/>
    </sheetView>
  </sheetViews>
  <sheetFormatPr defaultRowHeight="15"/>
  <cols>
    <col min="4" max="4" width="14.85546875" customWidth="1"/>
    <col min="5" max="5" width="19.42578125" customWidth="1"/>
    <col min="8" max="8" width="13.85546875" customWidth="1"/>
    <col min="12" max="12" width="12" customWidth="1"/>
    <col min="13" max="13" width="16.5703125" customWidth="1"/>
    <col min="14" max="14" width="12.28515625" customWidth="1"/>
  </cols>
  <sheetData>
    <row r="1" spans="1:14">
      <c r="A1" s="438" t="s">
        <v>70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</row>
    <row r="2" spans="1:14" ht="23.25" customHeight="1">
      <c r="A2" s="89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6</v>
      </c>
      <c r="J2" s="114" t="s">
        <v>7</v>
      </c>
      <c r="K2" s="89" t="s">
        <v>9</v>
      </c>
      <c r="L2" s="89" t="s">
        <v>71</v>
      </c>
      <c r="M2" s="115" t="s">
        <v>10</v>
      </c>
      <c r="N2" s="113" t="s">
        <v>12</v>
      </c>
    </row>
    <row r="3" spans="1:14">
      <c r="A3" s="19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19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>
      <c r="A5" s="19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32"/>
  <sheetViews>
    <sheetView workbookViewId="0">
      <pane ySplit="2" topLeftCell="A11" activePane="bottomLeft" state="frozen"/>
      <selection pane="bottomLeft" activeCell="R24" sqref="R24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4" bestFit="1" customWidth="1"/>
    <col min="6" max="6" width="9.5703125" style="24" bestFit="1" customWidth="1"/>
    <col min="7" max="7" width="9.28515625" style="24" bestFit="1" customWidth="1"/>
    <col min="8" max="8" width="10.7109375" style="24" bestFit="1" customWidth="1"/>
    <col min="9" max="9" width="7.140625" style="24" bestFit="1" customWidth="1"/>
    <col min="10" max="10" width="8.7109375" style="24" bestFit="1" customWidth="1"/>
    <col min="11" max="11" width="13.5703125" style="24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39" t="s">
        <v>72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</row>
    <row r="2" spans="1:16">
      <c r="A2" s="89" t="s">
        <v>1</v>
      </c>
      <c r="B2" s="113" t="s">
        <v>2</v>
      </c>
      <c r="C2" s="113" t="s">
        <v>3</v>
      </c>
      <c r="D2" s="113" t="s">
        <v>4</v>
      </c>
      <c r="E2" s="121" t="s">
        <v>5</v>
      </c>
      <c r="F2" s="121" t="s">
        <v>6</v>
      </c>
      <c r="G2" s="121" t="s">
        <v>7</v>
      </c>
      <c r="H2" s="121" t="s">
        <v>8</v>
      </c>
      <c r="I2" s="121" t="s">
        <v>6</v>
      </c>
      <c r="J2" s="121" t="s">
        <v>7</v>
      </c>
      <c r="K2" s="122" t="s">
        <v>9</v>
      </c>
      <c r="L2" s="115" t="s">
        <v>10</v>
      </c>
      <c r="M2" s="115" t="s">
        <v>11</v>
      </c>
      <c r="N2" s="161" t="s">
        <v>12</v>
      </c>
    </row>
    <row r="3" spans="1:16">
      <c r="A3" s="432" t="s">
        <v>13</v>
      </c>
      <c r="B3" s="432"/>
      <c r="C3" s="432"/>
      <c r="D3" s="432"/>
      <c r="E3" s="432"/>
      <c r="F3" s="432"/>
      <c r="G3" s="432"/>
      <c r="H3" s="432"/>
      <c r="I3" s="432"/>
      <c r="J3" s="433"/>
      <c r="K3" s="315">
        <v>2789.0121000000026</v>
      </c>
      <c r="M3" s="173">
        <f>+K3</f>
        <v>2789.0121000000026</v>
      </c>
      <c r="N3" s="126"/>
    </row>
    <row r="4" spans="1:16">
      <c r="A4" s="67">
        <v>1</v>
      </c>
      <c r="B4" s="314">
        <v>45689</v>
      </c>
      <c r="C4" s="19"/>
      <c r="D4" s="19"/>
      <c r="E4" s="53">
        <v>0</v>
      </c>
      <c r="F4" s="53">
        <v>0</v>
      </c>
      <c r="G4" s="53">
        <f>E4*F4</f>
        <v>0</v>
      </c>
      <c r="H4" s="53">
        <v>0</v>
      </c>
      <c r="I4" s="53">
        <v>0</v>
      </c>
      <c r="J4" s="53">
        <f>H4*I4</f>
        <v>0</v>
      </c>
      <c r="K4" s="53">
        <f>G4+J4</f>
        <v>0</v>
      </c>
      <c r="L4" s="19"/>
      <c r="M4" s="174">
        <f>M3+K4-L4</f>
        <v>2789.0121000000026</v>
      </c>
      <c r="N4" s="19"/>
    </row>
    <row r="5" spans="1:16">
      <c r="A5" s="67">
        <v>2</v>
      </c>
      <c r="B5" s="314">
        <v>45690</v>
      </c>
      <c r="C5" s="19"/>
      <c r="D5" s="19"/>
      <c r="E5" s="53">
        <v>0</v>
      </c>
      <c r="F5" s="53">
        <v>0</v>
      </c>
      <c r="G5" s="53">
        <f t="shared" ref="G5:G31" si="0">E5*F5</f>
        <v>0</v>
      </c>
      <c r="H5" s="53">
        <v>0</v>
      </c>
      <c r="I5" s="53">
        <v>0</v>
      </c>
      <c r="J5" s="53">
        <f t="shared" ref="J5:J31" si="1">H5*I5</f>
        <v>0</v>
      </c>
      <c r="K5" s="53">
        <f t="shared" ref="K5:K31" si="2">G5+J5</f>
        <v>0</v>
      </c>
      <c r="L5" s="19"/>
      <c r="M5" s="174">
        <f t="shared" ref="M5:M29" si="3">M4+K5-L5</f>
        <v>2789.0121000000026</v>
      </c>
      <c r="N5" s="19"/>
    </row>
    <row r="6" spans="1:16">
      <c r="A6" s="67">
        <v>3</v>
      </c>
      <c r="B6" s="314">
        <v>45691</v>
      </c>
      <c r="C6" s="19"/>
      <c r="D6" s="19"/>
      <c r="E6" s="53">
        <v>31.21</v>
      </c>
      <c r="F6" s="53">
        <v>91.47</v>
      </c>
      <c r="G6" s="53">
        <f t="shared" si="0"/>
        <v>2854.7786999999998</v>
      </c>
      <c r="H6" s="53">
        <v>0</v>
      </c>
      <c r="I6" s="53">
        <v>0</v>
      </c>
      <c r="J6" s="53">
        <f t="shared" si="1"/>
        <v>0</v>
      </c>
      <c r="K6" s="53">
        <f>G6+J6</f>
        <v>2854.7786999999998</v>
      </c>
      <c r="L6" s="19"/>
      <c r="M6" s="174">
        <f t="shared" si="3"/>
        <v>5643.7908000000025</v>
      </c>
      <c r="N6" s="19"/>
    </row>
    <row r="7" spans="1:16">
      <c r="A7" s="67">
        <v>4</v>
      </c>
      <c r="B7" s="306">
        <v>45692</v>
      </c>
      <c r="C7" s="19"/>
      <c r="D7" s="19"/>
      <c r="E7" s="53">
        <v>0</v>
      </c>
      <c r="F7" s="53">
        <v>0</v>
      </c>
      <c r="G7" s="53">
        <f t="shared" si="0"/>
        <v>0</v>
      </c>
      <c r="H7" s="53">
        <v>0</v>
      </c>
      <c r="I7" s="53">
        <v>0</v>
      </c>
      <c r="J7" s="53">
        <f t="shared" si="1"/>
        <v>0</v>
      </c>
      <c r="K7" s="53">
        <f t="shared" si="2"/>
        <v>0</v>
      </c>
      <c r="L7" s="19"/>
      <c r="M7" s="174">
        <f t="shared" si="3"/>
        <v>5643.7908000000025</v>
      </c>
      <c r="N7" s="19"/>
    </row>
    <row r="8" spans="1:16">
      <c r="A8" s="67">
        <v>5</v>
      </c>
      <c r="B8" s="306">
        <v>45693</v>
      </c>
      <c r="C8" s="19"/>
      <c r="D8" s="19"/>
      <c r="E8" s="53">
        <v>10</v>
      </c>
      <c r="F8" s="53">
        <v>91.47</v>
      </c>
      <c r="G8" s="53">
        <f t="shared" si="0"/>
        <v>914.7</v>
      </c>
      <c r="H8" s="53">
        <v>0</v>
      </c>
      <c r="I8" s="53">
        <v>0</v>
      </c>
      <c r="J8" s="53">
        <f t="shared" si="1"/>
        <v>0</v>
      </c>
      <c r="K8" s="53">
        <f t="shared" si="2"/>
        <v>914.7</v>
      </c>
      <c r="L8" s="19">
        <v>914.7</v>
      </c>
      <c r="M8" s="174">
        <f t="shared" si="3"/>
        <v>5643.7908000000025</v>
      </c>
      <c r="N8" s="65"/>
    </row>
    <row r="9" spans="1:16">
      <c r="A9" s="67">
        <v>6</v>
      </c>
      <c r="B9" s="306">
        <v>45694</v>
      </c>
      <c r="C9" s="19"/>
      <c r="D9" s="19"/>
      <c r="E9" s="53">
        <v>38.43</v>
      </c>
      <c r="F9" s="53">
        <v>91.47</v>
      </c>
      <c r="G9" s="53">
        <f t="shared" si="0"/>
        <v>3515.1920999999998</v>
      </c>
      <c r="H9" s="53">
        <v>0</v>
      </c>
      <c r="I9" s="53">
        <v>0</v>
      </c>
      <c r="J9" s="53">
        <f t="shared" si="1"/>
        <v>0</v>
      </c>
      <c r="K9" s="53">
        <f t="shared" si="2"/>
        <v>3515.1920999999998</v>
      </c>
      <c r="L9" s="19">
        <v>3515.19</v>
      </c>
      <c r="M9" s="174">
        <f t="shared" si="3"/>
        <v>5643.7929000000022</v>
      </c>
      <c r="N9" s="65"/>
    </row>
    <row r="10" spans="1:16">
      <c r="A10" s="67">
        <v>7</v>
      </c>
      <c r="B10" s="306">
        <v>45695</v>
      </c>
      <c r="C10" s="19"/>
      <c r="D10" s="19"/>
      <c r="E10" s="53">
        <v>0</v>
      </c>
      <c r="F10" s="53">
        <v>0</v>
      </c>
      <c r="G10" s="53">
        <f t="shared" si="0"/>
        <v>0</v>
      </c>
      <c r="H10" s="53">
        <v>0</v>
      </c>
      <c r="I10" s="53">
        <v>0</v>
      </c>
      <c r="J10" s="53">
        <f t="shared" si="1"/>
        <v>0</v>
      </c>
      <c r="K10" s="53">
        <f t="shared" si="2"/>
        <v>0</v>
      </c>
      <c r="L10" s="19"/>
      <c r="M10" s="174">
        <f t="shared" si="3"/>
        <v>5643.7929000000022</v>
      </c>
      <c r="N10" s="65"/>
    </row>
    <row r="11" spans="1:16">
      <c r="A11" s="67">
        <v>8</v>
      </c>
      <c r="B11" s="306">
        <v>45696</v>
      </c>
      <c r="C11" s="19"/>
      <c r="D11" s="19"/>
      <c r="E11" s="53">
        <v>0</v>
      </c>
      <c r="F11" s="53">
        <v>0</v>
      </c>
      <c r="G11" s="53">
        <f t="shared" si="0"/>
        <v>0</v>
      </c>
      <c r="H11" s="53">
        <v>0</v>
      </c>
      <c r="I11" s="53">
        <v>0</v>
      </c>
      <c r="J11" s="53">
        <f t="shared" si="1"/>
        <v>0</v>
      </c>
      <c r="K11" s="53">
        <f t="shared" si="2"/>
        <v>0</v>
      </c>
      <c r="L11" s="19"/>
      <c r="M11" s="174">
        <f t="shared" si="3"/>
        <v>5643.7929000000022</v>
      </c>
      <c r="N11" s="65"/>
      <c r="P11" s="24"/>
    </row>
    <row r="12" spans="1:16">
      <c r="A12" s="67">
        <v>9</v>
      </c>
      <c r="B12" s="306">
        <v>45697</v>
      </c>
      <c r="C12" s="19"/>
      <c r="D12" s="19"/>
      <c r="E12" s="53">
        <v>44.51</v>
      </c>
      <c r="F12" s="53">
        <v>91.47</v>
      </c>
      <c r="G12" s="53">
        <f t="shared" si="0"/>
        <v>4071.3296999999998</v>
      </c>
      <c r="H12" s="53">
        <v>4.76</v>
      </c>
      <c r="I12" s="53">
        <v>105.04</v>
      </c>
      <c r="J12" s="53">
        <f t="shared" si="1"/>
        <v>499.99040000000002</v>
      </c>
      <c r="K12" s="53">
        <f t="shared" si="2"/>
        <v>4571.3200999999999</v>
      </c>
      <c r="L12" s="19">
        <v>4071.33</v>
      </c>
      <c r="M12" s="174">
        <f t="shared" si="3"/>
        <v>6143.7830000000013</v>
      </c>
      <c r="N12" s="65"/>
    </row>
    <row r="13" spans="1:16">
      <c r="A13" s="67">
        <v>10</v>
      </c>
      <c r="B13" s="306">
        <v>45698</v>
      </c>
      <c r="C13" s="19"/>
      <c r="D13" s="19"/>
      <c r="E13" s="53">
        <v>0</v>
      </c>
      <c r="F13" s="53">
        <v>0</v>
      </c>
      <c r="G13" s="53">
        <f t="shared" si="0"/>
        <v>0</v>
      </c>
      <c r="H13" s="53">
        <v>0</v>
      </c>
      <c r="I13" s="53">
        <v>0</v>
      </c>
      <c r="J13" s="53">
        <f t="shared" si="1"/>
        <v>0</v>
      </c>
      <c r="K13" s="53">
        <f t="shared" si="2"/>
        <v>0</v>
      </c>
      <c r="L13" s="19"/>
      <c r="M13" s="174">
        <f t="shared" si="3"/>
        <v>6143.7830000000013</v>
      </c>
      <c r="N13" s="65"/>
    </row>
    <row r="14" spans="1:16">
      <c r="A14" s="67">
        <v>11</v>
      </c>
      <c r="B14" s="306">
        <v>45699</v>
      </c>
      <c r="C14" s="19"/>
      <c r="D14" s="19"/>
      <c r="E14" s="53">
        <v>0</v>
      </c>
      <c r="F14" s="53">
        <v>91.47</v>
      </c>
      <c r="G14" s="53">
        <f t="shared" si="0"/>
        <v>0</v>
      </c>
      <c r="H14" s="53">
        <v>0</v>
      </c>
      <c r="I14" s="53">
        <v>0</v>
      </c>
      <c r="J14" s="53">
        <f t="shared" si="1"/>
        <v>0</v>
      </c>
      <c r="K14" s="53">
        <f t="shared" si="2"/>
        <v>0</v>
      </c>
      <c r="L14" s="19"/>
      <c r="M14" s="174">
        <f t="shared" si="3"/>
        <v>6143.7830000000013</v>
      </c>
      <c r="N14" s="65"/>
    </row>
    <row r="15" spans="1:16">
      <c r="A15" s="67">
        <v>12</v>
      </c>
      <c r="B15" s="306">
        <v>45700</v>
      </c>
      <c r="C15" s="19"/>
      <c r="D15" s="19"/>
      <c r="E15" s="53">
        <v>53.57</v>
      </c>
      <c r="F15" s="53">
        <v>91.47</v>
      </c>
      <c r="G15" s="53">
        <f t="shared" si="0"/>
        <v>4900.0478999999996</v>
      </c>
      <c r="H15" s="53">
        <v>0</v>
      </c>
      <c r="I15" s="53">
        <v>0</v>
      </c>
      <c r="J15" s="53">
        <f t="shared" si="1"/>
        <v>0</v>
      </c>
      <c r="K15" s="53">
        <f t="shared" si="2"/>
        <v>4900.0478999999996</v>
      </c>
      <c r="L15" s="19">
        <v>5351</v>
      </c>
      <c r="M15" s="174">
        <f>M14+K15-L15</f>
        <v>5692.8309000000008</v>
      </c>
      <c r="N15" s="65"/>
    </row>
    <row r="16" spans="1:16">
      <c r="A16" s="67">
        <v>13</v>
      </c>
      <c r="B16" s="306">
        <v>45701</v>
      </c>
      <c r="C16" s="19"/>
      <c r="D16" s="19"/>
      <c r="E16" s="53">
        <v>0</v>
      </c>
      <c r="F16" s="53">
        <v>91.47</v>
      </c>
      <c r="G16" s="53">
        <f t="shared" si="0"/>
        <v>0</v>
      </c>
      <c r="H16" s="53">
        <v>0</v>
      </c>
      <c r="I16" s="53">
        <v>0</v>
      </c>
      <c r="J16" s="53">
        <f t="shared" si="1"/>
        <v>0</v>
      </c>
      <c r="K16" s="53">
        <f t="shared" si="2"/>
        <v>0</v>
      </c>
      <c r="L16" s="19"/>
      <c r="M16" s="174">
        <f t="shared" si="3"/>
        <v>5692.8309000000008</v>
      </c>
      <c r="N16" s="65"/>
    </row>
    <row r="17" spans="1:14">
      <c r="A17" s="67">
        <v>14</v>
      </c>
      <c r="B17" s="306">
        <v>45702</v>
      </c>
      <c r="C17" s="19"/>
      <c r="D17" s="19"/>
      <c r="E17" s="53">
        <v>0</v>
      </c>
      <c r="F17" s="53">
        <v>91.47</v>
      </c>
      <c r="G17" s="53">
        <f t="shared" si="0"/>
        <v>0</v>
      </c>
      <c r="H17" s="53">
        <v>0</v>
      </c>
      <c r="I17" s="53">
        <v>0</v>
      </c>
      <c r="J17" s="53">
        <f t="shared" si="1"/>
        <v>0</v>
      </c>
      <c r="K17" s="53">
        <f t="shared" si="2"/>
        <v>0</v>
      </c>
      <c r="L17" s="19"/>
      <c r="M17" s="174">
        <f t="shared" si="3"/>
        <v>5692.8309000000008</v>
      </c>
      <c r="N17" s="65"/>
    </row>
    <row r="18" spans="1:14">
      <c r="A18" s="67">
        <v>15</v>
      </c>
      <c r="B18" s="306">
        <v>45703</v>
      </c>
      <c r="C18" s="19"/>
      <c r="D18" s="19"/>
      <c r="E18" s="53">
        <v>0</v>
      </c>
      <c r="F18" s="53">
        <v>91.47</v>
      </c>
      <c r="G18" s="53">
        <f t="shared" si="0"/>
        <v>0</v>
      </c>
      <c r="H18" s="53">
        <v>0</v>
      </c>
      <c r="I18" s="53">
        <v>0</v>
      </c>
      <c r="J18" s="53">
        <f t="shared" si="1"/>
        <v>0</v>
      </c>
      <c r="K18" s="53">
        <f t="shared" si="2"/>
        <v>0</v>
      </c>
      <c r="L18" s="19"/>
      <c r="M18" s="174">
        <f t="shared" si="3"/>
        <v>5692.8309000000008</v>
      </c>
      <c r="N18" s="65"/>
    </row>
    <row r="19" spans="1:14">
      <c r="A19" s="67">
        <v>16</v>
      </c>
      <c r="B19" s="306">
        <v>45704</v>
      </c>
      <c r="C19" s="19"/>
      <c r="D19" s="19"/>
      <c r="E19" s="53">
        <v>0</v>
      </c>
      <c r="F19" s="53">
        <v>91.47</v>
      </c>
      <c r="G19" s="53">
        <f t="shared" si="0"/>
        <v>0</v>
      </c>
      <c r="H19" s="53">
        <v>0</v>
      </c>
      <c r="I19" s="53">
        <v>0</v>
      </c>
      <c r="J19" s="53">
        <f t="shared" si="1"/>
        <v>0</v>
      </c>
      <c r="K19" s="53">
        <f t="shared" si="2"/>
        <v>0</v>
      </c>
      <c r="L19" s="19"/>
      <c r="M19" s="174">
        <f t="shared" si="3"/>
        <v>5692.8309000000008</v>
      </c>
      <c r="N19" s="65"/>
    </row>
    <row r="20" spans="1:14">
      <c r="A20" s="67">
        <v>17</v>
      </c>
      <c r="B20" s="306">
        <v>45705</v>
      </c>
      <c r="C20" s="19"/>
      <c r="D20" s="19"/>
      <c r="E20" s="53">
        <v>33.75</v>
      </c>
      <c r="F20" s="53">
        <v>91.47</v>
      </c>
      <c r="G20" s="53">
        <f t="shared" si="0"/>
        <v>3087.1125000000002</v>
      </c>
      <c r="H20" s="53">
        <v>0</v>
      </c>
      <c r="I20" s="53">
        <v>0</v>
      </c>
      <c r="J20" s="53">
        <f t="shared" si="1"/>
        <v>0</v>
      </c>
      <c r="K20" s="53">
        <f t="shared" si="2"/>
        <v>3087.1125000000002</v>
      </c>
      <c r="L20" s="19"/>
      <c r="M20" s="174">
        <f t="shared" si="3"/>
        <v>8779.9434000000001</v>
      </c>
      <c r="N20" s="65"/>
    </row>
    <row r="21" spans="1:14">
      <c r="A21" s="67">
        <v>18</v>
      </c>
      <c r="B21" s="306">
        <v>45706</v>
      </c>
      <c r="C21" s="19"/>
      <c r="D21" s="19"/>
      <c r="E21" s="53">
        <v>0</v>
      </c>
      <c r="F21" s="53">
        <v>0</v>
      </c>
      <c r="G21" s="53">
        <f t="shared" si="0"/>
        <v>0</v>
      </c>
      <c r="H21" s="53">
        <v>0</v>
      </c>
      <c r="I21" s="53">
        <v>0</v>
      </c>
      <c r="J21" s="53">
        <f t="shared" si="1"/>
        <v>0</v>
      </c>
      <c r="K21" s="53">
        <f t="shared" si="2"/>
        <v>0</v>
      </c>
      <c r="L21" s="19"/>
      <c r="M21" s="174">
        <f t="shared" si="3"/>
        <v>8779.9434000000001</v>
      </c>
      <c r="N21" s="65"/>
    </row>
    <row r="22" spans="1:14">
      <c r="A22" s="67">
        <v>19</v>
      </c>
      <c r="B22" s="306">
        <v>45707</v>
      </c>
      <c r="C22" s="19"/>
      <c r="D22" s="19"/>
      <c r="E22" s="53">
        <v>39.92</v>
      </c>
      <c r="F22" s="53">
        <v>91.47</v>
      </c>
      <c r="G22" s="53">
        <f t="shared" si="0"/>
        <v>3651.4824000000003</v>
      </c>
      <c r="H22" s="53">
        <v>14.2</v>
      </c>
      <c r="I22" s="53">
        <v>104.95</v>
      </c>
      <c r="J22" s="53">
        <f t="shared" si="1"/>
        <v>1490.29</v>
      </c>
      <c r="K22" s="53">
        <f t="shared" si="2"/>
        <v>5141.7723999999998</v>
      </c>
      <c r="L22" s="19">
        <v>7139.93</v>
      </c>
      <c r="M22" s="174">
        <f t="shared" si="3"/>
        <v>6781.7857999999997</v>
      </c>
      <c r="N22" s="65"/>
    </row>
    <row r="23" spans="1:14">
      <c r="A23" s="67">
        <v>20</v>
      </c>
      <c r="B23" s="306">
        <v>45708</v>
      </c>
      <c r="C23" s="19"/>
      <c r="D23" s="19"/>
      <c r="E23" s="53">
        <v>0</v>
      </c>
      <c r="F23" s="53">
        <v>0</v>
      </c>
      <c r="G23" s="53">
        <f t="shared" si="0"/>
        <v>0</v>
      </c>
      <c r="H23" s="53">
        <v>0</v>
      </c>
      <c r="I23" s="53">
        <v>0</v>
      </c>
      <c r="J23" s="53">
        <f t="shared" si="1"/>
        <v>0</v>
      </c>
      <c r="K23" s="53">
        <f t="shared" si="2"/>
        <v>0</v>
      </c>
      <c r="L23" s="19"/>
      <c r="M23" s="174">
        <f t="shared" si="3"/>
        <v>6781.7857999999997</v>
      </c>
      <c r="N23" s="65"/>
    </row>
    <row r="24" spans="1:14">
      <c r="A24" s="67">
        <v>21</v>
      </c>
      <c r="B24" s="306">
        <v>45709</v>
      </c>
      <c r="C24" s="19"/>
      <c r="D24" s="19"/>
      <c r="E24" s="53">
        <v>38.82</v>
      </c>
      <c r="F24" s="53">
        <v>91.47</v>
      </c>
      <c r="G24" s="53">
        <f t="shared" si="0"/>
        <v>3550.8654000000001</v>
      </c>
      <c r="H24" s="53">
        <v>0</v>
      </c>
      <c r="I24" s="53">
        <v>0</v>
      </c>
      <c r="J24" s="53">
        <f t="shared" si="1"/>
        <v>0</v>
      </c>
      <c r="K24" s="53">
        <f t="shared" si="2"/>
        <v>3550.8654000000001</v>
      </c>
      <c r="L24" s="19"/>
      <c r="M24" s="174">
        <f t="shared" si="3"/>
        <v>10332.6512</v>
      </c>
      <c r="N24" s="65"/>
    </row>
    <row r="25" spans="1:14">
      <c r="A25" s="67">
        <v>22</v>
      </c>
      <c r="B25" s="306">
        <v>45710</v>
      </c>
      <c r="C25" s="19"/>
      <c r="D25" s="19"/>
      <c r="E25" s="53">
        <v>0</v>
      </c>
      <c r="F25" s="53">
        <v>0</v>
      </c>
      <c r="G25" s="53">
        <f t="shared" si="0"/>
        <v>0</v>
      </c>
      <c r="H25" s="53">
        <v>0</v>
      </c>
      <c r="I25" s="53">
        <v>0</v>
      </c>
      <c r="J25" s="53">
        <f t="shared" si="1"/>
        <v>0</v>
      </c>
      <c r="K25" s="53">
        <f t="shared" si="2"/>
        <v>0</v>
      </c>
      <c r="L25" s="19"/>
      <c r="M25" s="174">
        <f t="shared" si="3"/>
        <v>10332.6512</v>
      </c>
      <c r="N25" s="65"/>
    </row>
    <row r="26" spans="1:14">
      <c r="A26" s="67">
        <v>23</v>
      </c>
      <c r="B26" s="306">
        <v>45711</v>
      </c>
      <c r="C26" s="19"/>
      <c r="D26" s="19"/>
      <c r="E26" s="53">
        <v>0</v>
      </c>
      <c r="F26" s="53">
        <v>0</v>
      </c>
      <c r="G26" s="53">
        <f t="shared" si="0"/>
        <v>0</v>
      </c>
      <c r="H26" s="53">
        <v>9.25</v>
      </c>
      <c r="I26" s="53">
        <v>104.95</v>
      </c>
      <c r="J26" s="53">
        <f t="shared" si="1"/>
        <v>970.78750000000002</v>
      </c>
      <c r="K26" s="53">
        <f t="shared" si="2"/>
        <v>970.78750000000002</v>
      </c>
      <c r="L26" s="53">
        <v>5000</v>
      </c>
      <c r="M26" s="174">
        <f t="shared" si="3"/>
        <v>6303.4387000000006</v>
      </c>
      <c r="N26" s="65"/>
    </row>
    <row r="27" spans="1:14">
      <c r="A27" s="67">
        <v>24</v>
      </c>
      <c r="B27" s="306">
        <v>45712</v>
      </c>
      <c r="C27" s="19"/>
      <c r="D27" s="19"/>
      <c r="E27" s="53">
        <v>38.270000000000003</v>
      </c>
      <c r="F27" s="53">
        <v>91.47</v>
      </c>
      <c r="G27" s="53">
        <f t="shared" si="0"/>
        <v>3500.5569</v>
      </c>
      <c r="H27" s="53">
        <v>0</v>
      </c>
      <c r="I27" s="53">
        <v>0</v>
      </c>
      <c r="J27" s="53">
        <f t="shared" si="1"/>
        <v>0</v>
      </c>
      <c r="K27" s="53">
        <f t="shared" si="2"/>
        <v>3500.5569</v>
      </c>
      <c r="L27" s="19">
        <v>3500.55</v>
      </c>
      <c r="M27" s="174">
        <f t="shared" si="3"/>
        <v>6303.4456</v>
      </c>
      <c r="N27" s="65"/>
    </row>
    <row r="28" spans="1:14">
      <c r="A28" s="67">
        <v>25</v>
      </c>
      <c r="B28" s="306">
        <v>45713</v>
      </c>
      <c r="C28" s="19"/>
      <c r="D28" s="19"/>
      <c r="E28" s="53">
        <v>35.65</v>
      </c>
      <c r="F28" s="53">
        <v>91.47</v>
      </c>
      <c r="G28" s="53">
        <f t="shared" si="0"/>
        <v>3260.9054999999998</v>
      </c>
      <c r="H28" s="53">
        <v>0</v>
      </c>
      <c r="I28" s="53">
        <v>0</v>
      </c>
      <c r="J28" s="53">
        <f t="shared" si="1"/>
        <v>0</v>
      </c>
      <c r="K28" s="53">
        <f t="shared" si="2"/>
        <v>3260.9054999999998</v>
      </c>
      <c r="L28" s="19">
        <v>3260.19</v>
      </c>
      <c r="M28" s="174">
        <f>M27+K28-L28</f>
        <v>6304.1610999999994</v>
      </c>
      <c r="N28" s="65"/>
    </row>
    <row r="29" spans="1:14">
      <c r="A29" s="67">
        <v>26</v>
      </c>
      <c r="B29" s="306">
        <v>45714</v>
      </c>
      <c r="C29" s="19"/>
      <c r="D29" s="19"/>
      <c r="E29" s="53">
        <v>0</v>
      </c>
      <c r="F29" s="53">
        <v>0</v>
      </c>
      <c r="G29" s="53">
        <f t="shared" si="0"/>
        <v>0</v>
      </c>
      <c r="H29" s="53">
        <v>0</v>
      </c>
      <c r="I29" s="53">
        <v>0</v>
      </c>
      <c r="J29" s="53">
        <f t="shared" si="1"/>
        <v>0</v>
      </c>
      <c r="K29" s="53">
        <f t="shared" si="2"/>
        <v>0</v>
      </c>
      <c r="L29" s="19"/>
      <c r="M29" s="174">
        <f t="shared" si="3"/>
        <v>6304.1610999999994</v>
      </c>
      <c r="N29" s="65"/>
    </row>
    <row r="30" spans="1:14">
      <c r="A30" s="67">
        <v>27</v>
      </c>
      <c r="B30" s="306">
        <v>45715</v>
      </c>
      <c r="C30" s="19"/>
      <c r="D30" s="19"/>
      <c r="E30" s="53">
        <v>0</v>
      </c>
      <c r="F30" s="53">
        <v>0</v>
      </c>
      <c r="G30" s="53">
        <f t="shared" si="0"/>
        <v>0</v>
      </c>
      <c r="H30" s="53">
        <v>0</v>
      </c>
      <c r="I30" s="53">
        <v>0</v>
      </c>
      <c r="J30" s="53">
        <f t="shared" si="1"/>
        <v>0</v>
      </c>
      <c r="K30" s="53">
        <f t="shared" si="2"/>
        <v>0</v>
      </c>
      <c r="L30" s="19"/>
      <c r="M30" s="174"/>
      <c r="N30" s="65"/>
    </row>
    <row r="31" spans="1:14">
      <c r="A31" s="67">
        <v>28</v>
      </c>
      <c r="B31" s="306">
        <v>45716</v>
      </c>
      <c r="C31" s="19"/>
      <c r="D31" s="19"/>
      <c r="E31" s="53">
        <v>0</v>
      </c>
      <c r="F31" s="53">
        <v>0</v>
      </c>
      <c r="G31" s="53">
        <f t="shared" si="0"/>
        <v>0</v>
      </c>
      <c r="H31" s="53">
        <v>0</v>
      </c>
      <c r="I31" s="53">
        <v>0</v>
      </c>
      <c r="J31" s="53">
        <f t="shared" si="1"/>
        <v>0</v>
      </c>
      <c r="K31" s="53">
        <f t="shared" si="2"/>
        <v>0</v>
      </c>
      <c r="L31" s="19"/>
      <c r="M31" s="174"/>
      <c r="N31" s="65"/>
    </row>
    <row r="32" spans="1:14">
      <c r="A32" s="252"/>
      <c r="B32" s="252"/>
      <c r="C32" s="252"/>
      <c r="D32" s="252"/>
      <c r="E32" s="252">
        <f>SUM(E4:E31)</f>
        <v>364.12999999999994</v>
      </c>
      <c r="F32" s="252"/>
      <c r="G32" s="252">
        <f>SUM(G4:G31)</f>
        <v>33306.971099999995</v>
      </c>
      <c r="H32" s="252">
        <f>SUM(H4:H31)</f>
        <v>28.21</v>
      </c>
      <c r="I32" s="252"/>
      <c r="J32" s="252">
        <f>SUM(J4:J31)</f>
        <v>2961.0679</v>
      </c>
      <c r="K32" s="252">
        <f>SUM(K4:K31)</f>
        <v>36268.038999999997</v>
      </c>
      <c r="L32" s="252">
        <f>SUM(L4:L31)</f>
        <v>32752.89</v>
      </c>
      <c r="M32" s="252"/>
      <c r="N32" s="252"/>
    </row>
  </sheetData>
  <mergeCells count="2">
    <mergeCell ref="A1:N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A100-07E3-416A-BF7C-CE04F1ED59AD}">
  <dimension ref="A1:N38"/>
  <sheetViews>
    <sheetView tabSelected="1" workbookViewId="0">
      <pane ySplit="1" topLeftCell="A15" activePane="bottomLeft" state="frozen"/>
      <selection pane="bottomLeft" activeCell="F37" sqref="F37"/>
    </sheetView>
  </sheetViews>
  <sheetFormatPr defaultRowHeight="15"/>
  <cols>
    <col min="2" max="2" width="5" bestFit="1" customWidth="1"/>
    <col min="3" max="3" width="23.42578125" customWidth="1"/>
    <col min="4" max="4" width="32.42578125" customWidth="1"/>
    <col min="5" max="5" width="13.85546875" style="24" customWidth="1"/>
    <col min="6" max="6" width="15.42578125" style="24" customWidth="1"/>
    <col min="7" max="7" width="14.85546875" style="24" customWidth="1"/>
    <col min="8" max="8" width="15" style="24" customWidth="1"/>
    <col min="9" max="9" width="13.5703125" style="24" customWidth="1"/>
    <col min="10" max="10" width="16.5703125" style="24" customWidth="1"/>
    <col min="11" max="11" width="13" style="24" customWidth="1"/>
    <col min="12" max="12" width="22" style="24" customWidth="1"/>
    <col min="14" max="14" width="14.28515625" customWidth="1"/>
  </cols>
  <sheetData>
    <row r="1" spans="1:14" ht="26.25" customHeight="1">
      <c r="B1" s="406" t="s">
        <v>73</v>
      </c>
      <c r="C1" s="407" t="s">
        <v>74</v>
      </c>
      <c r="D1" s="407" t="s">
        <v>75</v>
      </c>
      <c r="E1" s="408" t="s">
        <v>76</v>
      </c>
      <c r="F1" s="408" t="s">
        <v>77</v>
      </c>
      <c r="G1" s="408" t="s">
        <v>78</v>
      </c>
      <c r="H1" s="408" t="s">
        <v>79</v>
      </c>
      <c r="I1" s="408" t="s">
        <v>80</v>
      </c>
      <c r="J1" s="408" t="s">
        <v>81</v>
      </c>
      <c r="K1" s="408" t="s">
        <v>82</v>
      </c>
      <c r="L1" s="409" t="s">
        <v>83</v>
      </c>
    </row>
    <row r="2" spans="1:14">
      <c r="B2" s="473">
        <v>1</v>
      </c>
      <c r="C2" s="474" t="s">
        <v>84</v>
      </c>
      <c r="D2" s="474" t="s">
        <v>15</v>
      </c>
      <c r="E2" s="474">
        <v>46155.360000000001</v>
      </c>
      <c r="F2" s="474">
        <v>4417991.0592</v>
      </c>
      <c r="G2" s="474">
        <v>270</v>
      </c>
      <c r="H2" s="474">
        <v>29025</v>
      </c>
      <c r="I2" s="474">
        <f>F2+H2</f>
        <v>4447016.0592</v>
      </c>
      <c r="J2" s="474">
        <v>2366214.696</v>
      </c>
      <c r="K2" s="474">
        <v>3500000</v>
      </c>
      <c r="L2" s="474">
        <f>I2+J2-K2</f>
        <v>3313230.7552000005</v>
      </c>
    </row>
    <row r="3" spans="1:14">
      <c r="A3">
        <v>444</v>
      </c>
      <c r="B3" s="473">
        <v>2</v>
      </c>
      <c r="C3" s="474" t="s">
        <v>85</v>
      </c>
      <c r="D3" s="474" t="s">
        <v>26</v>
      </c>
      <c r="E3" s="474">
        <v>73239.040000000008</v>
      </c>
      <c r="F3" s="474">
        <v>7007511.3472000007</v>
      </c>
      <c r="G3" s="474">
        <v>828.21</v>
      </c>
      <c r="H3" s="474">
        <v>88999.446599999996</v>
      </c>
      <c r="I3" s="474">
        <f>F3+H3</f>
        <v>7096510.793800001</v>
      </c>
      <c r="J3" s="474">
        <v>2584221.6967999996</v>
      </c>
      <c r="K3" s="474">
        <v>4500000</v>
      </c>
      <c r="L3" s="474">
        <f>I3+J3-K3</f>
        <v>5180732.4906000011</v>
      </c>
    </row>
    <row r="4" spans="1:14">
      <c r="B4" s="473">
        <v>3</v>
      </c>
      <c r="C4" s="474" t="s">
        <v>86</v>
      </c>
      <c r="D4" s="474" t="s">
        <v>50</v>
      </c>
      <c r="E4" s="474">
        <v>26096.3</v>
      </c>
      <c r="F4" s="474">
        <v>2516205.2460000003</v>
      </c>
      <c r="G4" s="474">
        <v>560.48</v>
      </c>
      <c r="H4" s="474">
        <v>60660.750400000012</v>
      </c>
      <c r="I4" s="474">
        <f>F4+H4</f>
        <v>2576865.9964000001</v>
      </c>
      <c r="J4" s="474">
        <v>2681905.7200000007</v>
      </c>
      <c r="K4" s="474">
        <v>3000000</v>
      </c>
      <c r="L4" s="475">
        <f>I4+J4-K4</f>
        <v>2258771.7164000012</v>
      </c>
      <c r="N4">
        <v>2689635.6486</v>
      </c>
    </row>
    <row r="5" spans="1:14">
      <c r="B5" s="473">
        <v>4</v>
      </c>
      <c r="C5" s="474" t="s">
        <v>87</v>
      </c>
      <c r="D5" s="474" t="s">
        <v>52</v>
      </c>
      <c r="E5" s="474">
        <v>22040.95</v>
      </c>
      <c r="F5" s="474">
        <v>2122763.8945000004</v>
      </c>
      <c r="G5" s="474">
        <v>60</v>
      </c>
      <c r="H5" s="474">
        <v>6487.2000000000007</v>
      </c>
      <c r="I5" s="474">
        <f>F5+H5</f>
        <v>2129251.0945000006</v>
      </c>
      <c r="J5" s="474">
        <v>2458844.9030999998</v>
      </c>
      <c r="K5" s="474">
        <v>2300000</v>
      </c>
      <c r="L5" s="476">
        <f>I5+J5-K5</f>
        <v>2288095.9976000004</v>
      </c>
    </row>
    <row r="6" spans="1:14" ht="14.25" customHeight="1">
      <c r="B6" s="473">
        <v>5</v>
      </c>
      <c r="C6" s="474" t="s">
        <v>88</v>
      </c>
      <c r="D6" s="474" t="s">
        <v>53</v>
      </c>
      <c r="E6" s="474">
        <v>28173.919999999998</v>
      </c>
      <c r="F6" s="474">
        <v>2708358.9295999999</v>
      </c>
      <c r="G6" s="474">
        <v>0</v>
      </c>
      <c r="H6" s="474">
        <v>0</v>
      </c>
      <c r="I6" s="474">
        <f>F6+H6</f>
        <v>2708358.9295999999</v>
      </c>
      <c r="J6" s="474">
        <v>0</v>
      </c>
      <c r="K6" s="474">
        <v>0</v>
      </c>
      <c r="L6" s="474">
        <f>I6+J6-K6</f>
        <v>2708358.9295999999</v>
      </c>
    </row>
    <row r="7" spans="1:14">
      <c r="B7" s="473">
        <v>6</v>
      </c>
      <c r="C7" s="474" t="s">
        <v>89</v>
      </c>
      <c r="D7" s="474" t="s">
        <v>90</v>
      </c>
      <c r="E7" s="474">
        <v>9942.8700000000008</v>
      </c>
      <c r="F7" s="474">
        <v>958094.95319999999</v>
      </c>
      <c r="G7" s="474">
        <v>120</v>
      </c>
      <c r="H7" s="474">
        <v>12970.400000000003</v>
      </c>
      <c r="I7" s="474">
        <f>F7+H7</f>
        <v>971065.35320000001</v>
      </c>
      <c r="J7" s="474"/>
      <c r="K7" s="474">
        <v>305000</v>
      </c>
      <c r="L7" s="476">
        <f>I7+J7-K7</f>
        <v>666065.35320000001</v>
      </c>
      <c r="N7" s="24"/>
    </row>
    <row r="8" spans="1:14">
      <c r="B8" s="473">
        <v>7</v>
      </c>
      <c r="C8" s="474" t="s">
        <v>91</v>
      </c>
      <c r="D8" s="474" t="s">
        <v>0</v>
      </c>
      <c r="E8" s="474">
        <v>9300</v>
      </c>
      <c r="F8" s="474">
        <v>830397</v>
      </c>
      <c r="G8" s="474">
        <v>520</v>
      </c>
      <c r="H8" s="474">
        <v>53684.799999999996</v>
      </c>
      <c r="I8" s="474">
        <f>F8+H8</f>
        <v>884081.8</v>
      </c>
      <c r="J8" s="474">
        <v>139097.51000000007</v>
      </c>
      <c r="K8" s="474">
        <v>630331</v>
      </c>
      <c r="L8" s="474">
        <f>I8+J8-K8</f>
        <v>392848.31000000006</v>
      </c>
    </row>
    <row r="9" spans="1:14">
      <c r="B9" s="473">
        <v>8</v>
      </c>
      <c r="C9" s="474" t="s">
        <v>92</v>
      </c>
      <c r="D9" s="474" t="s">
        <v>56</v>
      </c>
      <c r="E9" s="474">
        <v>8068.37</v>
      </c>
      <c r="F9" s="474">
        <v>724378.25859999994</v>
      </c>
      <c r="G9" s="474">
        <v>264.21000000000004</v>
      </c>
      <c r="H9" s="474">
        <v>27477.84</v>
      </c>
      <c r="I9" s="474">
        <f>F9+H9</f>
        <v>751856.09859999991</v>
      </c>
      <c r="J9" s="474">
        <v>99999.121800000023</v>
      </c>
      <c r="K9" s="474">
        <v>500000</v>
      </c>
      <c r="L9" s="474">
        <f>I9+J9-K9</f>
        <v>351855.22039999999</v>
      </c>
    </row>
    <row r="10" spans="1:14">
      <c r="B10" s="473">
        <v>9</v>
      </c>
      <c r="C10" s="474" t="s">
        <v>93</v>
      </c>
      <c r="D10" s="474" t="s">
        <v>69</v>
      </c>
      <c r="E10" s="474">
        <v>4381.79</v>
      </c>
      <c r="F10" s="474">
        <v>395368.9117</v>
      </c>
      <c r="G10" s="474">
        <v>140</v>
      </c>
      <c r="H10" s="474">
        <v>14579.6</v>
      </c>
      <c r="I10" s="474">
        <f>F10+H10</f>
        <v>409948.51169999997</v>
      </c>
      <c r="J10" s="474">
        <v>19999.479700000004</v>
      </c>
      <c r="K10" s="474">
        <v>319137.48</v>
      </c>
      <c r="L10" s="474">
        <f>I10+J10-K10</f>
        <v>110810.51140000002</v>
      </c>
    </row>
    <row r="11" spans="1:14">
      <c r="B11" s="473">
        <v>10</v>
      </c>
      <c r="C11" s="474" t="s">
        <v>94</v>
      </c>
      <c r="D11" s="474" t="s">
        <v>55</v>
      </c>
      <c r="E11" s="474">
        <v>6000</v>
      </c>
      <c r="F11" s="474">
        <v>540900</v>
      </c>
      <c r="G11" s="474">
        <v>210</v>
      </c>
      <c r="H11" s="474">
        <v>21896.7</v>
      </c>
      <c r="I11" s="474">
        <f>F11+H11</f>
        <v>562796.69999999995</v>
      </c>
      <c r="J11" s="474">
        <v>580147.40999999992</v>
      </c>
      <c r="K11" s="474">
        <v>0</v>
      </c>
      <c r="L11" s="474">
        <f>I11+J11-K11</f>
        <v>1142944.1099999999</v>
      </c>
    </row>
    <row r="12" spans="1:14">
      <c r="B12" s="473">
        <v>11</v>
      </c>
      <c r="C12" s="474" t="s">
        <v>95</v>
      </c>
      <c r="D12" s="474" t="s">
        <v>96</v>
      </c>
      <c r="E12" s="474">
        <v>4000</v>
      </c>
      <c r="F12" s="474">
        <v>360960</v>
      </c>
      <c r="G12" s="474">
        <v>280</v>
      </c>
      <c r="H12" s="474">
        <v>29159.200000000001</v>
      </c>
      <c r="I12" s="474">
        <f>F12+H12</f>
        <v>390119.2</v>
      </c>
      <c r="J12" s="474">
        <v>0</v>
      </c>
      <c r="K12" s="474">
        <v>251115</v>
      </c>
      <c r="L12" s="474">
        <f>I12+J12-K12</f>
        <v>139004.20000000001</v>
      </c>
    </row>
    <row r="13" spans="1:14">
      <c r="B13" s="473">
        <v>12</v>
      </c>
      <c r="C13" s="474" t="s">
        <v>97</v>
      </c>
      <c r="D13" s="474" t="s">
        <v>68</v>
      </c>
      <c r="E13" s="474">
        <v>3055</v>
      </c>
      <c r="F13" s="474">
        <v>275652.65000000002</v>
      </c>
      <c r="G13" s="474">
        <v>118</v>
      </c>
      <c r="H13" s="474">
        <v>12287.339999999998</v>
      </c>
      <c r="I13" s="474">
        <f>F13+H13</f>
        <v>287939.99000000005</v>
      </c>
      <c r="J13" s="474">
        <v>0</v>
      </c>
      <c r="K13" s="474">
        <v>287939.99</v>
      </c>
      <c r="L13" s="474">
        <f>I13+J13-K13</f>
        <v>0</v>
      </c>
    </row>
    <row r="14" spans="1:14">
      <c r="B14" s="473">
        <v>13</v>
      </c>
      <c r="C14" s="474" t="s">
        <v>98</v>
      </c>
      <c r="D14" s="474" t="s">
        <v>99</v>
      </c>
      <c r="E14" s="474">
        <v>2527.9899999999998</v>
      </c>
      <c r="F14" s="474">
        <v>225648.38739999998</v>
      </c>
      <c r="G14" s="474">
        <v>59.1</v>
      </c>
      <c r="H14" s="474">
        <v>5325.4572000000007</v>
      </c>
      <c r="I14" s="474">
        <f>F14+H14</f>
        <v>230973.84459999998</v>
      </c>
      <c r="J14" s="474">
        <v>56200.690600000016</v>
      </c>
      <c r="K14" s="474">
        <v>230973.78</v>
      </c>
      <c r="L14" s="474">
        <f>I14+J14-K14</f>
        <v>56200.755199999985</v>
      </c>
    </row>
    <row r="15" spans="1:14">
      <c r="B15" s="473">
        <v>14</v>
      </c>
      <c r="C15" s="474" t="s">
        <v>100</v>
      </c>
      <c r="D15" s="474" t="s">
        <v>101</v>
      </c>
      <c r="E15" s="474">
        <v>1255.95</v>
      </c>
      <c r="F15" s="474">
        <v>111641.3955</v>
      </c>
      <c r="G15" s="474">
        <v>62.739999999999995</v>
      </c>
      <c r="H15" s="474">
        <v>5495.1118999999999</v>
      </c>
      <c r="I15" s="474">
        <f>F15+H15</f>
        <v>117136.5074</v>
      </c>
      <c r="J15" s="474">
        <v>50338.907800000001</v>
      </c>
      <c r="K15" s="474">
        <v>167475.41749999998</v>
      </c>
      <c r="L15" s="474">
        <f>I15+J15-K15</f>
        <v>-2.2999999928288162E-3</v>
      </c>
    </row>
    <row r="16" spans="1:14">
      <c r="B16" s="473">
        <v>15</v>
      </c>
      <c r="C16" s="474" t="s">
        <v>102</v>
      </c>
      <c r="D16" s="474" t="s">
        <v>103</v>
      </c>
      <c r="E16" s="474">
        <v>2480.9899999999998</v>
      </c>
      <c r="F16" s="474">
        <v>223065.81</v>
      </c>
      <c r="G16" s="474">
        <v>158</v>
      </c>
      <c r="H16" s="474">
        <v>16414.62</v>
      </c>
      <c r="I16" s="474">
        <f>F16+H16</f>
        <v>239480.43</v>
      </c>
      <c r="J16" s="474">
        <v>451551.43250000005</v>
      </c>
      <c r="K16" s="474">
        <v>451551.43</v>
      </c>
      <c r="L16" s="474">
        <f>I16+J16-K16</f>
        <v>239480.43250000005</v>
      </c>
    </row>
    <row r="17" spans="2:12">
      <c r="B17" s="473">
        <v>16</v>
      </c>
      <c r="C17" s="474" t="s">
        <v>104</v>
      </c>
      <c r="D17" s="474" t="s">
        <v>105</v>
      </c>
      <c r="E17" s="474">
        <v>200</v>
      </c>
      <c r="F17" s="474">
        <v>17916</v>
      </c>
      <c r="G17" s="474">
        <v>11.53</v>
      </c>
      <c r="H17" s="474">
        <v>1193.7008999999998</v>
      </c>
      <c r="I17" s="474">
        <f>F17+H17</f>
        <v>19109.7009</v>
      </c>
      <c r="J17" s="474">
        <v>0</v>
      </c>
      <c r="K17" s="474">
        <v>19109.7009</v>
      </c>
      <c r="L17" s="474">
        <f>I17+J17-K17</f>
        <v>0</v>
      </c>
    </row>
    <row r="18" spans="2:12">
      <c r="B18" s="473">
        <v>17</v>
      </c>
      <c r="C18" s="474" t="s">
        <v>106</v>
      </c>
      <c r="D18" s="474" t="s">
        <v>107</v>
      </c>
      <c r="E18" s="474">
        <v>343.21</v>
      </c>
      <c r="F18" s="474">
        <v>30803.0975</v>
      </c>
      <c r="G18" s="474">
        <v>37.049999999999997</v>
      </c>
      <c r="H18" s="474">
        <v>3843.0964999999997</v>
      </c>
      <c r="I18" s="474">
        <f>F18+H18</f>
        <v>34646.194000000003</v>
      </c>
      <c r="J18" s="474">
        <v>128790.07749999997</v>
      </c>
      <c r="K18" s="474">
        <v>130000</v>
      </c>
      <c r="L18" s="474">
        <f>I18+J18-K18</f>
        <v>33436.271499999973</v>
      </c>
    </row>
    <row r="19" spans="2:12">
      <c r="B19" s="473">
        <v>18</v>
      </c>
      <c r="C19" s="474" t="s">
        <v>108</v>
      </c>
      <c r="D19" s="474" t="s">
        <v>109</v>
      </c>
      <c r="E19" s="474">
        <v>1251.8699999999999</v>
      </c>
      <c r="F19" s="474">
        <v>112543.11299999998</v>
      </c>
      <c r="G19" s="474">
        <v>64</v>
      </c>
      <c r="H19" s="474">
        <v>6653.4399999999987</v>
      </c>
      <c r="I19" s="474">
        <f>F19+H19</f>
        <v>119196.55299999999</v>
      </c>
      <c r="J19" s="474"/>
      <c r="K19" s="474">
        <v>119196.55299999999</v>
      </c>
      <c r="L19" s="474">
        <f>I19+J19-K19</f>
        <v>0</v>
      </c>
    </row>
    <row r="20" spans="2:12">
      <c r="B20" s="473">
        <v>19</v>
      </c>
      <c r="C20" s="474" t="s">
        <v>110</v>
      </c>
      <c r="D20" s="474" t="s">
        <v>72</v>
      </c>
      <c r="E20" s="474">
        <v>364.12999999999994</v>
      </c>
      <c r="F20" s="474">
        <v>33306.971099999995</v>
      </c>
      <c r="G20" s="474">
        <v>28.21</v>
      </c>
      <c r="H20" s="474">
        <v>2961.0679</v>
      </c>
      <c r="I20" s="474">
        <f>F20+H20</f>
        <v>36268.038999999997</v>
      </c>
      <c r="J20" s="474">
        <v>2789.0121000000026</v>
      </c>
      <c r="K20" s="474">
        <v>32752.89</v>
      </c>
      <c r="L20" s="474">
        <f>I20+J20-K20</f>
        <v>6304.1610999999975</v>
      </c>
    </row>
    <row r="21" spans="2:12">
      <c r="B21" s="473">
        <v>20</v>
      </c>
      <c r="C21" s="474" t="s">
        <v>111</v>
      </c>
      <c r="D21" s="474" t="s">
        <v>112</v>
      </c>
      <c r="E21" s="474">
        <v>24700</v>
      </c>
      <c r="F21" s="474">
        <v>2251158</v>
      </c>
      <c r="G21" s="474">
        <v>110</v>
      </c>
      <c r="H21" s="474">
        <v>11506</v>
      </c>
      <c r="I21" s="474">
        <f>F21+H21</f>
        <v>2262664</v>
      </c>
      <c r="J21" s="474">
        <v>1444438.67</v>
      </c>
      <c r="K21" s="474">
        <v>1500000</v>
      </c>
      <c r="L21" s="474">
        <f>I21+J21-K21</f>
        <v>2207102.67</v>
      </c>
    </row>
    <row r="22" spans="2:12">
      <c r="B22" s="473">
        <v>21</v>
      </c>
      <c r="C22" s="474" t="s">
        <v>113</v>
      </c>
      <c r="D22" s="474" t="s">
        <v>114</v>
      </c>
      <c r="E22" s="474">
        <v>1532.06</v>
      </c>
      <c r="F22" s="474">
        <v>137073.40820000001</v>
      </c>
      <c r="G22" s="474">
        <v>110</v>
      </c>
      <c r="H22" s="474">
        <v>11374</v>
      </c>
      <c r="I22" s="474">
        <f>F22+H22</f>
        <v>148447.40820000001</v>
      </c>
      <c r="J22" s="474">
        <v>13780.26</v>
      </c>
      <c r="K22" s="474">
        <v>162228.07999999999</v>
      </c>
      <c r="L22" s="474">
        <f>I22+J22-K22</f>
        <v>-0.41179999997257255</v>
      </c>
    </row>
    <row r="23" spans="2:12">
      <c r="B23" s="473">
        <v>22</v>
      </c>
      <c r="C23" s="474" t="s">
        <v>115</v>
      </c>
      <c r="D23" s="474" t="s">
        <v>116</v>
      </c>
      <c r="E23" s="474">
        <v>848.79</v>
      </c>
      <c r="F23" s="474">
        <v>76204.366199999989</v>
      </c>
      <c r="G23" s="474">
        <v>29</v>
      </c>
      <c r="H23" s="474">
        <v>3009.04</v>
      </c>
      <c r="I23" s="474">
        <f>F23+H23</f>
        <v>79213.406199999983</v>
      </c>
      <c r="J23" s="474">
        <v>0</v>
      </c>
      <c r="K23" s="474">
        <v>79213.406199999998</v>
      </c>
      <c r="L23" s="474">
        <f>I23+J23-K23</f>
        <v>0</v>
      </c>
    </row>
    <row r="24" spans="2:12">
      <c r="B24" s="473">
        <v>23</v>
      </c>
      <c r="C24" s="474" t="s">
        <v>117</v>
      </c>
      <c r="D24" s="474" t="s">
        <v>118</v>
      </c>
      <c r="E24" s="474">
        <v>2266.92</v>
      </c>
      <c r="F24" s="474">
        <v>204350.13270000002</v>
      </c>
      <c r="G24" s="474">
        <v>33</v>
      </c>
      <c r="H24" s="474">
        <v>3433.9799999999996</v>
      </c>
      <c r="I24" s="474">
        <f>F24+H24</f>
        <v>207784.11270000003</v>
      </c>
      <c r="J24" s="474">
        <v>0</v>
      </c>
      <c r="K24" s="474">
        <v>207784.10920000001</v>
      </c>
      <c r="L24" s="474">
        <f>I24+J24-K24</f>
        <v>3.5000000207219273E-3</v>
      </c>
    </row>
    <row r="25" spans="2:12">
      <c r="B25" s="473">
        <v>24</v>
      </c>
      <c r="C25" s="474" t="s">
        <v>119</v>
      </c>
      <c r="D25" s="474" t="s">
        <v>120</v>
      </c>
      <c r="E25" s="474">
        <v>1067.3000000000002</v>
      </c>
      <c r="F25" s="474">
        <v>95854.212999999989</v>
      </c>
      <c r="G25" s="474">
        <v>60</v>
      </c>
      <c r="H25" s="474">
        <v>6228</v>
      </c>
      <c r="I25" s="474">
        <f>F25+H25</f>
        <v>102082.21299999999</v>
      </c>
      <c r="J25" s="474">
        <v>43672.706000000006</v>
      </c>
      <c r="K25" s="474">
        <v>0</v>
      </c>
      <c r="L25" s="474">
        <f>I25+J25-K25</f>
        <v>145754.91899999999</v>
      </c>
    </row>
    <row r="26" spans="2:12">
      <c r="B26" s="473">
        <v>25</v>
      </c>
      <c r="C26" s="474" t="s">
        <v>121</v>
      </c>
      <c r="D26" s="474" t="s">
        <v>122</v>
      </c>
      <c r="E26" s="474">
        <v>9744.2100000000009</v>
      </c>
      <c r="F26" s="474">
        <v>872009.35290000006</v>
      </c>
      <c r="G26" s="474">
        <v>201.9</v>
      </c>
      <c r="H26" s="474">
        <v>21156.057999999997</v>
      </c>
      <c r="I26" s="474">
        <f>F26+H26</f>
        <v>893165.41090000002</v>
      </c>
      <c r="J26" s="474">
        <v>428494.06219999987</v>
      </c>
      <c r="K26" s="474">
        <v>428494.06</v>
      </c>
      <c r="L26" s="474">
        <f>I26+J26-K26</f>
        <v>893165.41309999977</v>
      </c>
    </row>
    <row r="27" spans="2:12">
      <c r="B27" s="473">
        <v>26</v>
      </c>
      <c r="C27" s="474" t="s">
        <v>123</v>
      </c>
      <c r="D27" s="474" t="s">
        <v>124</v>
      </c>
      <c r="E27" s="474">
        <v>2072.08</v>
      </c>
      <c r="F27" s="474">
        <v>185388.9976</v>
      </c>
      <c r="G27" s="474">
        <v>22</v>
      </c>
      <c r="H27" s="474">
        <v>2273.9199999999996</v>
      </c>
      <c r="I27" s="474">
        <f>F27+H27</f>
        <v>187662.91760000002</v>
      </c>
      <c r="J27" s="474">
        <v>0</v>
      </c>
      <c r="K27" s="474">
        <v>0</v>
      </c>
      <c r="L27" s="474">
        <f>I27+J27-K27</f>
        <v>187662.91760000002</v>
      </c>
    </row>
    <row r="28" spans="2:12">
      <c r="B28" s="473">
        <v>27</v>
      </c>
      <c r="C28" s="474" t="s">
        <v>125</v>
      </c>
      <c r="D28" s="474" t="s">
        <v>126</v>
      </c>
      <c r="E28" s="474">
        <v>341.04</v>
      </c>
      <c r="F28" s="474">
        <v>30400.305599999996</v>
      </c>
      <c r="G28" s="474">
        <v>39.410000000000004</v>
      </c>
      <c r="H28" s="474">
        <v>4074.4349999999999</v>
      </c>
      <c r="I28" s="474">
        <f>F28+H28</f>
        <v>34474.740599999997</v>
      </c>
      <c r="J28" s="474">
        <v>0</v>
      </c>
      <c r="K28" s="474">
        <v>34474.740599999997</v>
      </c>
      <c r="L28" s="474">
        <f>I28+J28-K28</f>
        <v>0</v>
      </c>
    </row>
    <row r="29" spans="2:12">
      <c r="B29" s="473">
        <v>28</v>
      </c>
      <c r="C29" s="474" t="s">
        <v>127</v>
      </c>
      <c r="D29" s="474" t="s">
        <v>128</v>
      </c>
      <c r="E29" s="474">
        <v>546.38</v>
      </c>
      <c r="F29" s="474">
        <v>48895.546199999997</v>
      </c>
      <c r="G29" s="474">
        <v>76.84</v>
      </c>
      <c r="H29" s="474">
        <v>7980.3768000000009</v>
      </c>
      <c r="I29" s="474">
        <f>F29+H29</f>
        <v>56875.922999999995</v>
      </c>
      <c r="J29" s="474">
        <v>0</v>
      </c>
      <c r="K29" s="474">
        <v>56875.922999999995</v>
      </c>
      <c r="L29" s="474">
        <f>I29+J29-K29</f>
        <v>0</v>
      </c>
    </row>
    <row r="30" spans="2:12">
      <c r="B30" s="473">
        <v>29</v>
      </c>
      <c r="C30" s="474" t="s">
        <v>129</v>
      </c>
      <c r="D30" s="474" t="s">
        <v>130</v>
      </c>
      <c r="E30" s="474">
        <v>3209.58</v>
      </c>
      <c r="F30" s="474">
        <v>286390.82339999999</v>
      </c>
      <c r="G30" s="474">
        <v>81.179999999999993</v>
      </c>
      <c r="H30" s="474">
        <v>8374.5288</v>
      </c>
      <c r="I30" s="474">
        <v>294765.35220000002</v>
      </c>
      <c r="J30" s="474">
        <v>480946.50689999992</v>
      </c>
      <c r="K30" s="474">
        <v>537545.07000000007</v>
      </c>
      <c r="L30" s="475">
        <f>I30+J30-K30</f>
        <v>238166.78909999994</v>
      </c>
    </row>
    <row r="31" spans="2:12">
      <c r="B31" s="473">
        <v>30</v>
      </c>
      <c r="C31" s="474" t="s">
        <v>131</v>
      </c>
      <c r="D31" s="474" t="s">
        <v>132</v>
      </c>
      <c r="E31" s="474">
        <v>947.72</v>
      </c>
      <c r="F31" s="474">
        <v>84565.507299999983</v>
      </c>
      <c r="G31" s="474">
        <v>14.549999999999999</v>
      </c>
      <c r="H31" s="474">
        <v>1500.9295</v>
      </c>
      <c r="I31" s="474">
        <f>F31+H31</f>
        <v>86066.436799999981</v>
      </c>
      <c r="J31" s="474">
        <v>0</v>
      </c>
      <c r="K31" s="474">
        <v>86066.436799999981</v>
      </c>
      <c r="L31" s="474">
        <f>I31+J31-K31</f>
        <v>0</v>
      </c>
    </row>
    <row r="32" spans="2:12">
      <c r="B32" s="473">
        <v>31</v>
      </c>
      <c r="C32" s="474" t="s">
        <v>133</v>
      </c>
      <c r="D32" s="474" t="s">
        <v>134</v>
      </c>
      <c r="E32" s="474">
        <v>805</v>
      </c>
      <c r="F32" s="474">
        <v>71999.199999999997</v>
      </c>
      <c r="G32" s="474">
        <v>46.910000000000004</v>
      </c>
      <c r="H32" s="474">
        <v>4850.0249000000003</v>
      </c>
      <c r="I32" s="474">
        <f>F32+H32</f>
        <v>76849.224900000001</v>
      </c>
      <c r="J32" s="474">
        <v>0</v>
      </c>
      <c r="K32" s="474">
        <v>76849.224900000001</v>
      </c>
      <c r="L32" s="474">
        <f>I32+J32-K32</f>
        <v>0</v>
      </c>
    </row>
    <row r="33" spans="2:12">
      <c r="B33" s="473">
        <v>32</v>
      </c>
      <c r="C33" s="474" t="s">
        <v>135</v>
      </c>
      <c r="D33" s="474" t="s">
        <v>132</v>
      </c>
      <c r="E33" s="474">
        <v>1519.8600000000001</v>
      </c>
      <c r="F33" s="474">
        <v>135769.0938</v>
      </c>
      <c r="G33" s="474">
        <v>29.28</v>
      </c>
      <c r="H33" s="474">
        <v>3023.6448</v>
      </c>
      <c r="I33" s="474">
        <f>F33+H33</f>
        <v>138792.73860000001</v>
      </c>
      <c r="J33" s="474">
        <v>0</v>
      </c>
      <c r="K33" s="474">
        <v>138792.73860000001</v>
      </c>
      <c r="L33" s="474">
        <f>I33+J33-K33</f>
        <v>0</v>
      </c>
    </row>
    <row r="34" spans="2:12">
      <c r="B34" s="473">
        <v>33</v>
      </c>
      <c r="C34" s="474" t="s">
        <v>136</v>
      </c>
      <c r="D34" s="474" t="s">
        <v>137</v>
      </c>
      <c r="E34" s="474"/>
      <c r="F34" s="474"/>
      <c r="G34" s="474">
        <v>42.47</v>
      </c>
      <c r="H34" s="474">
        <v>4351.4761999999992</v>
      </c>
      <c r="I34" s="474">
        <f>F34+H34</f>
        <v>4351.4761999999992</v>
      </c>
      <c r="J34" s="474">
        <v>0</v>
      </c>
      <c r="K34" s="474">
        <v>4351.4783999999991</v>
      </c>
      <c r="L34" s="474">
        <f>I34+J34-K34</f>
        <v>-2.1999999999025022E-3</v>
      </c>
    </row>
    <row r="35" spans="2:12">
      <c r="B35" s="477"/>
      <c r="C35" s="404" t="s">
        <v>138</v>
      </c>
      <c r="D35" s="404"/>
      <c r="E35" s="405">
        <f>SUM(E2:E34)</f>
        <v>298478.67999999993</v>
      </c>
      <c r="F35" s="405">
        <f>SUM(F2:F34)</f>
        <v>28093565.971399996</v>
      </c>
      <c r="G35" s="405">
        <f>SUM(G2:G34)</f>
        <v>4688.0700000000006</v>
      </c>
      <c r="H35" s="405">
        <f>SUM(H2:H34)</f>
        <v>492251.18540000013</v>
      </c>
      <c r="I35" s="405">
        <f>SUM(I2:I34)</f>
        <v>28585817.156799994</v>
      </c>
      <c r="J35" s="405">
        <f>SUM(J2:J34)</f>
        <v>14031432.863</v>
      </c>
      <c r="K35" s="405">
        <f>SUM(K2:K34)</f>
        <v>20057258.509099998</v>
      </c>
      <c r="L35" s="405">
        <f>SUM(L2:L34)</f>
        <v>22559991.510699995</v>
      </c>
    </row>
    <row r="36" spans="2:12">
      <c r="I36" s="24">
        <v>28575007.460000001</v>
      </c>
      <c r="J36" s="24">
        <v>14041006.75</v>
      </c>
      <c r="K36" s="24">
        <v>20057258.510000002</v>
      </c>
      <c r="L36" s="24">
        <f>I36+J36-K36</f>
        <v>22558755.699999999</v>
      </c>
    </row>
    <row r="37" spans="2:12">
      <c r="J37" s="24">
        <v>14044586.794000003</v>
      </c>
    </row>
    <row r="38" spans="2:12">
      <c r="J38" s="24">
        <f>J36-J37</f>
        <v>-3580.0440000034869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O35"/>
  <sheetViews>
    <sheetView workbookViewId="0">
      <pane ySplit="2" topLeftCell="A12" activePane="bottomLeft" state="frozen"/>
      <selection pane="bottomLeft" activeCell="M30" sqref="M30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.7109375" bestFit="1" customWidth="1"/>
  </cols>
  <sheetData>
    <row r="1" spans="1:15" ht="15.75" customHeight="1">
      <c r="A1" s="420" t="s">
        <v>112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77"/>
    </row>
    <row r="2" spans="1:15">
      <c r="A2" s="78" t="s">
        <v>1</v>
      </c>
      <c r="B2" s="79" t="s">
        <v>2</v>
      </c>
      <c r="C2" s="79" t="s">
        <v>3</v>
      </c>
      <c r="D2" s="79" t="s">
        <v>4</v>
      </c>
      <c r="E2" s="79" t="s">
        <v>5</v>
      </c>
      <c r="F2" s="79" t="s">
        <v>6</v>
      </c>
      <c r="G2" s="79" t="s">
        <v>7</v>
      </c>
      <c r="H2" s="79" t="s">
        <v>8</v>
      </c>
      <c r="I2" s="79" t="s">
        <v>6</v>
      </c>
      <c r="J2" s="80" t="s">
        <v>7</v>
      </c>
      <c r="K2" s="81" t="s">
        <v>9</v>
      </c>
      <c r="L2" s="82" t="s">
        <v>10</v>
      </c>
      <c r="M2" s="152" t="s">
        <v>11</v>
      </c>
      <c r="N2" s="83" t="s">
        <v>12</v>
      </c>
      <c r="O2" s="84"/>
    </row>
    <row r="3" spans="1:15">
      <c r="A3" s="170" t="s">
        <v>13</v>
      </c>
      <c r="B3" s="171"/>
      <c r="C3" s="171"/>
      <c r="D3" s="171"/>
      <c r="E3" s="171"/>
      <c r="F3" s="171"/>
      <c r="G3" s="171"/>
      <c r="H3" s="171"/>
      <c r="I3" s="171"/>
      <c r="J3" s="171"/>
      <c r="K3" s="171">
        <v>1444438.67</v>
      </c>
      <c r="L3" s="172"/>
      <c r="M3" s="175">
        <f>+K3</f>
        <v>1444438.67</v>
      </c>
      <c r="O3" s="84"/>
    </row>
    <row r="4" spans="1:15">
      <c r="A4" s="67">
        <v>1</v>
      </c>
      <c r="B4" s="314">
        <v>45689</v>
      </c>
      <c r="C4" s="10">
        <v>637</v>
      </c>
      <c r="D4" s="20"/>
      <c r="E4" s="8">
        <v>4000</v>
      </c>
      <c r="F4" s="8">
        <v>91.14</v>
      </c>
      <c r="G4" s="18">
        <f>E4*F4</f>
        <v>364560</v>
      </c>
      <c r="H4" s="7">
        <v>50</v>
      </c>
      <c r="I4" s="7">
        <v>104.6</v>
      </c>
      <c r="J4" s="23">
        <f>H4*I4</f>
        <v>5230</v>
      </c>
      <c r="K4" s="8">
        <f>G4+J4</f>
        <v>369790</v>
      </c>
      <c r="L4" s="8"/>
      <c r="M4" s="8">
        <f>M3+K4-L4</f>
        <v>1814228.67</v>
      </c>
      <c r="N4" s="8"/>
      <c r="O4" s="1"/>
    </row>
    <row r="5" spans="1:15">
      <c r="A5" s="67">
        <v>2</v>
      </c>
      <c r="B5" s="314">
        <v>45690</v>
      </c>
      <c r="C5" s="10"/>
      <c r="D5" s="20"/>
      <c r="E5" s="8"/>
      <c r="F5" s="8"/>
      <c r="G5" s="18">
        <f t="shared" ref="G5:G30" si="0">E5*F5</f>
        <v>0</v>
      </c>
      <c r="H5" s="7">
        <v>0</v>
      </c>
      <c r="I5" s="7">
        <v>0</v>
      </c>
      <c r="J5" s="23">
        <f t="shared" ref="J5:J22" si="1">H5*I5</f>
        <v>0</v>
      </c>
      <c r="K5" s="8">
        <f>G5+J5</f>
        <v>0</v>
      </c>
      <c r="L5" s="8"/>
      <c r="M5" s="8">
        <f>M4+K5-L5</f>
        <v>1814228.67</v>
      </c>
      <c r="N5" s="8"/>
      <c r="O5" s="1"/>
    </row>
    <row r="6" spans="1:15">
      <c r="A6" s="67">
        <v>3</v>
      </c>
      <c r="B6" s="314">
        <v>45691</v>
      </c>
      <c r="C6" s="10"/>
      <c r="D6" s="20"/>
      <c r="E6" s="8"/>
      <c r="F6" s="8"/>
      <c r="G6" s="18">
        <f t="shared" si="0"/>
        <v>0</v>
      </c>
      <c r="H6" s="7"/>
      <c r="I6" s="7"/>
      <c r="J6" s="23"/>
      <c r="K6" s="8">
        <f>G6+J6</f>
        <v>0</v>
      </c>
      <c r="L6" s="8"/>
      <c r="M6" s="8">
        <f>M5+K6-L6</f>
        <v>1814228.67</v>
      </c>
      <c r="N6" s="8"/>
      <c r="O6" s="1"/>
    </row>
    <row r="7" spans="1:15">
      <c r="A7" s="67">
        <v>4</v>
      </c>
      <c r="B7" s="306">
        <v>45692</v>
      </c>
      <c r="C7" s="10"/>
      <c r="D7" s="20"/>
      <c r="E7" s="8"/>
      <c r="F7" s="8"/>
      <c r="G7" s="18">
        <f t="shared" si="0"/>
        <v>0</v>
      </c>
      <c r="H7" s="7"/>
      <c r="I7" s="7"/>
      <c r="J7" s="23"/>
      <c r="K7" s="8">
        <f>G7+J7</f>
        <v>0</v>
      </c>
      <c r="L7" s="8"/>
      <c r="M7" s="8">
        <f>M6+K7-L7</f>
        <v>1814228.67</v>
      </c>
      <c r="N7" s="8"/>
      <c r="O7" s="1"/>
    </row>
    <row r="8" spans="1:15">
      <c r="A8" s="67">
        <v>5</v>
      </c>
      <c r="B8" s="306">
        <v>45693</v>
      </c>
      <c r="C8" s="10">
        <v>639</v>
      </c>
      <c r="D8" s="20"/>
      <c r="E8" s="8">
        <v>4000</v>
      </c>
      <c r="F8" s="8">
        <v>91.14</v>
      </c>
      <c r="G8" s="18">
        <f t="shared" si="0"/>
        <v>364560</v>
      </c>
      <c r="H8" s="7"/>
      <c r="I8" s="7"/>
      <c r="J8" s="23"/>
      <c r="K8" s="8">
        <f>G8+J8</f>
        <v>364560</v>
      </c>
      <c r="L8" s="8">
        <v>1500000</v>
      </c>
      <c r="M8" s="8">
        <f>M7+K8-L8</f>
        <v>678788.66999999993</v>
      </c>
      <c r="N8" s="8"/>
      <c r="O8" s="1"/>
    </row>
    <row r="9" spans="1:15">
      <c r="A9" s="67">
        <v>6</v>
      </c>
      <c r="B9" s="306">
        <v>45694</v>
      </c>
      <c r="C9" s="10">
        <v>640</v>
      </c>
      <c r="D9" s="20"/>
      <c r="E9" s="8">
        <v>1000</v>
      </c>
      <c r="F9" s="8">
        <v>91.14</v>
      </c>
      <c r="G9" s="18">
        <f t="shared" si="0"/>
        <v>91140</v>
      </c>
      <c r="H9" s="7"/>
      <c r="I9" s="7"/>
      <c r="J9" s="23"/>
      <c r="K9" s="8">
        <f>G9+J9</f>
        <v>91140</v>
      </c>
      <c r="L9" s="8"/>
      <c r="M9" s="8">
        <f>M8+K9-L9</f>
        <v>769928.66999999993</v>
      </c>
      <c r="N9" s="8"/>
      <c r="O9" s="1"/>
    </row>
    <row r="10" spans="1:15">
      <c r="A10" s="67">
        <v>7</v>
      </c>
      <c r="B10" s="306">
        <v>45695</v>
      </c>
      <c r="C10" s="10"/>
      <c r="D10" s="20"/>
      <c r="E10" s="8"/>
      <c r="F10" s="8"/>
      <c r="G10" s="18">
        <f t="shared" si="0"/>
        <v>0</v>
      </c>
      <c r="H10" s="7"/>
      <c r="I10" s="7"/>
      <c r="J10" s="23"/>
      <c r="K10" s="8">
        <f>G10+J10</f>
        <v>0</v>
      </c>
      <c r="L10" s="8"/>
      <c r="M10" s="8">
        <f>M9+K10-L10</f>
        <v>769928.66999999993</v>
      </c>
      <c r="N10" s="8"/>
      <c r="O10" s="1"/>
    </row>
    <row r="11" spans="1:15">
      <c r="A11" s="67">
        <v>8</v>
      </c>
      <c r="B11" s="306">
        <v>45696</v>
      </c>
      <c r="C11" s="10"/>
      <c r="D11" s="20"/>
      <c r="E11" s="8"/>
      <c r="F11" s="8"/>
      <c r="G11" s="18">
        <f t="shared" si="0"/>
        <v>0</v>
      </c>
      <c r="H11" s="237"/>
      <c r="I11" s="237"/>
      <c r="J11" s="280"/>
      <c r="K11" s="8">
        <f>G11+J11</f>
        <v>0</v>
      </c>
      <c r="L11" s="8"/>
      <c r="M11" s="8">
        <f>M10+K11-L11</f>
        <v>769928.66999999993</v>
      </c>
      <c r="N11" s="8"/>
      <c r="O11" s="1"/>
    </row>
    <row r="12" spans="1:15">
      <c r="A12" s="67">
        <v>9</v>
      </c>
      <c r="B12" s="306">
        <v>45697</v>
      </c>
      <c r="C12" s="281"/>
      <c r="D12" s="20"/>
      <c r="E12" s="8"/>
      <c r="F12" s="8"/>
      <c r="G12" s="278">
        <f t="shared" si="0"/>
        <v>0</v>
      </c>
      <c r="H12" s="8"/>
      <c r="I12" s="8"/>
      <c r="J12" s="8">
        <f t="shared" si="1"/>
        <v>0</v>
      </c>
      <c r="K12" s="279">
        <f>G12+J12</f>
        <v>0</v>
      </c>
      <c r="L12" s="8"/>
      <c r="M12" s="8">
        <f>M11+K12-L12</f>
        <v>769928.66999999993</v>
      </c>
      <c r="N12" s="8"/>
      <c r="O12" s="1"/>
    </row>
    <row r="13" spans="1:15">
      <c r="A13" s="67">
        <v>10</v>
      </c>
      <c r="B13" s="306">
        <v>45698</v>
      </c>
      <c r="C13" s="293"/>
      <c r="D13" s="294"/>
      <c r="E13" s="254"/>
      <c r="F13" s="254"/>
      <c r="G13" s="295">
        <f t="shared" si="0"/>
        <v>0</v>
      </c>
      <c r="H13" s="254"/>
      <c r="I13" s="254"/>
      <c r="J13" s="8">
        <f t="shared" si="1"/>
        <v>0</v>
      </c>
      <c r="K13" s="296">
        <f>G13+J13</f>
        <v>0</v>
      </c>
      <c r="L13" s="254"/>
      <c r="M13" s="254">
        <f>M12+K13-L13</f>
        <v>769928.66999999993</v>
      </c>
      <c r="N13" s="8"/>
      <c r="O13" s="1"/>
    </row>
    <row r="14" spans="1:15">
      <c r="A14" s="67">
        <v>11</v>
      </c>
      <c r="B14" s="306">
        <v>45699</v>
      </c>
      <c r="C14" s="27"/>
      <c r="D14" s="20"/>
      <c r="E14" s="8"/>
      <c r="F14" s="8"/>
      <c r="G14" s="8">
        <f t="shared" si="0"/>
        <v>0</v>
      </c>
      <c r="H14" s="8"/>
      <c r="I14" s="8"/>
      <c r="J14" s="8">
        <f t="shared" si="1"/>
        <v>0</v>
      </c>
      <c r="K14" s="8">
        <f>G14+J14</f>
        <v>0</v>
      </c>
      <c r="L14" s="8"/>
      <c r="M14" s="8">
        <f>M13+K14-L14</f>
        <v>769928.66999999993</v>
      </c>
      <c r="N14" s="279"/>
      <c r="O14" s="1"/>
    </row>
    <row r="15" spans="1:15">
      <c r="A15" s="67">
        <v>12</v>
      </c>
      <c r="B15" s="306">
        <v>45700</v>
      </c>
      <c r="C15" s="27"/>
      <c r="D15" s="20"/>
      <c r="E15" s="8">
        <v>5000</v>
      </c>
      <c r="F15" s="8">
        <v>91.14</v>
      </c>
      <c r="G15" s="8">
        <f t="shared" si="0"/>
        <v>455700</v>
      </c>
      <c r="H15" s="8">
        <v>20</v>
      </c>
      <c r="I15" s="8">
        <v>104.6</v>
      </c>
      <c r="J15" s="8">
        <f t="shared" si="1"/>
        <v>2092</v>
      </c>
      <c r="K15" s="8">
        <f>G15+J15</f>
        <v>457792</v>
      </c>
      <c r="L15" s="8"/>
      <c r="M15" s="8">
        <f>M14+K15-L15</f>
        <v>1227720.67</v>
      </c>
      <c r="N15" s="279"/>
      <c r="O15" s="1"/>
    </row>
    <row r="16" spans="1:15">
      <c r="A16" s="67">
        <v>13</v>
      </c>
      <c r="B16" s="306">
        <v>45701</v>
      </c>
      <c r="C16" s="27"/>
      <c r="D16" s="20"/>
      <c r="E16" s="8"/>
      <c r="F16" s="8"/>
      <c r="G16" s="8">
        <f t="shared" si="0"/>
        <v>0</v>
      </c>
      <c r="H16" s="8"/>
      <c r="I16" s="8"/>
      <c r="J16" s="8">
        <f t="shared" si="1"/>
        <v>0</v>
      </c>
      <c r="K16" s="8">
        <f t="shared" ref="K16:K22" si="2">G16+J16</f>
        <v>0</v>
      </c>
      <c r="L16" s="8"/>
      <c r="M16" s="8">
        <f t="shared" ref="M16:M30" si="3">M15+K16-L16</f>
        <v>1227720.67</v>
      </c>
      <c r="N16" s="279"/>
      <c r="O16" s="1"/>
    </row>
    <row r="17" spans="1:15">
      <c r="A17" s="67">
        <v>14</v>
      </c>
      <c r="B17" s="306">
        <v>45702</v>
      </c>
      <c r="C17" s="27"/>
      <c r="D17" s="20"/>
      <c r="E17" s="8"/>
      <c r="F17" s="8"/>
      <c r="G17" s="8">
        <f t="shared" si="0"/>
        <v>0</v>
      </c>
      <c r="H17" s="8"/>
      <c r="I17" s="8"/>
      <c r="J17" s="8">
        <f t="shared" si="1"/>
        <v>0</v>
      </c>
      <c r="K17" s="8">
        <f t="shared" si="2"/>
        <v>0</v>
      </c>
      <c r="L17" s="8"/>
      <c r="M17" s="8">
        <f t="shared" si="3"/>
        <v>1227720.67</v>
      </c>
      <c r="N17" s="279"/>
      <c r="O17" s="1"/>
    </row>
    <row r="18" spans="1:15">
      <c r="A18" s="67">
        <v>15</v>
      </c>
      <c r="B18" s="306">
        <v>45703</v>
      </c>
      <c r="C18" s="27"/>
      <c r="D18" s="20"/>
      <c r="E18" s="8"/>
      <c r="F18" s="8"/>
      <c r="G18" s="8">
        <f t="shared" si="0"/>
        <v>0</v>
      </c>
      <c r="H18" s="8"/>
      <c r="I18" s="8"/>
      <c r="J18" s="8">
        <f t="shared" si="1"/>
        <v>0</v>
      </c>
      <c r="K18" s="8">
        <f t="shared" si="2"/>
        <v>0</v>
      </c>
      <c r="L18" s="8"/>
      <c r="M18" s="8">
        <f t="shared" si="3"/>
        <v>1227720.67</v>
      </c>
      <c r="N18" s="279"/>
      <c r="O18" s="1"/>
    </row>
    <row r="19" spans="1:15">
      <c r="A19" s="67">
        <v>16</v>
      </c>
      <c r="B19" s="306">
        <v>45704</v>
      </c>
      <c r="C19" s="27"/>
      <c r="D19" s="20"/>
      <c r="E19" s="8"/>
      <c r="F19" s="8"/>
      <c r="G19" s="8">
        <f t="shared" si="0"/>
        <v>0</v>
      </c>
      <c r="H19" s="8"/>
      <c r="I19" s="8"/>
      <c r="J19" s="8">
        <f t="shared" si="1"/>
        <v>0</v>
      </c>
      <c r="K19" s="8">
        <f t="shared" si="2"/>
        <v>0</v>
      </c>
      <c r="L19" s="8"/>
      <c r="M19" s="8">
        <f t="shared" si="3"/>
        <v>1227720.67</v>
      </c>
      <c r="N19" s="279"/>
      <c r="O19" s="1"/>
    </row>
    <row r="20" spans="1:15">
      <c r="A20" s="67">
        <v>17</v>
      </c>
      <c r="B20" s="306">
        <v>45705</v>
      </c>
      <c r="C20" s="27"/>
      <c r="D20" s="20"/>
      <c r="E20" s="8"/>
      <c r="F20" s="8"/>
      <c r="G20" s="8">
        <f t="shared" si="0"/>
        <v>0</v>
      </c>
      <c r="H20" s="8"/>
      <c r="I20" s="8"/>
      <c r="J20" s="8">
        <f t="shared" si="1"/>
        <v>0</v>
      </c>
      <c r="K20" s="8">
        <f t="shared" si="2"/>
        <v>0</v>
      </c>
      <c r="L20" s="8"/>
      <c r="M20" s="8">
        <f t="shared" si="3"/>
        <v>1227720.67</v>
      </c>
      <c r="N20" s="279"/>
      <c r="O20" s="1"/>
    </row>
    <row r="21" spans="1:15">
      <c r="A21" s="67">
        <v>18</v>
      </c>
      <c r="B21" s="306">
        <v>45706</v>
      </c>
      <c r="C21" s="27"/>
      <c r="D21" s="20"/>
      <c r="E21" s="8">
        <v>1500</v>
      </c>
      <c r="F21" s="8">
        <v>91.14</v>
      </c>
      <c r="G21" s="8">
        <f t="shared" si="0"/>
        <v>136710</v>
      </c>
      <c r="H21" s="8"/>
      <c r="I21" s="8"/>
      <c r="J21" s="8">
        <f t="shared" si="1"/>
        <v>0</v>
      </c>
      <c r="K21" s="8">
        <f t="shared" si="2"/>
        <v>136710</v>
      </c>
      <c r="L21" s="8"/>
      <c r="M21" s="8">
        <f t="shared" si="3"/>
        <v>1364430.67</v>
      </c>
      <c r="N21" s="279"/>
      <c r="O21" s="1"/>
    </row>
    <row r="22" spans="1:15">
      <c r="A22" s="67">
        <v>19</v>
      </c>
      <c r="B22" s="306">
        <v>45707</v>
      </c>
      <c r="C22" s="27"/>
      <c r="D22" s="20"/>
      <c r="E22" s="8">
        <v>4000</v>
      </c>
      <c r="F22" s="8">
        <v>91.14</v>
      </c>
      <c r="G22" s="8">
        <f t="shared" si="0"/>
        <v>364560</v>
      </c>
      <c r="H22" s="8">
        <v>20</v>
      </c>
      <c r="I22" s="8">
        <v>104.6</v>
      </c>
      <c r="J22" s="8">
        <f t="shared" si="1"/>
        <v>2092</v>
      </c>
      <c r="K22" s="8">
        <f t="shared" si="2"/>
        <v>366652</v>
      </c>
      <c r="L22" s="8"/>
      <c r="M22" s="8">
        <f t="shared" si="3"/>
        <v>1731082.67</v>
      </c>
      <c r="N22" s="279"/>
      <c r="O22" s="1"/>
    </row>
    <row r="23" spans="1:15">
      <c r="A23" s="67">
        <v>20</v>
      </c>
      <c r="B23" s="306">
        <v>45708</v>
      </c>
      <c r="C23" s="27"/>
      <c r="D23" s="20"/>
      <c r="E23" s="8"/>
      <c r="F23" s="8"/>
      <c r="G23" s="8">
        <f t="shared" si="0"/>
        <v>0</v>
      </c>
      <c r="H23" s="8"/>
      <c r="I23" s="8"/>
      <c r="J23" s="8">
        <f t="shared" ref="J23:J28" si="4">H23*I23</f>
        <v>0</v>
      </c>
      <c r="K23" s="8">
        <f t="shared" ref="K23:K30" si="5">G23+J23</f>
        <v>0</v>
      </c>
      <c r="L23" s="8"/>
      <c r="M23" s="8">
        <f t="shared" si="3"/>
        <v>1731082.67</v>
      </c>
      <c r="N23" s="279"/>
      <c r="O23" s="1"/>
    </row>
    <row r="24" spans="1:15">
      <c r="A24" s="67">
        <v>21</v>
      </c>
      <c r="B24" s="306">
        <v>45709</v>
      </c>
      <c r="C24" s="27"/>
      <c r="D24" s="20"/>
      <c r="E24" s="8"/>
      <c r="F24" s="8"/>
      <c r="G24" s="8">
        <f t="shared" si="0"/>
        <v>0</v>
      </c>
      <c r="H24" s="8"/>
      <c r="I24" s="8"/>
      <c r="J24" s="8">
        <f t="shared" si="4"/>
        <v>0</v>
      </c>
      <c r="K24" s="8">
        <f t="shared" si="5"/>
        <v>0</v>
      </c>
      <c r="L24" s="8"/>
      <c r="M24" s="8">
        <f t="shared" si="3"/>
        <v>1731082.67</v>
      </c>
      <c r="N24" s="279"/>
      <c r="O24" s="1"/>
    </row>
    <row r="25" spans="1:15">
      <c r="A25" s="67">
        <v>22</v>
      </c>
      <c r="B25" s="306">
        <v>45710</v>
      </c>
      <c r="C25" s="27"/>
      <c r="D25" s="20"/>
      <c r="E25" s="8"/>
      <c r="F25" s="8"/>
      <c r="G25" s="8">
        <f t="shared" si="0"/>
        <v>0</v>
      </c>
      <c r="H25" s="8"/>
      <c r="I25" s="8"/>
      <c r="J25" s="8">
        <f t="shared" si="4"/>
        <v>0</v>
      </c>
      <c r="K25" s="8">
        <f t="shared" si="5"/>
        <v>0</v>
      </c>
      <c r="L25" s="8"/>
      <c r="M25" s="8">
        <f t="shared" si="3"/>
        <v>1731082.67</v>
      </c>
      <c r="N25" s="279"/>
      <c r="O25" s="1"/>
    </row>
    <row r="26" spans="1:15">
      <c r="A26" s="67">
        <v>23</v>
      </c>
      <c r="B26" s="306">
        <v>45711</v>
      </c>
      <c r="C26" s="27"/>
      <c r="D26" s="20"/>
      <c r="E26" s="8"/>
      <c r="F26" s="8"/>
      <c r="G26" s="8">
        <f t="shared" si="0"/>
        <v>0</v>
      </c>
      <c r="H26" s="8"/>
      <c r="I26" s="8"/>
      <c r="J26" s="8">
        <f t="shared" si="4"/>
        <v>0</v>
      </c>
      <c r="K26" s="8">
        <f t="shared" si="5"/>
        <v>0</v>
      </c>
      <c r="L26" s="8"/>
      <c r="M26" s="8">
        <f t="shared" si="3"/>
        <v>1731082.67</v>
      </c>
      <c r="N26" s="279"/>
      <c r="O26" s="1"/>
    </row>
    <row r="27" spans="1:15">
      <c r="A27" s="67">
        <v>24</v>
      </c>
      <c r="B27" s="306">
        <v>45712</v>
      </c>
      <c r="C27" s="27"/>
      <c r="D27" s="20"/>
      <c r="E27" s="8"/>
      <c r="F27" s="8"/>
      <c r="G27" s="8">
        <f t="shared" si="0"/>
        <v>0</v>
      </c>
      <c r="H27" s="8"/>
      <c r="I27" s="8"/>
      <c r="J27" s="8">
        <f t="shared" si="4"/>
        <v>0</v>
      </c>
      <c r="K27" s="8">
        <f t="shared" si="5"/>
        <v>0</v>
      </c>
      <c r="L27" s="8"/>
      <c r="M27" s="8">
        <f t="shared" si="3"/>
        <v>1731082.67</v>
      </c>
      <c r="N27" s="279"/>
      <c r="O27" s="1"/>
    </row>
    <row r="28" spans="1:15">
      <c r="A28" s="67">
        <v>25</v>
      </c>
      <c r="B28" s="306">
        <v>45713</v>
      </c>
      <c r="C28" s="27"/>
      <c r="D28" s="20"/>
      <c r="E28" s="8"/>
      <c r="F28" s="8"/>
      <c r="G28" s="8">
        <f t="shared" si="0"/>
        <v>0</v>
      </c>
      <c r="H28" s="8">
        <v>20</v>
      </c>
      <c r="I28" s="8">
        <v>104.6</v>
      </c>
      <c r="J28" s="8">
        <f t="shared" si="4"/>
        <v>2092</v>
      </c>
      <c r="K28" s="8">
        <f t="shared" si="5"/>
        <v>2092</v>
      </c>
      <c r="L28" s="8"/>
      <c r="M28" s="8">
        <f t="shared" si="3"/>
        <v>1733174.67</v>
      </c>
      <c r="N28" s="279"/>
      <c r="O28" s="1"/>
    </row>
    <row r="29" spans="1:15">
      <c r="A29" s="67">
        <v>26</v>
      </c>
      <c r="B29" s="306">
        <v>45714</v>
      </c>
      <c r="C29" s="27"/>
      <c r="D29" s="20"/>
      <c r="E29" s="8"/>
      <c r="F29" s="8"/>
      <c r="G29" s="8">
        <f t="shared" si="0"/>
        <v>0</v>
      </c>
      <c r="H29" s="8"/>
      <c r="I29" s="8"/>
      <c r="J29" s="8"/>
      <c r="K29" s="8">
        <f t="shared" si="5"/>
        <v>0</v>
      </c>
      <c r="L29" s="8"/>
      <c r="M29" s="8">
        <f t="shared" si="3"/>
        <v>1733174.67</v>
      </c>
      <c r="N29" s="279"/>
      <c r="O29" s="1"/>
    </row>
    <row r="30" spans="1:15">
      <c r="A30" s="67">
        <v>27</v>
      </c>
      <c r="B30" s="306">
        <v>45715</v>
      </c>
      <c r="C30" s="27"/>
      <c r="D30" s="20"/>
      <c r="E30" s="8">
        <v>5200</v>
      </c>
      <c r="F30" s="8">
        <v>91.14</v>
      </c>
      <c r="G30" s="8">
        <f t="shared" si="0"/>
        <v>473928</v>
      </c>
      <c r="H30" s="8"/>
      <c r="I30" s="8"/>
      <c r="J30" s="8"/>
      <c r="K30" s="8">
        <f t="shared" si="5"/>
        <v>473928</v>
      </c>
      <c r="L30" s="8"/>
      <c r="M30" s="8">
        <f t="shared" si="3"/>
        <v>2207102.67</v>
      </c>
      <c r="N30" s="279"/>
      <c r="O30" s="1"/>
    </row>
    <row r="31" spans="1:15">
      <c r="A31" s="67">
        <v>28</v>
      </c>
      <c r="B31" s="306">
        <v>45716</v>
      </c>
      <c r="C31" s="27"/>
      <c r="D31" s="20"/>
      <c r="E31" s="8"/>
      <c r="F31" s="8"/>
      <c r="G31" s="8"/>
      <c r="H31" s="8"/>
      <c r="I31" s="8"/>
      <c r="J31" s="8"/>
      <c r="K31" s="8"/>
      <c r="L31" s="8"/>
      <c r="M31" s="8"/>
      <c r="N31" s="279"/>
      <c r="O31" s="1"/>
    </row>
    <row r="32" spans="1:15">
      <c r="A32" s="206"/>
      <c r="B32" s="206"/>
      <c r="C32" s="206"/>
      <c r="D32" s="206"/>
      <c r="E32" s="207">
        <f>SUM(E4:E31)</f>
        <v>24700</v>
      </c>
      <c r="F32" s="207"/>
      <c r="G32" s="207">
        <f>SUM(G4:G31)</f>
        <v>2251158</v>
      </c>
      <c r="H32" s="207">
        <f>SUM(H4:H31)</f>
        <v>110</v>
      </c>
      <c r="I32" s="207"/>
      <c r="J32" s="207">
        <f>SUM(J4:J31)</f>
        <v>11506</v>
      </c>
      <c r="K32" s="207">
        <f>SUM(K4:K31)</f>
        <v>2262664</v>
      </c>
      <c r="L32" s="207">
        <f>SUM(L4:L31)</f>
        <v>1500000</v>
      </c>
      <c r="M32" s="207"/>
      <c r="N32" s="88"/>
      <c r="O32" s="84"/>
    </row>
    <row r="33" spans="1:15">
      <c r="A33" s="2"/>
      <c r="B33" s="2"/>
      <c r="C33" s="2"/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1"/>
    </row>
    <row r="34" spans="1:15">
      <c r="A34" s="1"/>
      <c r="B34" s="419"/>
      <c r="C34" s="419"/>
      <c r="D34" s="419"/>
      <c r="E34" s="419"/>
      <c r="F34" s="1"/>
      <c r="G34" s="1"/>
      <c r="H34" s="1"/>
      <c r="I34" s="419"/>
      <c r="J34" s="419"/>
      <c r="K34" s="419"/>
      <c r="L34" s="419"/>
      <c r="M34" s="419"/>
      <c r="N34" s="419"/>
      <c r="O34" s="4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"/>
    </row>
  </sheetData>
  <mergeCells count="3">
    <mergeCell ref="B34:E34"/>
    <mergeCell ref="I34:N34"/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1"/>
  <sheetViews>
    <sheetView workbookViewId="0">
      <pane ySplit="2" topLeftCell="A3" activePane="bottomLeft" state="frozen"/>
      <selection pane="bottomLeft" activeCell="R29" sqref="R29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40" t="s">
        <v>137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111"/>
    </row>
    <row r="2" spans="1:15" ht="16.5" customHeight="1">
      <c r="A2" s="130" t="s">
        <v>1</v>
      </c>
      <c r="B2" s="131" t="s">
        <v>2</v>
      </c>
      <c r="C2" s="131" t="s">
        <v>3</v>
      </c>
      <c r="D2" s="131" t="s">
        <v>139</v>
      </c>
      <c r="E2" s="131" t="s">
        <v>5</v>
      </c>
      <c r="F2" s="131" t="s">
        <v>6</v>
      </c>
      <c r="G2" s="131" t="s">
        <v>7</v>
      </c>
      <c r="H2" s="131" t="s">
        <v>8</v>
      </c>
      <c r="I2" s="131" t="s">
        <v>6</v>
      </c>
      <c r="J2" s="177" t="s">
        <v>7</v>
      </c>
      <c r="K2" s="132" t="s">
        <v>9</v>
      </c>
      <c r="L2" s="178" t="s">
        <v>10</v>
      </c>
      <c r="M2" s="183" t="s">
        <v>11</v>
      </c>
      <c r="N2" s="133" t="s">
        <v>12</v>
      </c>
      <c r="O2" s="84"/>
    </row>
    <row r="3" spans="1:15" ht="16.5" customHeight="1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34"/>
      <c r="M3" s="193">
        <v>0</v>
      </c>
      <c r="N3" s="202"/>
      <c r="O3" s="84"/>
    </row>
    <row r="4" spans="1:15">
      <c r="A4" s="67">
        <v>1</v>
      </c>
      <c r="B4" s="314">
        <v>45689</v>
      </c>
      <c r="C4" s="92"/>
      <c r="D4" s="205"/>
      <c r="E4" s="90"/>
      <c r="F4" s="90"/>
      <c r="G4" s="8">
        <f>E4*F4</f>
        <v>0</v>
      </c>
      <c r="H4" s="90">
        <v>0</v>
      </c>
      <c r="I4" s="91">
        <v>0</v>
      </c>
      <c r="J4" s="8">
        <f>H4*I4</f>
        <v>0</v>
      </c>
      <c r="K4" s="8">
        <f>G4+J4</f>
        <v>0</v>
      </c>
      <c r="L4" s="93">
        <f>+K4</f>
        <v>0</v>
      </c>
      <c r="M4" s="93">
        <v>0</v>
      </c>
      <c r="N4" s="8"/>
    </row>
    <row r="5" spans="1:15">
      <c r="A5" s="67">
        <v>2</v>
      </c>
      <c r="B5" s="314">
        <v>45690</v>
      </c>
      <c r="C5" s="92"/>
      <c r="D5" s="92"/>
      <c r="E5" s="90"/>
      <c r="F5" s="90"/>
      <c r="G5" s="8">
        <f t="shared" ref="G5:G15" si="0">E5*F5</f>
        <v>0</v>
      </c>
      <c r="H5" s="90">
        <v>0</v>
      </c>
      <c r="I5" s="91">
        <v>0</v>
      </c>
      <c r="J5" s="8">
        <f t="shared" ref="J5:J17" si="1">H5*I5</f>
        <v>0</v>
      </c>
      <c r="K5" s="8">
        <f>G5+J5</f>
        <v>0</v>
      </c>
      <c r="L5" s="93">
        <f t="shared" ref="L5:L17" si="2">+K5</f>
        <v>0</v>
      </c>
      <c r="M5" s="93">
        <v>0</v>
      </c>
      <c r="N5" s="8"/>
    </row>
    <row r="6" spans="1:15">
      <c r="A6" s="67">
        <v>3</v>
      </c>
      <c r="B6" s="314">
        <v>45691</v>
      </c>
      <c r="C6" s="92"/>
      <c r="D6" s="92"/>
      <c r="E6" s="90"/>
      <c r="F6" s="90"/>
      <c r="G6" s="8">
        <f t="shared" si="0"/>
        <v>0</v>
      </c>
      <c r="H6" s="90">
        <v>0</v>
      </c>
      <c r="I6" s="91">
        <v>0</v>
      </c>
      <c r="J6" s="8">
        <f t="shared" si="1"/>
        <v>0</v>
      </c>
      <c r="K6" s="8">
        <f>G6+J6</f>
        <v>0</v>
      </c>
      <c r="L6" s="93">
        <f t="shared" si="2"/>
        <v>0</v>
      </c>
      <c r="M6" s="93">
        <v>0</v>
      </c>
      <c r="N6" s="8"/>
    </row>
    <row r="7" spans="1:15">
      <c r="A7" s="67">
        <v>4</v>
      </c>
      <c r="B7" s="306">
        <v>45692</v>
      </c>
      <c r="C7" s="92"/>
      <c r="D7" s="99"/>
      <c r="E7" s="90"/>
      <c r="F7" s="90"/>
      <c r="G7" s="8">
        <f t="shared" si="0"/>
        <v>0</v>
      </c>
      <c r="H7" s="90">
        <v>0</v>
      </c>
      <c r="I7" s="91">
        <v>0</v>
      </c>
      <c r="J7" s="8">
        <f t="shared" si="1"/>
        <v>0</v>
      </c>
      <c r="K7" s="8">
        <f>G7+J7</f>
        <v>0</v>
      </c>
      <c r="L7" s="93">
        <f t="shared" si="2"/>
        <v>0</v>
      </c>
      <c r="M7" s="93">
        <v>0</v>
      </c>
      <c r="N7" s="8"/>
    </row>
    <row r="8" spans="1:15">
      <c r="A8" s="67">
        <v>5</v>
      </c>
      <c r="B8" s="306">
        <v>45693</v>
      </c>
      <c r="C8" s="92"/>
      <c r="D8" s="99"/>
      <c r="E8" s="90"/>
      <c r="F8" s="90"/>
      <c r="G8" s="8">
        <f t="shared" si="0"/>
        <v>0</v>
      </c>
      <c r="H8" s="90">
        <v>0</v>
      </c>
      <c r="I8" s="91">
        <v>0</v>
      </c>
      <c r="J8" s="8">
        <f t="shared" si="1"/>
        <v>0</v>
      </c>
      <c r="K8" s="8">
        <f>G8+J8</f>
        <v>0</v>
      </c>
      <c r="L8" s="93">
        <f t="shared" si="2"/>
        <v>0</v>
      </c>
      <c r="M8" s="93">
        <v>0</v>
      </c>
      <c r="N8" s="8"/>
      <c r="O8" s="96"/>
    </row>
    <row r="9" spans="1:15">
      <c r="A9" s="67">
        <v>6</v>
      </c>
      <c r="B9" s="306">
        <v>45694</v>
      </c>
      <c r="C9" s="92"/>
      <c r="D9" s="99"/>
      <c r="E9" s="90"/>
      <c r="F9" s="90"/>
      <c r="G9" s="8">
        <f t="shared" si="0"/>
        <v>0</v>
      </c>
      <c r="H9" s="90">
        <v>0</v>
      </c>
      <c r="I9" s="91">
        <v>0</v>
      </c>
      <c r="J9" s="8">
        <f t="shared" si="1"/>
        <v>0</v>
      </c>
      <c r="K9" s="8">
        <f>G9+J9</f>
        <v>0</v>
      </c>
      <c r="L9" s="93">
        <f t="shared" si="2"/>
        <v>0</v>
      </c>
      <c r="M9" s="93">
        <v>0</v>
      </c>
      <c r="N9" s="8"/>
      <c r="O9" s="96"/>
    </row>
    <row r="10" spans="1:15">
      <c r="A10" s="67">
        <v>7</v>
      </c>
      <c r="B10" s="306">
        <v>45695</v>
      </c>
      <c r="C10" s="92"/>
      <c r="D10" s="99"/>
      <c r="E10" s="90"/>
      <c r="F10" s="90"/>
      <c r="G10" s="8">
        <f t="shared" si="0"/>
        <v>0</v>
      </c>
      <c r="H10" s="90">
        <v>0</v>
      </c>
      <c r="I10" s="91">
        <v>0</v>
      </c>
      <c r="J10" s="8">
        <f t="shared" si="1"/>
        <v>0</v>
      </c>
      <c r="K10" s="8">
        <f t="shared" ref="K10:K17" si="3">G10+J10</f>
        <v>0</v>
      </c>
      <c r="L10" s="93">
        <f t="shared" si="2"/>
        <v>0</v>
      </c>
      <c r="M10" s="93">
        <v>0</v>
      </c>
      <c r="N10" s="8"/>
      <c r="O10" s="96"/>
    </row>
    <row r="11" spans="1:15">
      <c r="A11" s="67">
        <v>8</v>
      </c>
      <c r="B11" s="306">
        <v>45696</v>
      </c>
      <c r="C11" s="92"/>
      <c r="D11" s="99"/>
      <c r="E11" s="90"/>
      <c r="F11" s="90"/>
      <c r="G11" s="8">
        <f t="shared" si="0"/>
        <v>0</v>
      </c>
      <c r="H11" s="90">
        <v>0</v>
      </c>
      <c r="I11" s="91">
        <v>0</v>
      </c>
      <c r="J11" s="8">
        <f t="shared" si="1"/>
        <v>0</v>
      </c>
      <c r="K11" s="8">
        <f t="shared" si="3"/>
        <v>0</v>
      </c>
      <c r="L11" s="93">
        <f t="shared" si="2"/>
        <v>0</v>
      </c>
      <c r="M11" s="93">
        <v>0</v>
      </c>
      <c r="N11" s="8"/>
      <c r="O11" s="96"/>
    </row>
    <row r="12" spans="1:15">
      <c r="A12" s="67">
        <v>9</v>
      </c>
      <c r="B12" s="306">
        <v>45697</v>
      </c>
      <c r="C12" s="92"/>
      <c r="D12" s="99"/>
      <c r="E12" s="90"/>
      <c r="F12" s="90"/>
      <c r="G12" s="8">
        <f t="shared" si="0"/>
        <v>0</v>
      </c>
      <c r="H12" s="90">
        <v>0</v>
      </c>
      <c r="I12" s="91">
        <v>0</v>
      </c>
      <c r="J12" s="8">
        <f t="shared" si="1"/>
        <v>0</v>
      </c>
      <c r="K12" s="8">
        <f t="shared" si="3"/>
        <v>0</v>
      </c>
      <c r="L12" s="93">
        <f t="shared" si="2"/>
        <v>0</v>
      </c>
      <c r="M12" s="93">
        <v>0</v>
      </c>
      <c r="N12" s="8"/>
      <c r="O12" s="96"/>
    </row>
    <row r="13" spans="1:15">
      <c r="A13" s="67">
        <v>10</v>
      </c>
      <c r="B13" s="306">
        <v>45698</v>
      </c>
      <c r="C13" s="92"/>
      <c r="D13" s="99"/>
      <c r="E13" s="90"/>
      <c r="F13" s="90"/>
      <c r="G13" s="8">
        <f t="shared" si="0"/>
        <v>0</v>
      </c>
      <c r="H13" s="90">
        <v>12.69</v>
      </c>
      <c r="I13" s="91">
        <v>102.46</v>
      </c>
      <c r="J13" s="8">
        <f t="shared" si="1"/>
        <v>1300.2173999999998</v>
      </c>
      <c r="K13" s="8">
        <f t="shared" si="3"/>
        <v>1300.2173999999998</v>
      </c>
      <c r="L13" s="93">
        <f t="shared" si="2"/>
        <v>1300.2173999999998</v>
      </c>
      <c r="M13" s="93">
        <v>0</v>
      </c>
      <c r="N13" s="8"/>
      <c r="O13" s="96"/>
    </row>
    <row r="14" spans="1:15">
      <c r="A14" s="67">
        <v>11</v>
      </c>
      <c r="B14" s="306">
        <v>45699</v>
      </c>
      <c r="C14" s="92"/>
      <c r="D14" s="99"/>
      <c r="E14" s="90"/>
      <c r="F14" s="90"/>
      <c r="G14" s="8">
        <f t="shared" si="0"/>
        <v>0</v>
      </c>
      <c r="H14" s="90">
        <v>0</v>
      </c>
      <c r="I14" s="91">
        <v>0</v>
      </c>
      <c r="J14" s="8">
        <f t="shared" si="1"/>
        <v>0</v>
      </c>
      <c r="K14" s="8">
        <f t="shared" si="3"/>
        <v>0</v>
      </c>
      <c r="L14" s="93">
        <f t="shared" si="2"/>
        <v>0</v>
      </c>
      <c r="M14" s="93">
        <v>0</v>
      </c>
      <c r="N14" s="8"/>
      <c r="O14" s="96"/>
    </row>
    <row r="15" spans="1:15">
      <c r="A15" s="67">
        <v>12</v>
      </c>
      <c r="B15" s="306">
        <v>45700</v>
      </c>
      <c r="C15" s="92"/>
      <c r="D15" s="99"/>
      <c r="E15" s="90"/>
      <c r="F15" s="90"/>
      <c r="G15" s="8">
        <f t="shared" si="0"/>
        <v>0</v>
      </c>
      <c r="H15" s="90">
        <v>0</v>
      </c>
      <c r="I15" s="91">
        <v>0</v>
      </c>
      <c r="J15" s="8">
        <f t="shared" si="1"/>
        <v>0</v>
      </c>
      <c r="K15" s="8">
        <f t="shared" si="3"/>
        <v>0</v>
      </c>
      <c r="L15" s="93">
        <f t="shared" si="2"/>
        <v>0</v>
      </c>
      <c r="M15" s="93">
        <v>0</v>
      </c>
      <c r="N15" s="8"/>
      <c r="O15" s="96"/>
    </row>
    <row r="16" spans="1:15">
      <c r="A16" s="67">
        <v>13</v>
      </c>
      <c r="B16" s="306">
        <v>45701</v>
      </c>
      <c r="C16" s="92"/>
      <c r="D16" s="99"/>
      <c r="E16" s="90"/>
      <c r="F16" s="90"/>
      <c r="G16" s="8"/>
      <c r="H16" s="90"/>
      <c r="I16" s="91"/>
      <c r="J16" s="8">
        <f t="shared" si="1"/>
        <v>0</v>
      </c>
      <c r="K16" s="8">
        <f t="shared" si="3"/>
        <v>0</v>
      </c>
      <c r="L16" s="93">
        <f t="shared" si="2"/>
        <v>0</v>
      </c>
      <c r="M16" s="93">
        <v>0</v>
      </c>
      <c r="N16" s="8"/>
      <c r="O16" s="96"/>
    </row>
    <row r="17" spans="1:15">
      <c r="A17" s="67">
        <v>14</v>
      </c>
      <c r="B17" s="306">
        <v>45702</v>
      </c>
      <c r="C17" s="92"/>
      <c r="D17" s="99"/>
      <c r="E17" s="90"/>
      <c r="F17" s="90"/>
      <c r="G17" s="8"/>
      <c r="H17" s="90">
        <v>5.85</v>
      </c>
      <c r="I17" s="91">
        <v>102.46</v>
      </c>
      <c r="J17" s="8">
        <f t="shared" si="1"/>
        <v>599.39099999999996</v>
      </c>
      <c r="K17" s="8">
        <f t="shared" si="3"/>
        <v>599.39099999999996</v>
      </c>
      <c r="L17" s="93">
        <f t="shared" si="2"/>
        <v>599.39099999999996</v>
      </c>
      <c r="M17" s="93">
        <v>0</v>
      </c>
      <c r="N17" s="8"/>
      <c r="O17" s="96"/>
    </row>
    <row r="18" spans="1:15">
      <c r="A18" s="67">
        <v>15</v>
      </c>
      <c r="B18" s="306">
        <v>45703</v>
      </c>
      <c r="C18" s="92"/>
      <c r="D18" s="99"/>
      <c r="E18" s="90"/>
      <c r="F18" s="90"/>
      <c r="G18" s="8"/>
      <c r="H18" s="90"/>
      <c r="I18" s="91"/>
      <c r="J18" s="8">
        <f t="shared" ref="J18:J19" si="4">H18*I18</f>
        <v>0</v>
      </c>
      <c r="K18" s="8">
        <f t="shared" ref="K18:K19" si="5">G18+J18</f>
        <v>0</v>
      </c>
      <c r="L18" s="93"/>
      <c r="M18" s="93">
        <v>0</v>
      </c>
      <c r="N18" s="8"/>
      <c r="O18" s="96"/>
    </row>
    <row r="19" spans="1:15">
      <c r="A19" s="67">
        <v>16</v>
      </c>
      <c r="B19" s="306">
        <v>45704</v>
      </c>
      <c r="C19" s="92"/>
      <c r="D19" s="99"/>
      <c r="E19" s="90"/>
      <c r="F19" s="90"/>
      <c r="G19" s="8"/>
      <c r="H19" s="90">
        <v>9.15</v>
      </c>
      <c r="I19" s="91">
        <v>102.46</v>
      </c>
      <c r="J19" s="8">
        <f t="shared" si="4"/>
        <v>937.50900000000001</v>
      </c>
      <c r="K19" s="8">
        <f t="shared" si="5"/>
        <v>937.50900000000001</v>
      </c>
      <c r="L19" s="93">
        <v>937.51</v>
      </c>
      <c r="M19" s="93">
        <v>0</v>
      </c>
      <c r="N19" s="8"/>
      <c r="O19" s="96"/>
    </row>
    <row r="20" spans="1:15">
      <c r="A20" s="67">
        <v>17</v>
      </c>
      <c r="B20" s="306">
        <v>45705</v>
      </c>
      <c r="C20" s="92"/>
      <c r="D20" s="99"/>
      <c r="E20" s="90"/>
      <c r="F20" s="90"/>
      <c r="G20" s="8"/>
      <c r="H20" s="90"/>
      <c r="I20" s="91"/>
      <c r="J20" s="8">
        <f t="shared" ref="J20:J31" si="6">H20*I20</f>
        <v>0</v>
      </c>
      <c r="K20" s="8">
        <f t="shared" ref="K20:K31" si="7">G20+J20</f>
        <v>0</v>
      </c>
      <c r="L20" s="93"/>
      <c r="M20" s="93">
        <v>0</v>
      </c>
      <c r="N20" s="8"/>
      <c r="O20" s="96"/>
    </row>
    <row r="21" spans="1:15">
      <c r="A21" s="67">
        <v>18</v>
      </c>
      <c r="B21" s="306">
        <v>45706</v>
      </c>
      <c r="C21" s="92"/>
      <c r="D21" s="99"/>
      <c r="E21" s="90"/>
      <c r="F21" s="90"/>
      <c r="G21" s="8"/>
      <c r="H21" s="90"/>
      <c r="I21" s="91"/>
      <c r="J21" s="8">
        <f t="shared" si="6"/>
        <v>0</v>
      </c>
      <c r="K21" s="8">
        <f t="shared" si="7"/>
        <v>0</v>
      </c>
      <c r="L21" s="93"/>
      <c r="M21" s="93">
        <v>0</v>
      </c>
      <c r="N21" s="8"/>
      <c r="O21" s="96"/>
    </row>
    <row r="22" spans="1:15">
      <c r="A22" s="67">
        <v>19</v>
      </c>
      <c r="B22" s="306">
        <v>45707</v>
      </c>
      <c r="C22" s="92"/>
      <c r="D22" s="99"/>
      <c r="E22" s="90"/>
      <c r="F22" s="90"/>
      <c r="G22" s="8"/>
      <c r="H22" s="90"/>
      <c r="I22" s="91"/>
      <c r="J22" s="8">
        <f t="shared" si="6"/>
        <v>0</v>
      </c>
      <c r="K22" s="8">
        <f t="shared" si="7"/>
        <v>0</v>
      </c>
      <c r="L22" s="93"/>
      <c r="M22" s="93">
        <v>0</v>
      </c>
      <c r="N22" s="8"/>
      <c r="O22" s="96"/>
    </row>
    <row r="23" spans="1:15">
      <c r="A23" s="67">
        <v>20</v>
      </c>
      <c r="B23" s="306">
        <v>45708</v>
      </c>
      <c r="C23" s="92"/>
      <c r="D23" s="99"/>
      <c r="E23" s="90"/>
      <c r="F23" s="90"/>
      <c r="G23" s="8"/>
      <c r="H23" s="90"/>
      <c r="I23" s="91"/>
      <c r="J23" s="8">
        <f t="shared" si="6"/>
        <v>0</v>
      </c>
      <c r="K23" s="8">
        <f t="shared" si="7"/>
        <v>0</v>
      </c>
      <c r="L23" s="93"/>
      <c r="M23" s="93">
        <v>0</v>
      </c>
      <c r="N23" s="8"/>
      <c r="O23" s="96"/>
    </row>
    <row r="24" spans="1:15">
      <c r="A24" s="67">
        <v>21</v>
      </c>
      <c r="B24" s="306">
        <v>45709</v>
      </c>
      <c r="C24" s="92"/>
      <c r="D24" s="99"/>
      <c r="E24" s="90"/>
      <c r="F24" s="90"/>
      <c r="G24" s="8"/>
      <c r="H24" s="90"/>
      <c r="I24" s="91"/>
      <c r="J24" s="8">
        <f t="shared" si="6"/>
        <v>0</v>
      </c>
      <c r="K24" s="8">
        <f t="shared" si="7"/>
        <v>0</v>
      </c>
      <c r="L24" s="93"/>
      <c r="M24" s="93">
        <v>0</v>
      </c>
      <c r="N24" s="8"/>
      <c r="O24" s="96"/>
    </row>
    <row r="25" spans="1:15">
      <c r="A25" s="67">
        <v>22</v>
      </c>
      <c r="B25" s="306">
        <v>45710</v>
      </c>
      <c r="C25" s="92"/>
      <c r="D25" s="99"/>
      <c r="E25" s="90"/>
      <c r="F25" s="90"/>
      <c r="G25" s="8"/>
      <c r="H25" s="90"/>
      <c r="I25" s="91"/>
      <c r="J25" s="8">
        <f t="shared" si="6"/>
        <v>0</v>
      </c>
      <c r="K25" s="8">
        <f t="shared" si="7"/>
        <v>0</v>
      </c>
      <c r="L25" s="93"/>
      <c r="M25" s="93">
        <v>0</v>
      </c>
      <c r="N25" s="8"/>
      <c r="O25" s="96"/>
    </row>
    <row r="26" spans="1:15">
      <c r="A26" s="67">
        <v>23</v>
      </c>
      <c r="B26" s="306">
        <v>45711</v>
      </c>
      <c r="C26" s="92"/>
      <c r="D26" s="99"/>
      <c r="E26" s="90"/>
      <c r="F26" s="90"/>
      <c r="G26" s="8"/>
      <c r="H26" s="90"/>
      <c r="I26" s="91"/>
      <c r="J26" s="8">
        <f t="shared" si="6"/>
        <v>0</v>
      </c>
      <c r="K26" s="8">
        <f t="shared" si="7"/>
        <v>0</v>
      </c>
      <c r="L26" s="93"/>
      <c r="M26" s="93">
        <v>0</v>
      </c>
      <c r="N26" s="8"/>
      <c r="O26" s="96"/>
    </row>
    <row r="27" spans="1:15">
      <c r="A27" s="67">
        <v>24</v>
      </c>
      <c r="B27" s="306">
        <v>45712</v>
      </c>
      <c r="C27" s="92"/>
      <c r="D27" s="99"/>
      <c r="E27" s="90"/>
      <c r="F27" s="90"/>
      <c r="G27" s="8"/>
      <c r="H27" s="90"/>
      <c r="I27" s="91"/>
      <c r="J27" s="8">
        <f t="shared" si="6"/>
        <v>0</v>
      </c>
      <c r="K27" s="8">
        <f t="shared" si="7"/>
        <v>0</v>
      </c>
      <c r="L27" s="93"/>
      <c r="M27" s="93">
        <v>0</v>
      </c>
      <c r="N27" s="8"/>
      <c r="O27" s="96"/>
    </row>
    <row r="28" spans="1:15">
      <c r="A28" s="67">
        <v>25</v>
      </c>
      <c r="B28" s="306">
        <v>45713</v>
      </c>
      <c r="C28" s="92"/>
      <c r="D28" s="99"/>
      <c r="E28" s="90"/>
      <c r="F28" s="90"/>
      <c r="G28" s="8"/>
      <c r="H28" s="90">
        <v>5.85</v>
      </c>
      <c r="I28" s="91">
        <v>102.46</v>
      </c>
      <c r="J28" s="8">
        <f t="shared" si="6"/>
        <v>599.39099999999996</v>
      </c>
      <c r="K28" s="8">
        <f t="shared" si="7"/>
        <v>599.39099999999996</v>
      </c>
      <c r="L28" s="93">
        <v>599.39</v>
      </c>
      <c r="M28" s="93">
        <v>0</v>
      </c>
      <c r="N28" s="8"/>
      <c r="O28" s="96"/>
    </row>
    <row r="29" spans="1:15">
      <c r="A29" s="67">
        <v>26</v>
      </c>
      <c r="B29" s="306">
        <v>45714</v>
      </c>
      <c r="C29" s="92"/>
      <c r="D29" s="99"/>
      <c r="E29" s="90"/>
      <c r="F29" s="90"/>
      <c r="G29" s="8"/>
      <c r="H29" s="90"/>
      <c r="I29" s="91"/>
      <c r="J29" s="8">
        <f t="shared" si="6"/>
        <v>0</v>
      </c>
      <c r="K29" s="8">
        <f t="shared" si="7"/>
        <v>0</v>
      </c>
      <c r="L29" s="93"/>
      <c r="M29" s="93">
        <v>0</v>
      </c>
      <c r="N29" s="8"/>
      <c r="O29" s="96"/>
    </row>
    <row r="30" spans="1:15">
      <c r="A30" s="67">
        <v>27</v>
      </c>
      <c r="B30" s="306">
        <v>45715</v>
      </c>
      <c r="C30" s="92"/>
      <c r="D30" s="99"/>
      <c r="E30" s="90"/>
      <c r="F30" s="90"/>
      <c r="G30" s="8"/>
      <c r="H30" s="90"/>
      <c r="I30" s="91"/>
      <c r="J30" s="8">
        <f t="shared" si="6"/>
        <v>0</v>
      </c>
      <c r="K30" s="8">
        <f t="shared" si="7"/>
        <v>0</v>
      </c>
      <c r="L30" s="93"/>
      <c r="M30" s="93">
        <v>0</v>
      </c>
      <c r="N30" s="8"/>
      <c r="O30" s="96"/>
    </row>
    <row r="31" spans="1:15">
      <c r="A31" s="67">
        <v>28</v>
      </c>
      <c r="B31" s="306">
        <v>45716</v>
      </c>
      <c r="C31" s="92"/>
      <c r="D31" s="99"/>
      <c r="E31" s="90"/>
      <c r="F31" s="90"/>
      <c r="G31" s="8"/>
      <c r="H31" s="90">
        <v>8.93</v>
      </c>
      <c r="I31" s="91">
        <v>102.46</v>
      </c>
      <c r="J31" s="8">
        <f t="shared" si="6"/>
        <v>914.9677999999999</v>
      </c>
      <c r="K31" s="8">
        <f>G31+J31</f>
        <v>914.9677999999999</v>
      </c>
      <c r="L31" s="93">
        <v>914.97</v>
      </c>
      <c r="M31" s="93">
        <v>0</v>
      </c>
      <c r="N31" s="8"/>
      <c r="O31" s="96"/>
    </row>
    <row r="32" spans="1:15">
      <c r="A32" s="87"/>
      <c r="B32" s="87"/>
      <c r="C32" s="87"/>
      <c r="D32" s="87"/>
      <c r="E32" s="88">
        <f>SUM(E4:E14)</f>
        <v>0</v>
      </c>
      <c r="F32" s="88"/>
      <c r="G32" s="88">
        <f>SUM(G4:G14)</f>
        <v>0</v>
      </c>
      <c r="H32" s="88">
        <f>SUM(H4:H31)</f>
        <v>42.47</v>
      </c>
      <c r="I32" s="88"/>
      <c r="J32" s="88">
        <f>SUM(J4:J31)</f>
        <v>4351.4761999999992</v>
      </c>
      <c r="K32" s="88">
        <f>SUM(K4:K31)</f>
        <v>4351.4761999999992</v>
      </c>
      <c r="L32" s="88">
        <f>SUM(L4:L31)</f>
        <v>4351.4783999999991</v>
      </c>
      <c r="M32" s="88"/>
      <c r="N32" s="88"/>
      <c r="O32" s="84"/>
    </row>
    <row r="33" spans="1:15">
      <c r="A33" s="101"/>
      <c r="B33" s="102"/>
      <c r="C33" s="101"/>
      <c r="D33" s="101"/>
      <c r="E33" s="103"/>
      <c r="F33" s="103"/>
      <c r="G33" s="103"/>
      <c r="H33" s="103"/>
      <c r="I33" s="103"/>
      <c r="J33" s="104"/>
      <c r="K33" s="104"/>
      <c r="L33" s="104"/>
      <c r="M33" s="104"/>
      <c r="N33" s="103"/>
      <c r="O33" s="96"/>
    </row>
    <row r="34" spans="1:15">
      <c r="O34" s="96"/>
    </row>
    <row r="35" spans="1:15">
      <c r="O35" s="96"/>
    </row>
    <row r="36" spans="1:15">
      <c r="O36" s="96"/>
    </row>
    <row r="37" spans="1:15">
      <c r="O37" s="96"/>
    </row>
    <row r="38" spans="1:15">
      <c r="O38" s="96"/>
    </row>
    <row r="39" spans="1:15">
      <c r="A39" s="96"/>
      <c r="B39" s="84"/>
      <c r="C39" s="96"/>
      <c r="D39" s="96"/>
      <c r="E39" s="96"/>
      <c r="F39" s="96"/>
      <c r="G39" s="105"/>
      <c r="H39" s="96"/>
      <c r="I39" s="96"/>
      <c r="J39" s="84"/>
      <c r="K39" s="84"/>
      <c r="L39" s="84"/>
      <c r="M39" s="84"/>
      <c r="N39" s="96"/>
      <c r="O39" s="103"/>
    </row>
    <row r="40" spans="1:15">
      <c r="A40" s="96"/>
      <c r="B40" s="437"/>
      <c r="C40" s="437"/>
      <c r="D40" s="437"/>
      <c r="E40" s="437"/>
      <c r="F40" s="96"/>
      <c r="G40" s="96"/>
      <c r="H40" s="96"/>
      <c r="I40" s="437"/>
      <c r="J40" s="437"/>
      <c r="K40" s="437"/>
      <c r="L40" s="437"/>
      <c r="M40" s="437"/>
      <c r="N40" s="437"/>
      <c r="O40" s="103"/>
    </row>
    <row r="41" spans="1:15">
      <c r="A41" s="96"/>
      <c r="B41" s="84"/>
      <c r="C41" s="96"/>
      <c r="D41" s="96"/>
      <c r="E41" s="96"/>
      <c r="F41" s="96"/>
      <c r="G41" s="96"/>
      <c r="H41" s="96"/>
      <c r="I41" s="96"/>
      <c r="J41" s="84"/>
      <c r="K41" s="84"/>
      <c r="L41" s="84"/>
      <c r="M41" s="84"/>
      <c r="N41" s="96"/>
      <c r="O41" s="103"/>
    </row>
  </sheetData>
  <mergeCells count="4">
    <mergeCell ref="B40:E40"/>
    <mergeCell ref="I40:N40"/>
    <mergeCell ref="A1:N1"/>
    <mergeCell ref="A3:L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F5E-9E9B-42D1-AB84-1EC3DDAE3F46}">
  <dimension ref="A1:N38"/>
  <sheetViews>
    <sheetView workbookViewId="0">
      <selection activeCell="O7" sqref="O7"/>
    </sheetView>
  </sheetViews>
  <sheetFormatPr defaultColWidth="10.5703125" defaultRowHeight="15" customHeight="1"/>
  <cols>
    <col min="3" max="3" width="12.85546875" customWidth="1"/>
    <col min="10" max="10" width="13.85546875" customWidth="1"/>
    <col min="11" max="11" width="16.5703125" customWidth="1"/>
    <col min="12" max="12" width="16.140625" customWidth="1"/>
    <col min="13" max="13" width="17.42578125" customWidth="1"/>
  </cols>
  <sheetData>
    <row r="1" spans="1:14" ht="15" customHeight="1">
      <c r="A1" s="429" t="s">
        <v>89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</row>
    <row r="2" spans="1:14" ht="15" customHeight="1">
      <c r="A2" s="89" t="s">
        <v>1</v>
      </c>
      <c r="B2" s="113" t="s">
        <v>2</v>
      </c>
      <c r="C2" s="113" t="s">
        <v>139</v>
      </c>
      <c r="D2" s="113" t="s">
        <v>5</v>
      </c>
      <c r="E2" s="113" t="s">
        <v>6</v>
      </c>
      <c r="F2" s="121" t="s">
        <v>7</v>
      </c>
      <c r="G2" s="113" t="s">
        <v>8</v>
      </c>
      <c r="H2" s="113" t="s">
        <v>6</v>
      </c>
      <c r="I2" s="121" t="s">
        <v>7</v>
      </c>
      <c r="J2" s="89" t="s">
        <v>9</v>
      </c>
      <c r="K2" s="122" t="s">
        <v>140</v>
      </c>
      <c r="L2" s="163" t="s">
        <v>11</v>
      </c>
      <c r="M2" s="161" t="s">
        <v>12</v>
      </c>
    </row>
    <row r="3" spans="1:14" ht="15" customHeight="1">
      <c r="A3" s="441" t="s">
        <v>141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3">
        <f>SUM(100000+5000+1000+199000-K33)</f>
        <v>-666065.3531999999</v>
      </c>
      <c r="M3" s="444"/>
    </row>
    <row r="4" spans="1:14" ht="15" customHeight="1">
      <c r="A4" s="6">
        <v>1</v>
      </c>
      <c r="B4" s="107" t="s">
        <v>142</v>
      </c>
      <c r="C4" s="6"/>
      <c r="D4" s="90">
        <v>444.62</v>
      </c>
      <c r="E4" s="6">
        <v>96.36</v>
      </c>
      <c r="F4" s="91">
        <f>D4*E4</f>
        <v>42843.583200000001</v>
      </c>
      <c r="G4" s="90"/>
      <c r="H4" s="6"/>
      <c r="I4" s="91">
        <f>G4*H4</f>
        <v>0</v>
      </c>
      <c r="J4" s="91">
        <f>F4+I4</f>
        <v>42843.583200000001</v>
      </c>
      <c r="K4" s="208">
        <f>+J4</f>
        <v>42843.583200000001</v>
      </c>
      <c r="L4" s="300">
        <v>0</v>
      </c>
      <c r="M4" s="301" t="s">
        <v>143</v>
      </c>
    </row>
    <row r="5" spans="1:14" ht="15" customHeight="1">
      <c r="A5" s="6">
        <v>2</v>
      </c>
      <c r="B5" s="107" t="s">
        <v>144</v>
      </c>
      <c r="C5" s="6"/>
      <c r="D5" s="90">
        <v>0</v>
      </c>
      <c r="E5" s="6">
        <v>96.36</v>
      </c>
      <c r="F5" s="91">
        <f t="shared" ref="F5:F32" si="0">D5*E5</f>
        <v>0</v>
      </c>
      <c r="G5" s="90">
        <v>10</v>
      </c>
      <c r="H5" s="6">
        <v>108.17</v>
      </c>
      <c r="I5" s="91">
        <f>G5*H5</f>
        <v>1081.7</v>
      </c>
      <c r="J5" s="91">
        <f>F5+I5</f>
        <v>1081.7</v>
      </c>
      <c r="K5" s="208">
        <f>+J5</f>
        <v>1081.7</v>
      </c>
      <c r="L5" s="194">
        <v>0</v>
      </c>
      <c r="M5" s="67" t="s">
        <v>143</v>
      </c>
    </row>
    <row r="6" spans="1:14" ht="15" customHeight="1">
      <c r="A6" s="6">
        <v>3</v>
      </c>
      <c r="B6" s="107" t="s">
        <v>145</v>
      </c>
      <c r="C6" s="6"/>
      <c r="D6" s="90">
        <v>420.97</v>
      </c>
      <c r="E6" s="6">
        <v>96.36</v>
      </c>
      <c r="F6" s="91">
        <f t="shared" si="0"/>
        <v>40564.669200000004</v>
      </c>
      <c r="G6" s="90">
        <v>5</v>
      </c>
      <c r="H6" s="6">
        <v>108.17</v>
      </c>
      <c r="I6" s="91">
        <f t="shared" ref="I6:I33" si="1">G6*H6</f>
        <v>540.85</v>
      </c>
      <c r="J6" s="91">
        <f t="shared" ref="J5:J19" si="2">F6+I6</f>
        <v>41105.519200000002</v>
      </c>
      <c r="K6" s="208">
        <f>+J6</f>
        <v>41105.519200000002</v>
      </c>
      <c r="L6" s="194">
        <v>0</v>
      </c>
      <c r="M6" s="67" t="s">
        <v>143</v>
      </c>
    </row>
    <row r="7" spans="1:14" ht="15" customHeight="1">
      <c r="A7" s="6">
        <v>4</v>
      </c>
      <c r="B7" s="107" t="s">
        <v>146</v>
      </c>
      <c r="C7" s="6"/>
      <c r="D7" s="90">
        <v>0</v>
      </c>
      <c r="E7" s="6">
        <v>96.36</v>
      </c>
      <c r="F7" s="91">
        <f t="shared" si="0"/>
        <v>0</v>
      </c>
      <c r="G7" s="90"/>
      <c r="H7" s="6"/>
      <c r="I7" s="91">
        <f t="shared" si="1"/>
        <v>0</v>
      </c>
      <c r="J7" s="91">
        <f t="shared" si="2"/>
        <v>0</v>
      </c>
      <c r="K7" s="208">
        <f>+J7</f>
        <v>0</v>
      </c>
      <c r="L7" s="194">
        <v>0</v>
      </c>
      <c r="M7" s="67" t="s">
        <v>143</v>
      </c>
    </row>
    <row r="8" spans="1:14" ht="15" customHeight="1">
      <c r="A8" s="6">
        <v>5</v>
      </c>
      <c r="B8" s="223" t="s">
        <v>147</v>
      </c>
      <c r="C8" s="222"/>
      <c r="D8" s="224">
        <v>0</v>
      </c>
      <c r="E8" s="6">
        <v>96.36</v>
      </c>
      <c r="F8" s="91">
        <f t="shared" si="0"/>
        <v>0</v>
      </c>
      <c r="G8" s="224"/>
      <c r="H8" s="222"/>
      <c r="I8" s="91">
        <f t="shared" si="1"/>
        <v>0</v>
      </c>
      <c r="J8" s="91">
        <f t="shared" si="2"/>
        <v>0</v>
      </c>
      <c r="K8" s="208">
        <f>+J8</f>
        <v>0</v>
      </c>
      <c r="L8" s="227">
        <v>0</v>
      </c>
      <c r="M8" s="328" t="s">
        <v>143</v>
      </c>
    </row>
    <row r="9" spans="1:14" ht="15" customHeight="1">
      <c r="A9" s="6">
        <v>6</v>
      </c>
      <c r="B9" s="107" t="s">
        <v>148</v>
      </c>
      <c r="C9" s="6"/>
      <c r="D9" s="90">
        <v>400</v>
      </c>
      <c r="E9" s="6">
        <v>96.36</v>
      </c>
      <c r="F9" s="91">
        <f t="shared" si="0"/>
        <v>38544</v>
      </c>
      <c r="G9" s="90">
        <v>0</v>
      </c>
      <c r="H9" s="6">
        <v>0</v>
      </c>
      <c r="I9" s="91">
        <f t="shared" si="1"/>
        <v>0</v>
      </c>
      <c r="J9" s="91">
        <f t="shared" si="2"/>
        <v>38544</v>
      </c>
      <c r="K9" s="208">
        <f>+J9</f>
        <v>38544</v>
      </c>
      <c r="L9" s="227">
        <v>0</v>
      </c>
      <c r="M9" s="67"/>
    </row>
    <row r="10" spans="1:14" ht="15" customHeight="1">
      <c r="A10" s="6">
        <v>7</v>
      </c>
      <c r="B10" s="107" t="s">
        <v>149</v>
      </c>
      <c r="C10" s="6"/>
      <c r="D10" s="90">
        <v>20</v>
      </c>
      <c r="E10" s="6">
        <v>96.36</v>
      </c>
      <c r="F10" s="91">
        <f t="shared" si="0"/>
        <v>1927.2</v>
      </c>
      <c r="G10" s="90">
        <v>5</v>
      </c>
      <c r="H10" s="6">
        <v>108.17</v>
      </c>
      <c r="I10" s="91">
        <f t="shared" si="1"/>
        <v>540.85</v>
      </c>
      <c r="J10" s="91">
        <f>F10+I10</f>
        <v>2468.0500000000002</v>
      </c>
      <c r="K10" s="208">
        <f>+J10</f>
        <v>2468.0500000000002</v>
      </c>
      <c r="L10" s="227">
        <v>0</v>
      </c>
      <c r="M10" s="67"/>
    </row>
    <row r="11" spans="1:14" ht="15" customHeight="1">
      <c r="A11" s="6">
        <v>8</v>
      </c>
      <c r="B11" s="107" t="s">
        <v>150</v>
      </c>
      <c r="C11" s="6"/>
      <c r="D11" s="90">
        <v>400</v>
      </c>
      <c r="E11" s="6">
        <v>96.36</v>
      </c>
      <c r="F11" s="91">
        <f t="shared" si="0"/>
        <v>38544</v>
      </c>
      <c r="G11" s="90"/>
      <c r="H11" s="6">
        <v>108.17</v>
      </c>
      <c r="I11" s="91">
        <f t="shared" si="1"/>
        <v>0</v>
      </c>
      <c r="J11" s="91">
        <f t="shared" si="2"/>
        <v>38544</v>
      </c>
      <c r="K11" s="208">
        <f>+J11</f>
        <v>38544</v>
      </c>
      <c r="L11" s="227">
        <v>0</v>
      </c>
      <c r="M11" s="67"/>
    </row>
    <row r="12" spans="1:14" ht="15" customHeight="1">
      <c r="A12" s="6">
        <v>9</v>
      </c>
      <c r="B12" s="107" t="s">
        <v>151</v>
      </c>
      <c r="C12" s="6"/>
      <c r="D12" s="90">
        <v>20</v>
      </c>
      <c r="E12" s="6">
        <v>96.36</v>
      </c>
      <c r="F12" s="91">
        <f t="shared" si="0"/>
        <v>1927.2</v>
      </c>
      <c r="G12" s="90">
        <v>5</v>
      </c>
      <c r="H12" s="6">
        <v>108.17</v>
      </c>
      <c r="I12" s="91">
        <f t="shared" si="1"/>
        <v>540.85</v>
      </c>
      <c r="J12" s="91">
        <f t="shared" si="2"/>
        <v>2468.0500000000002</v>
      </c>
      <c r="K12" s="208">
        <f>+J12</f>
        <v>2468.0500000000002</v>
      </c>
      <c r="L12" s="227">
        <v>0</v>
      </c>
      <c r="M12" s="67"/>
      <c r="N12">
        <v>269165.92</v>
      </c>
    </row>
    <row r="13" spans="1:14" ht="15" customHeight="1">
      <c r="A13" s="6">
        <v>10</v>
      </c>
      <c r="B13" s="107" t="s">
        <v>152</v>
      </c>
      <c r="C13" s="6"/>
      <c r="D13" s="90">
        <v>400</v>
      </c>
      <c r="E13" s="6">
        <v>96.36</v>
      </c>
      <c r="F13" s="91">
        <f t="shared" si="0"/>
        <v>38544</v>
      </c>
      <c r="G13" s="90">
        <v>5</v>
      </c>
      <c r="H13" s="6">
        <v>108.17</v>
      </c>
      <c r="I13" s="91">
        <f t="shared" si="1"/>
        <v>540.85</v>
      </c>
      <c r="J13" s="91">
        <f t="shared" si="2"/>
        <v>39084.85</v>
      </c>
      <c r="K13" s="208">
        <f>+J13</f>
        <v>39084.85</v>
      </c>
      <c r="L13" s="227">
        <v>0</v>
      </c>
      <c r="M13" s="67"/>
    </row>
    <row r="14" spans="1:14" ht="15" customHeight="1">
      <c r="A14" s="6">
        <v>11</v>
      </c>
      <c r="B14" s="107" t="s">
        <v>153</v>
      </c>
      <c r="C14" s="6"/>
      <c r="D14" s="90">
        <v>420</v>
      </c>
      <c r="E14" s="6">
        <v>96.36</v>
      </c>
      <c r="F14" s="91">
        <f t="shared" si="0"/>
        <v>40471.199999999997</v>
      </c>
      <c r="G14" s="90">
        <v>5</v>
      </c>
      <c r="H14" s="6">
        <v>108.17</v>
      </c>
      <c r="I14" s="91">
        <f t="shared" si="1"/>
        <v>540.85</v>
      </c>
      <c r="J14" s="91">
        <f>F14+I14</f>
        <v>41012.049999999996</v>
      </c>
      <c r="K14" s="208">
        <f>+J14</f>
        <v>41012.049999999996</v>
      </c>
      <c r="L14" s="227">
        <v>0</v>
      </c>
      <c r="M14" s="67"/>
    </row>
    <row r="15" spans="1:14" ht="15" customHeight="1">
      <c r="A15" s="6">
        <v>12</v>
      </c>
      <c r="B15" s="107" t="s">
        <v>154</v>
      </c>
      <c r="C15" s="6"/>
      <c r="D15" s="90">
        <v>200</v>
      </c>
      <c r="E15" s="6">
        <v>96.36</v>
      </c>
      <c r="F15" s="91">
        <f t="shared" si="0"/>
        <v>19272</v>
      </c>
      <c r="G15" s="90"/>
      <c r="H15" s="6"/>
      <c r="I15" s="91">
        <f t="shared" si="1"/>
        <v>0</v>
      </c>
      <c r="J15" s="91">
        <f t="shared" si="2"/>
        <v>19272</v>
      </c>
      <c r="K15" s="208">
        <f>+J15</f>
        <v>19272</v>
      </c>
      <c r="L15" s="227">
        <v>0</v>
      </c>
      <c r="M15" s="67"/>
    </row>
    <row r="16" spans="1:14" ht="15" customHeight="1">
      <c r="A16" s="6">
        <v>13</v>
      </c>
      <c r="B16" s="107" t="s">
        <v>155</v>
      </c>
      <c r="C16" s="6"/>
      <c r="D16" s="90">
        <v>420</v>
      </c>
      <c r="E16" s="6">
        <v>96.36</v>
      </c>
      <c r="F16" s="91">
        <f t="shared" si="0"/>
        <v>40471.199999999997</v>
      </c>
      <c r="G16" s="90"/>
      <c r="H16" s="6"/>
      <c r="I16" s="91">
        <f t="shared" si="1"/>
        <v>0</v>
      </c>
      <c r="J16" s="91">
        <f t="shared" si="2"/>
        <v>40471.199999999997</v>
      </c>
      <c r="K16" s="208">
        <f>+J16</f>
        <v>40471.199999999997</v>
      </c>
      <c r="L16" s="227">
        <v>0</v>
      </c>
      <c r="M16" s="67"/>
    </row>
    <row r="17" spans="1:14" ht="15" customHeight="1">
      <c r="A17" s="6">
        <v>14</v>
      </c>
      <c r="B17" s="107" t="s">
        <v>156</v>
      </c>
      <c r="C17" s="6"/>
      <c r="D17" s="90">
        <v>400</v>
      </c>
      <c r="E17" s="6">
        <v>96.36</v>
      </c>
      <c r="F17" s="91">
        <f t="shared" si="0"/>
        <v>38544</v>
      </c>
      <c r="G17" s="90">
        <v>10</v>
      </c>
      <c r="H17" s="6">
        <v>108.17</v>
      </c>
      <c r="I17" s="91">
        <f t="shared" si="1"/>
        <v>1081.7</v>
      </c>
      <c r="J17" s="91">
        <f t="shared" si="2"/>
        <v>39625.699999999997</v>
      </c>
      <c r="K17" s="208">
        <f>+J17</f>
        <v>39625.699999999997</v>
      </c>
      <c r="L17" s="227">
        <v>0</v>
      </c>
      <c r="M17" s="67"/>
    </row>
    <row r="18" spans="1:14" ht="15" customHeight="1">
      <c r="A18" s="6">
        <v>15</v>
      </c>
      <c r="B18" s="107" t="s">
        <v>157</v>
      </c>
      <c r="C18" s="6"/>
      <c r="D18" s="90">
        <v>0</v>
      </c>
      <c r="E18" s="6">
        <v>96.36</v>
      </c>
      <c r="F18" s="91">
        <f t="shared" si="0"/>
        <v>0</v>
      </c>
      <c r="G18" s="90">
        <v>5</v>
      </c>
      <c r="H18" s="6">
        <v>108.17</v>
      </c>
      <c r="I18" s="91">
        <f t="shared" si="1"/>
        <v>540.85</v>
      </c>
      <c r="J18" s="91">
        <f t="shared" si="2"/>
        <v>540.85</v>
      </c>
      <c r="K18" s="208">
        <f>+J18</f>
        <v>540.85</v>
      </c>
      <c r="L18" s="227">
        <v>0</v>
      </c>
      <c r="M18" s="67"/>
    </row>
    <row r="19" spans="1:14" ht="15" customHeight="1">
      <c r="A19" s="6">
        <v>16</v>
      </c>
      <c r="B19" s="107" t="s">
        <v>158</v>
      </c>
      <c r="C19" s="6"/>
      <c r="D19" s="90">
        <v>400</v>
      </c>
      <c r="E19" s="6">
        <v>96.36</v>
      </c>
      <c r="F19" s="91">
        <f t="shared" si="0"/>
        <v>38544</v>
      </c>
      <c r="G19" s="90">
        <v>15</v>
      </c>
      <c r="H19" s="6">
        <v>108.17</v>
      </c>
      <c r="I19" s="91">
        <f t="shared" si="1"/>
        <v>1622.55</v>
      </c>
      <c r="J19" s="91">
        <f>F19+I19</f>
        <v>40166.550000000003</v>
      </c>
      <c r="K19" s="208">
        <f>+J19</f>
        <v>40166.550000000003</v>
      </c>
      <c r="L19" s="227">
        <v>0</v>
      </c>
      <c r="M19" s="67"/>
    </row>
    <row r="20" spans="1:14" ht="15" customHeight="1">
      <c r="A20" s="6">
        <v>17</v>
      </c>
      <c r="B20" s="107" t="s">
        <v>159</v>
      </c>
      <c r="C20" s="6"/>
      <c r="D20" s="90">
        <v>438.92</v>
      </c>
      <c r="E20" s="6">
        <v>96.36</v>
      </c>
      <c r="F20" s="91">
        <f t="shared" si="0"/>
        <v>42294.331200000001</v>
      </c>
      <c r="G20" s="90"/>
      <c r="H20" s="6">
        <v>108.17</v>
      </c>
      <c r="I20" s="91">
        <f t="shared" si="1"/>
        <v>0</v>
      </c>
      <c r="J20" s="91">
        <f t="shared" ref="J20:J24" si="3">F20+I20</f>
        <v>42294.331200000001</v>
      </c>
      <c r="K20" s="208">
        <f>+J20</f>
        <v>42294.331200000001</v>
      </c>
      <c r="L20" s="227">
        <v>0</v>
      </c>
      <c r="M20" s="67"/>
    </row>
    <row r="21" spans="1:14" ht="15" customHeight="1">
      <c r="A21" s="6">
        <v>18</v>
      </c>
      <c r="B21" s="107" t="s">
        <v>160</v>
      </c>
      <c r="C21" s="6"/>
      <c r="D21" s="90">
        <v>420</v>
      </c>
      <c r="E21" s="6">
        <v>96.36</v>
      </c>
      <c r="F21" s="91">
        <f t="shared" si="0"/>
        <v>40471.199999999997</v>
      </c>
      <c r="G21" s="90">
        <v>5</v>
      </c>
      <c r="H21" s="6">
        <v>108.17</v>
      </c>
      <c r="I21" s="91">
        <f t="shared" si="1"/>
        <v>540.85</v>
      </c>
      <c r="J21" s="91">
        <f t="shared" si="3"/>
        <v>41012.049999999996</v>
      </c>
      <c r="K21" s="208">
        <f>+J21</f>
        <v>41012.049999999996</v>
      </c>
      <c r="L21" s="227"/>
      <c r="M21" s="67"/>
    </row>
    <row r="22" spans="1:14" ht="15" customHeight="1">
      <c r="A22" s="6">
        <v>19</v>
      </c>
      <c r="B22" s="107" t="s">
        <v>161</v>
      </c>
      <c r="C22" s="6"/>
      <c r="D22" s="90">
        <v>0</v>
      </c>
      <c r="E22" s="6">
        <v>96.36</v>
      </c>
      <c r="F22" s="91">
        <f t="shared" si="0"/>
        <v>0</v>
      </c>
      <c r="G22" s="90"/>
      <c r="H22" s="6"/>
      <c r="I22" s="91">
        <f t="shared" si="1"/>
        <v>0</v>
      </c>
      <c r="J22" s="91">
        <f t="shared" si="3"/>
        <v>0</v>
      </c>
      <c r="K22" s="208">
        <f>+J22</f>
        <v>0</v>
      </c>
      <c r="L22" s="194">
        <v>5000</v>
      </c>
      <c r="M22" s="67"/>
    </row>
    <row r="23" spans="1:14" ht="15" customHeight="1">
      <c r="A23" s="6">
        <v>20</v>
      </c>
      <c r="B23" s="107" t="s">
        <v>162</v>
      </c>
      <c r="C23" s="6"/>
      <c r="D23" s="90">
        <v>433.01</v>
      </c>
      <c r="E23" s="6">
        <v>96.36</v>
      </c>
      <c r="F23" s="91">
        <f t="shared" si="0"/>
        <v>41724.8436</v>
      </c>
      <c r="G23" s="90"/>
      <c r="H23" s="6"/>
      <c r="I23" s="91">
        <f t="shared" si="1"/>
        <v>0</v>
      </c>
      <c r="J23" s="91">
        <f t="shared" si="3"/>
        <v>41724.8436</v>
      </c>
      <c r="K23" s="208">
        <f>+J23</f>
        <v>41724.8436</v>
      </c>
      <c r="L23" s="227">
        <v>1000</v>
      </c>
      <c r="M23" s="67"/>
    </row>
    <row r="24" spans="1:14" ht="15" customHeight="1">
      <c r="A24" s="6">
        <v>21</v>
      </c>
      <c r="B24" s="107" t="s">
        <v>163</v>
      </c>
      <c r="C24" s="6"/>
      <c r="D24" s="90">
        <v>220</v>
      </c>
      <c r="E24" s="6">
        <v>96.36</v>
      </c>
      <c r="F24" s="91">
        <f t="shared" si="0"/>
        <v>21199.200000000001</v>
      </c>
      <c r="G24" s="90">
        <v>15</v>
      </c>
      <c r="H24" s="6">
        <v>108.17</v>
      </c>
      <c r="I24" s="91">
        <f t="shared" si="1"/>
        <v>1622.55</v>
      </c>
      <c r="J24" s="91">
        <f>F24+I24</f>
        <v>22821.75</v>
      </c>
      <c r="K24" s="208">
        <f>+J24</f>
        <v>22821.75</v>
      </c>
      <c r="L24" s="194"/>
      <c r="M24" s="145"/>
      <c r="N24">
        <v>199000</v>
      </c>
    </row>
    <row r="25" spans="1:14" ht="15" customHeight="1">
      <c r="A25" s="222">
        <v>22</v>
      </c>
      <c r="B25" s="223" t="s">
        <v>164</v>
      </c>
      <c r="C25" s="222"/>
      <c r="D25" s="224">
        <v>400</v>
      </c>
      <c r="E25" s="222">
        <v>96.36</v>
      </c>
      <c r="F25" s="225">
        <f t="shared" si="0"/>
        <v>38544</v>
      </c>
      <c r="G25" s="392">
        <v>10</v>
      </c>
      <c r="H25" s="222">
        <v>108.17</v>
      </c>
      <c r="I25" s="225">
        <f t="shared" si="1"/>
        <v>1081.7</v>
      </c>
      <c r="J25" s="225">
        <f>F25+I25</f>
        <v>39625.699999999997</v>
      </c>
      <c r="K25" s="208">
        <f>+J25</f>
        <v>39625.699999999997</v>
      </c>
      <c r="L25" s="227"/>
      <c r="M25" s="390"/>
    </row>
    <row r="26" spans="1:14" ht="15" customHeight="1">
      <c r="A26" s="222">
        <v>23</v>
      </c>
      <c r="B26" s="223" t="s">
        <v>165</v>
      </c>
      <c r="C26" s="222"/>
      <c r="D26" s="224">
        <v>400</v>
      </c>
      <c r="E26" s="222">
        <v>96.36</v>
      </c>
      <c r="F26" s="225">
        <f t="shared" si="0"/>
        <v>38544</v>
      </c>
      <c r="G26" s="224">
        <v>0</v>
      </c>
      <c r="H26" s="222"/>
      <c r="I26" s="225">
        <f t="shared" si="1"/>
        <v>0</v>
      </c>
      <c r="J26" s="225">
        <f>F26+I26</f>
        <v>38544</v>
      </c>
      <c r="K26" s="208">
        <f>+J26</f>
        <v>38544</v>
      </c>
      <c r="L26" s="227"/>
      <c r="M26" s="390"/>
    </row>
    <row r="27" spans="1:14" ht="15" customHeight="1">
      <c r="A27" s="222">
        <v>24</v>
      </c>
      <c r="B27" s="223" t="s">
        <v>166</v>
      </c>
      <c r="C27" s="222"/>
      <c r="D27" s="224">
        <v>400</v>
      </c>
      <c r="E27" s="222">
        <v>96.36</v>
      </c>
      <c r="F27" s="225">
        <f t="shared" si="0"/>
        <v>38544</v>
      </c>
      <c r="G27" s="224">
        <v>5</v>
      </c>
      <c r="H27" s="222">
        <v>108.17</v>
      </c>
      <c r="I27" s="225">
        <f t="shared" si="1"/>
        <v>540.85</v>
      </c>
      <c r="J27" s="225">
        <f>F27+I27</f>
        <v>39084.85</v>
      </c>
      <c r="K27" s="208">
        <f>+J27</f>
        <v>39084.85</v>
      </c>
      <c r="L27" s="227"/>
      <c r="M27" s="390"/>
    </row>
    <row r="28" spans="1:14" ht="15" customHeight="1">
      <c r="A28" s="222">
        <v>25</v>
      </c>
      <c r="B28" s="223" t="s">
        <v>167</v>
      </c>
      <c r="C28" s="222"/>
      <c r="D28" s="224">
        <v>460.19</v>
      </c>
      <c r="E28" s="222">
        <v>96.36</v>
      </c>
      <c r="F28" s="225">
        <f t="shared" si="0"/>
        <v>44343.9084</v>
      </c>
      <c r="G28" s="224"/>
      <c r="H28" s="222"/>
      <c r="I28" s="225">
        <f t="shared" si="1"/>
        <v>0</v>
      </c>
      <c r="J28" s="225">
        <f>F28+I28</f>
        <v>44343.9084</v>
      </c>
      <c r="K28" s="208">
        <f>+J28</f>
        <v>44343.9084</v>
      </c>
      <c r="L28" s="227"/>
      <c r="M28" s="390"/>
    </row>
    <row r="29" spans="1:14" ht="15" customHeight="1">
      <c r="A29" s="222">
        <v>26</v>
      </c>
      <c r="B29" s="223" t="s">
        <v>168</v>
      </c>
      <c r="C29" s="222"/>
      <c r="D29" s="224">
        <v>692.86</v>
      </c>
      <c r="E29" s="222">
        <v>96.36</v>
      </c>
      <c r="F29" s="225">
        <f t="shared" si="0"/>
        <v>66763.989600000001</v>
      </c>
      <c r="G29" s="224">
        <v>5</v>
      </c>
      <c r="H29" s="222">
        <v>108.17</v>
      </c>
      <c r="I29" s="225">
        <f t="shared" si="1"/>
        <v>540.85</v>
      </c>
      <c r="J29" s="225">
        <f>F29+I29</f>
        <v>67304.839600000007</v>
      </c>
      <c r="K29" s="208">
        <f>+J29</f>
        <v>67304.839600000007</v>
      </c>
      <c r="L29" s="227"/>
      <c r="M29" s="390"/>
    </row>
    <row r="30" spans="1:14" ht="15" customHeight="1">
      <c r="A30" s="222">
        <v>27</v>
      </c>
      <c r="B30" s="223" t="s">
        <v>169</v>
      </c>
      <c r="C30" s="222"/>
      <c r="D30" s="224">
        <v>600</v>
      </c>
      <c r="E30" s="222">
        <v>96.36</v>
      </c>
      <c r="F30" s="225">
        <f t="shared" si="0"/>
        <v>57816</v>
      </c>
      <c r="G30" s="224">
        <v>5</v>
      </c>
      <c r="H30" s="222">
        <v>108.17</v>
      </c>
      <c r="I30" s="225">
        <f t="shared" si="1"/>
        <v>540.85</v>
      </c>
      <c r="J30" s="225">
        <f>F30+I30</f>
        <v>58356.85</v>
      </c>
      <c r="K30" s="208">
        <f>+J30</f>
        <v>58356.85</v>
      </c>
      <c r="L30" s="227"/>
      <c r="M30" s="390"/>
    </row>
    <row r="31" spans="1:14" ht="15" customHeight="1">
      <c r="A31" s="222">
        <v>28</v>
      </c>
      <c r="B31" s="223" t="s">
        <v>170</v>
      </c>
      <c r="C31" s="222"/>
      <c r="D31" s="224">
        <v>660.68</v>
      </c>
      <c r="E31" s="222">
        <v>96.36</v>
      </c>
      <c r="F31" s="225">
        <f t="shared" si="0"/>
        <v>63663.124799999998</v>
      </c>
      <c r="G31" s="224"/>
      <c r="H31" s="222"/>
      <c r="I31" s="225">
        <f t="shared" si="1"/>
        <v>0</v>
      </c>
      <c r="J31" s="225">
        <f>F31+I31</f>
        <v>63663.124799999998</v>
      </c>
      <c r="K31" s="208">
        <f>+J31</f>
        <v>63663.124799999998</v>
      </c>
      <c r="L31" s="227"/>
      <c r="M31" s="390"/>
    </row>
    <row r="32" spans="1:14" ht="15" customHeight="1">
      <c r="A32" s="222">
        <v>29</v>
      </c>
      <c r="B32" s="223" t="s">
        <v>171</v>
      </c>
      <c r="C32" s="222"/>
      <c r="D32" s="224">
        <v>871.62</v>
      </c>
      <c r="E32" s="222">
        <v>96.36</v>
      </c>
      <c r="F32" s="225">
        <f t="shared" si="0"/>
        <v>83989.303199999995</v>
      </c>
      <c r="G32" s="224">
        <v>10</v>
      </c>
      <c r="H32" s="222">
        <v>107.17</v>
      </c>
      <c r="I32" s="225">
        <f t="shared" si="1"/>
        <v>1071.7</v>
      </c>
      <c r="J32" s="225">
        <f>F32+I32</f>
        <v>85061.003199999992</v>
      </c>
      <c r="K32" s="208">
        <f>+J32</f>
        <v>85061.003199999992</v>
      </c>
      <c r="L32" s="227"/>
      <c r="M32" s="390"/>
    </row>
    <row r="33" spans="1:13" ht="15" customHeight="1">
      <c r="A33" s="63" t="s">
        <v>138</v>
      </c>
      <c r="B33" s="63"/>
      <c r="C33" s="63"/>
      <c r="D33" s="63">
        <f>SUM(D4:D32)</f>
        <v>9942.8700000000008</v>
      </c>
      <c r="E33" s="290"/>
      <c r="F33" s="63">
        <f>SUM(F4:F32)</f>
        <v>958094.95319999999</v>
      </c>
      <c r="G33" s="63">
        <f>SUM(G4:G32)</f>
        <v>120</v>
      </c>
      <c r="H33" s="64"/>
      <c r="I33" s="63">
        <f>SUM(I4:I32)</f>
        <v>12970.400000000003</v>
      </c>
      <c r="J33" s="63">
        <f>SUM(J4:J32)</f>
        <v>971065.3531999999</v>
      </c>
      <c r="K33" s="64">
        <f>SUM(K4:K32)</f>
        <v>971065.3531999999</v>
      </c>
      <c r="L33" s="64">
        <f>SUM(L4:L25)</f>
        <v>6000</v>
      </c>
      <c r="M33" s="389">
        <f>+L3</f>
        <v>-666065.3531999999</v>
      </c>
    </row>
    <row r="36" spans="1:13" ht="15" customHeight="1">
      <c r="M36">
        <v>581014.35</v>
      </c>
    </row>
    <row r="37" spans="1:13" ht="15" customHeight="1">
      <c r="M37">
        <v>659184.05000000005</v>
      </c>
    </row>
    <row r="38" spans="1:13" ht="15" customHeight="1">
      <c r="M38">
        <v>666085.35</v>
      </c>
    </row>
  </sheetData>
  <mergeCells count="3">
    <mergeCell ref="A1:M1"/>
    <mergeCell ref="A3:K3"/>
    <mergeCell ref="L3:M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6"/>
  <sheetViews>
    <sheetView workbookViewId="0">
      <selection activeCell="Q36" sqref="Q36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8.140625" customWidth="1"/>
    <col min="5" max="5" width="9.7109375" bestFit="1" customWidth="1"/>
    <col min="6" max="6" width="7" bestFit="1" customWidth="1"/>
    <col min="7" max="7" width="10.85546875" bestFit="1" customWidth="1"/>
    <col min="9" max="9" width="8.14062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1.7109375" bestFit="1" customWidth="1"/>
  </cols>
  <sheetData>
    <row r="1" spans="1:15" ht="15.75">
      <c r="A1" s="425" t="s">
        <v>116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77"/>
    </row>
    <row r="2" spans="1:15" ht="30.75">
      <c r="A2" s="89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6</v>
      </c>
      <c r="J2" s="114" t="s">
        <v>7</v>
      </c>
      <c r="K2" s="89" t="s">
        <v>9</v>
      </c>
      <c r="L2" s="115" t="s">
        <v>10</v>
      </c>
      <c r="M2" s="212" t="s">
        <v>11</v>
      </c>
      <c r="N2" s="113" t="s">
        <v>12</v>
      </c>
      <c r="O2" s="84"/>
    </row>
    <row r="3" spans="1:15">
      <c r="A3" s="190"/>
      <c r="B3" s="191"/>
      <c r="C3" s="191"/>
      <c r="D3" s="170" t="s">
        <v>13</v>
      </c>
      <c r="E3" s="191"/>
      <c r="F3" s="191"/>
      <c r="G3" s="191"/>
      <c r="H3" s="191"/>
      <c r="I3" s="191"/>
      <c r="J3" s="192"/>
      <c r="K3" s="190">
        <v>0</v>
      </c>
      <c r="L3" s="193">
        <v>0</v>
      </c>
      <c r="M3" s="193">
        <f>+K3</f>
        <v>0</v>
      </c>
      <c r="N3" s="191"/>
      <c r="O3" s="84"/>
    </row>
    <row r="4" spans="1:15">
      <c r="A4" s="67">
        <v>1</v>
      </c>
      <c r="B4" s="314">
        <v>45689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93">
        <v>0</v>
      </c>
      <c r="M4" s="8">
        <f>M3+K4-L4</f>
        <v>0</v>
      </c>
      <c r="N4" s="65"/>
      <c r="O4" s="1"/>
    </row>
    <row r="5" spans="1:15">
      <c r="A5" s="67">
        <v>2</v>
      </c>
      <c r="B5" s="314">
        <v>45690</v>
      </c>
      <c r="C5" s="27"/>
      <c r="D5" s="27"/>
      <c r="E5" s="8">
        <v>0</v>
      </c>
      <c r="F5" s="8">
        <v>0</v>
      </c>
      <c r="G5" s="8">
        <f t="shared" ref="G5:G16" si="0">E5*F5</f>
        <v>0</v>
      </c>
      <c r="H5" s="9">
        <v>0</v>
      </c>
      <c r="I5" s="9">
        <v>0</v>
      </c>
      <c r="J5" s="8">
        <f t="shared" ref="J5:J16" si="1">H5*I5</f>
        <v>0</v>
      </c>
      <c r="K5" s="8">
        <f t="shared" ref="K5:K16" si="2">G5+J5</f>
        <v>0</v>
      </c>
      <c r="L5" s="193">
        <v>0</v>
      </c>
      <c r="M5" s="8">
        <f t="shared" ref="M5:M27" si="3">M4+K5-L5</f>
        <v>0</v>
      </c>
      <c r="N5" s="65"/>
      <c r="O5" s="1"/>
    </row>
    <row r="6" spans="1:15">
      <c r="A6" s="67">
        <v>3</v>
      </c>
      <c r="B6" s="314">
        <v>45691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93">
        <v>0</v>
      </c>
      <c r="M6" s="8">
        <f t="shared" si="3"/>
        <v>0</v>
      </c>
      <c r="N6" s="65"/>
      <c r="O6" s="1"/>
    </row>
    <row r="7" spans="1:15">
      <c r="A7" s="67">
        <v>4</v>
      </c>
      <c r="B7" s="306">
        <v>45692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93">
        <v>0</v>
      </c>
      <c r="M7" s="8">
        <f t="shared" si="3"/>
        <v>0</v>
      </c>
      <c r="N7" s="65"/>
      <c r="O7" s="1"/>
    </row>
    <row r="8" spans="1:15">
      <c r="A8" s="67">
        <v>5</v>
      </c>
      <c r="B8" s="306">
        <v>45693</v>
      </c>
      <c r="C8" s="27"/>
      <c r="D8" s="27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93">
        <v>0</v>
      </c>
      <c r="M8" s="8">
        <f t="shared" si="3"/>
        <v>0</v>
      </c>
      <c r="N8" s="65"/>
      <c r="O8" s="1"/>
    </row>
    <row r="9" spans="1:15">
      <c r="A9" s="67">
        <v>6</v>
      </c>
      <c r="B9" s="306">
        <v>45694</v>
      </c>
      <c r="C9" s="27"/>
      <c r="D9" s="27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93">
        <v>0</v>
      </c>
      <c r="M9" s="8">
        <f t="shared" si="3"/>
        <v>0</v>
      </c>
      <c r="N9" s="65"/>
      <c r="O9" s="1"/>
    </row>
    <row r="10" spans="1:15">
      <c r="A10" s="67">
        <v>7</v>
      </c>
      <c r="B10" s="306">
        <v>45695</v>
      </c>
      <c r="C10" s="27"/>
      <c r="D10" s="27"/>
      <c r="E10" s="8">
        <v>75</v>
      </c>
      <c r="F10" s="8">
        <v>89.78</v>
      </c>
      <c r="G10" s="8">
        <f t="shared" si="0"/>
        <v>6733.5</v>
      </c>
      <c r="H10" s="9">
        <v>5</v>
      </c>
      <c r="I10" s="9">
        <v>103.76</v>
      </c>
      <c r="J10" s="8">
        <f t="shared" si="1"/>
        <v>518.80000000000007</v>
      </c>
      <c r="K10" s="8">
        <f t="shared" si="2"/>
        <v>7252.3</v>
      </c>
      <c r="L10" s="193">
        <f>+K10</f>
        <v>7252.3</v>
      </c>
      <c r="M10" s="8">
        <f t="shared" si="3"/>
        <v>0</v>
      </c>
      <c r="N10" s="65" t="s">
        <v>172</v>
      </c>
      <c r="O10" s="1"/>
    </row>
    <row r="11" spans="1:15">
      <c r="A11" s="67">
        <v>8</v>
      </c>
      <c r="B11" s="306">
        <v>45696</v>
      </c>
      <c r="C11" s="27"/>
      <c r="D11" s="27"/>
      <c r="E11" s="8">
        <v>79.069999999999993</v>
      </c>
      <c r="F11" s="8">
        <v>89.78</v>
      </c>
      <c r="G11" s="8">
        <f t="shared" si="0"/>
        <v>7098.9045999999998</v>
      </c>
      <c r="H11" s="9">
        <v>0</v>
      </c>
      <c r="I11" s="9">
        <v>0</v>
      </c>
      <c r="J11" s="8">
        <f t="shared" si="1"/>
        <v>0</v>
      </c>
      <c r="K11" s="8">
        <f t="shared" si="2"/>
        <v>7098.9045999999998</v>
      </c>
      <c r="L11" s="193">
        <f t="shared" ref="L11:L15" si="4">+K11</f>
        <v>7098.9045999999998</v>
      </c>
      <c r="M11" s="8">
        <f t="shared" si="3"/>
        <v>0</v>
      </c>
      <c r="N11" s="65" t="s">
        <v>172</v>
      </c>
      <c r="O11" s="1"/>
    </row>
    <row r="12" spans="1:15">
      <c r="A12" s="67">
        <v>9</v>
      </c>
      <c r="B12" s="306">
        <v>45697</v>
      </c>
      <c r="C12" s="27"/>
      <c r="D12" s="27"/>
      <c r="E12" s="8">
        <v>89.09</v>
      </c>
      <c r="F12" s="8">
        <v>89.78</v>
      </c>
      <c r="G12" s="8">
        <f t="shared" si="0"/>
        <v>7998.5002000000004</v>
      </c>
      <c r="H12" s="9">
        <v>0</v>
      </c>
      <c r="I12" s="9">
        <v>0</v>
      </c>
      <c r="J12" s="8">
        <f t="shared" si="1"/>
        <v>0</v>
      </c>
      <c r="K12" s="8">
        <f t="shared" si="2"/>
        <v>7998.5002000000004</v>
      </c>
      <c r="L12" s="193">
        <f t="shared" si="4"/>
        <v>7998.5002000000004</v>
      </c>
      <c r="M12" s="8">
        <f t="shared" si="3"/>
        <v>0</v>
      </c>
      <c r="N12" s="65" t="s">
        <v>172</v>
      </c>
      <c r="O12" s="1" t="s">
        <v>39</v>
      </c>
    </row>
    <row r="13" spans="1:15">
      <c r="A13" s="67">
        <v>10</v>
      </c>
      <c r="B13" s="306">
        <v>45698</v>
      </c>
      <c r="C13" s="27"/>
      <c r="D13" s="27"/>
      <c r="E13" s="8">
        <v>33.4</v>
      </c>
      <c r="F13" s="8">
        <v>89.78</v>
      </c>
      <c r="G13" s="8">
        <f t="shared" si="0"/>
        <v>2998.652</v>
      </c>
      <c r="H13" s="9">
        <v>0</v>
      </c>
      <c r="I13" s="9">
        <v>0</v>
      </c>
      <c r="J13" s="8">
        <f t="shared" si="1"/>
        <v>0</v>
      </c>
      <c r="K13" s="8">
        <f t="shared" si="2"/>
        <v>2998.652</v>
      </c>
      <c r="L13" s="193">
        <f t="shared" si="4"/>
        <v>2998.652</v>
      </c>
      <c r="M13" s="8">
        <f t="shared" si="3"/>
        <v>0</v>
      </c>
      <c r="N13" s="65" t="s">
        <v>172</v>
      </c>
      <c r="O13" s="1"/>
    </row>
    <row r="14" spans="1:15">
      <c r="A14" s="67">
        <v>11</v>
      </c>
      <c r="B14" s="306">
        <v>45699</v>
      </c>
      <c r="C14" s="27"/>
      <c r="D14" s="27"/>
      <c r="E14" s="8">
        <v>71.260000000000005</v>
      </c>
      <c r="F14" s="8">
        <v>89.78</v>
      </c>
      <c r="G14" s="8">
        <f t="shared" si="0"/>
        <v>6397.7228000000005</v>
      </c>
      <c r="H14" s="9">
        <v>0</v>
      </c>
      <c r="I14" s="9">
        <v>0</v>
      </c>
      <c r="J14" s="8">
        <f t="shared" si="1"/>
        <v>0</v>
      </c>
      <c r="K14" s="8">
        <f t="shared" si="2"/>
        <v>6397.7228000000005</v>
      </c>
      <c r="L14" s="193">
        <f t="shared" si="4"/>
        <v>6397.7228000000005</v>
      </c>
      <c r="M14" s="8">
        <f t="shared" si="3"/>
        <v>0</v>
      </c>
      <c r="N14" s="65" t="s">
        <v>172</v>
      </c>
      <c r="O14" s="1"/>
    </row>
    <row r="15" spans="1:15">
      <c r="A15" s="67">
        <v>12</v>
      </c>
      <c r="B15" s="306">
        <v>45700</v>
      </c>
      <c r="C15" s="27"/>
      <c r="D15" s="27"/>
      <c r="E15" s="8">
        <v>38.97</v>
      </c>
      <c r="F15" s="8">
        <v>89.78</v>
      </c>
      <c r="G15" s="8">
        <f t="shared" si="0"/>
        <v>3498.7266</v>
      </c>
      <c r="H15" s="9">
        <v>0</v>
      </c>
      <c r="I15" s="9">
        <v>0</v>
      </c>
      <c r="J15" s="8">
        <f t="shared" si="1"/>
        <v>0</v>
      </c>
      <c r="K15" s="8">
        <f t="shared" si="2"/>
        <v>3498.7266</v>
      </c>
      <c r="L15" s="193">
        <f t="shared" si="4"/>
        <v>3498.7266</v>
      </c>
      <c r="M15" s="8">
        <f t="shared" si="3"/>
        <v>0</v>
      </c>
      <c r="N15" s="65" t="s">
        <v>172</v>
      </c>
      <c r="O15" s="1"/>
    </row>
    <row r="16" spans="1:15">
      <c r="A16" s="67">
        <v>13</v>
      </c>
      <c r="B16" s="306">
        <v>45701</v>
      </c>
      <c r="C16" s="27"/>
      <c r="D16" s="27"/>
      <c r="E16" s="8">
        <v>149</v>
      </c>
      <c r="F16" s="8">
        <v>89.78</v>
      </c>
      <c r="G16" s="8">
        <f t="shared" si="0"/>
        <v>13377.22</v>
      </c>
      <c r="H16" s="9">
        <v>0</v>
      </c>
      <c r="I16" s="9">
        <v>0</v>
      </c>
      <c r="J16" s="8">
        <f t="shared" si="1"/>
        <v>0</v>
      </c>
      <c r="K16" s="8">
        <f t="shared" si="2"/>
        <v>13377.22</v>
      </c>
      <c r="L16" s="193">
        <v>13377.22</v>
      </c>
      <c r="M16" s="8">
        <f t="shared" si="3"/>
        <v>0</v>
      </c>
      <c r="N16" s="65" t="s">
        <v>172</v>
      </c>
      <c r="O16" s="1"/>
    </row>
    <row r="17" spans="1:15">
      <c r="A17" s="67">
        <v>14</v>
      </c>
      <c r="B17" s="306">
        <v>45702</v>
      </c>
      <c r="C17" s="27"/>
      <c r="D17" s="20"/>
      <c r="E17" s="8">
        <v>0</v>
      </c>
      <c r="F17" s="8">
        <v>0</v>
      </c>
      <c r="G17" s="8">
        <f t="shared" ref="G5:G31" si="5">E17*F17</f>
        <v>0</v>
      </c>
      <c r="H17" s="9">
        <v>0</v>
      </c>
      <c r="I17" s="9">
        <v>0</v>
      </c>
      <c r="J17" s="8">
        <f t="shared" ref="J5:J31" si="6">H17*I17</f>
        <v>0</v>
      </c>
      <c r="K17" s="8">
        <f>G17+J17</f>
        <v>0</v>
      </c>
      <c r="L17" s="193">
        <v>0</v>
      </c>
      <c r="M17" s="8">
        <f t="shared" si="3"/>
        <v>0</v>
      </c>
      <c r="N17" s="65"/>
      <c r="O17" s="1"/>
    </row>
    <row r="18" spans="1:15">
      <c r="A18" s="67">
        <v>15</v>
      </c>
      <c r="B18" s="306">
        <v>45703</v>
      </c>
      <c r="C18" s="27"/>
      <c r="D18" s="20"/>
      <c r="E18" s="8">
        <v>0</v>
      </c>
      <c r="F18" s="8">
        <v>0</v>
      </c>
      <c r="G18" s="8">
        <f t="shared" si="5"/>
        <v>0</v>
      </c>
      <c r="H18" s="9">
        <v>12</v>
      </c>
      <c r="I18" s="9">
        <v>103.76</v>
      </c>
      <c r="J18" s="8">
        <f t="shared" si="6"/>
        <v>1245.1200000000001</v>
      </c>
      <c r="K18" s="8">
        <f>G18+J18</f>
        <v>1245.1200000000001</v>
      </c>
      <c r="L18" s="193">
        <v>1245.1199999999999</v>
      </c>
      <c r="M18" s="8">
        <f t="shared" si="3"/>
        <v>0</v>
      </c>
      <c r="N18" s="65" t="s">
        <v>172</v>
      </c>
      <c r="O18" s="1"/>
    </row>
    <row r="19" spans="1:15">
      <c r="A19" s="67">
        <v>16</v>
      </c>
      <c r="B19" s="306">
        <v>45704</v>
      </c>
      <c r="C19" s="27"/>
      <c r="D19" s="20"/>
      <c r="E19" s="8">
        <v>0</v>
      </c>
      <c r="F19" s="8">
        <v>0</v>
      </c>
      <c r="G19" s="8">
        <f t="shared" si="5"/>
        <v>0</v>
      </c>
      <c r="H19" s="9">
        <v>0</v>
      </c>
      <c r="I19" s="9">
        <v>103.76</v>
      </c>
      <c r="J19" s="8">
        <f t="shared" si="6"/>
        <v>0</v>
      </c>
      <c r="K19" s="8">
        <f>G19+J19</f>
        <v>0</v>
      </c>
      <c r="L19" s="193">
        <v>0</v>
      </c>
      <c r="M19" s="8">
        <f t="shared" si="3"/>
        <v>0</v>
      </c>
      <c r="N19" s="65"/>
      <c r="O19" s="1"/>
    </row>
    <row r="20" spans="1:15">
      <c r="A20" s="67">
        <v>17</v>
      </c>
      <c r="B20" s="306">
        <v>45705</v>
      </c>
      <c r="C20" s="27"/>
      <c r="D20" s="20"/>
      <c r="E20" s="8">
        <v>40</v>
      </c>
      <c r="F20" s="8">
        <v>89.78</v>
      </c>
      <c r="G20" s="8">
        <f t="shared" si="5"/>
        <v>3591.2</v>
      </c>
      <c r="H20" s="9">
        <v>0</v>
      </c>
      <c r="I20" s="9">
        <v>103.76</v>
      </c>
      <c r="J20" s="8">
        <f t="shared" si="6"/>
        <v>0</v>
      </c>
      <c r="K20" s="8">
        <f>G20+J20</f>
        <v>3591.2</v>
      </c>
      <c r="L20" s="193">
        <v>3591.2</v>
      </c>
      <c r="M20" s="8">
        <f t="shared" si="3"/>
        <v>0</v>
      </c>
      <c r="N20" s="65" t="s">
        <v>172</v>
      </c>
      <c r="O20" s="1"/>
    </row>
    <row r="21" spans="1:15">
      <c r="A21" s="67">
        <v>18</v>
      </c>
      <c r="B21" s="306">
        <v>45706</v>
      </c>
      <c r="C21" s="27"/>
      <c r="D21" s="20"/>
      <c r="E21" s="8">
        <v>55</v>
      </c>
      <c r="F21" s="8">
        <v>89.78</v>
      </c>
      <c r="G21" s="8">
        <f t="shared" si="5"/>
        <v>4937.8999999999996</v>
      </c>
      <c r="H21" s="9">
        <v>0</v>
      </c>
      <c r="I21" s="9">
        <v>103.76</v>
      </c>
      <c r="J21" s="8">
        <f t="shared" si="6"/>
        <v>0</v>
      </c>
      <c r="K21" s="8">
        <f>G21+J21</f>
        <v>4937.8999999999996</v>
      </c>
      <c r="L21" s="193">
        <v>4937.8999999999996</v>
      </c>
      <c r="M21" s="8">
        <f t="shared" si="3"/>
        <v>0</v>
      </c>
      <c r="N21" s="65" t="s">
        <v>172</v>
      </c>
      <c r="O21" s="1"/>
    </row>
    <row r="22" spans="1:15">
      <c r="A22" s="67">
        <v>19</v>
      </c>
      <c r="B22" s="306">
        <v>45707</v>
      </c>
      <c r="C22" s="27"/>
      <c r="D22" s="20"/>
      <c r="E22" s="8">
        <v>55</v>
      </c>
      <c r="F22" s="8">
        <v>89.78</v>
      </c>
      <c r="G22" s="8">
        <f t="shared" si="5"/>
        <v>4937.8999999999996</v>
      </c>
      <c r="H22" s="9">
        <v>0</v>
      </c>
      <c r="I22" s="9">
        <v>103.76</v>
      </c>
      <c r="J22" s="8">
        <f t="shared" si="6"/>
        <v>0</v>
      </c>
      <c r="K22" s="8">
        <f t="shared" ref="K22:K31" si="7">G22+J22</f>
        <v>4937.8999999999996</v>
      </c>
      <c r="L22" s="193">
        <v>4937.8999999999996</v>
      </c>
      <c r="M22" s="8">
        <f t="shared" si="3"/>
        <v>0</v>
      </c>
      <c r="N22" s="65" t="s">
        <v>172</v>
      </c>
      <c r="O22" s="1"/>
    </row>
    <row r="23" spans="1:15">
      <c r="A23" s="67">
        <v>20</v>
      </c>
      <c r="B23" s="306">
        <v>45708</v>
      </c>
      <c r="C23" s="27"/>
      <c r="D23" s="20"/>
      <c r="E23" s="8">
        <v>58</v>
      </c>
      <c r="F23" s="8">
        <v>89.78</v>
      </c>
      <c r="G23" s="8">
        <f t="shared" si="5"/>
        <v>5207.24</v>
      </c>
      <c r="H23" s="9">
        <v>2</v>
      </c>
      <c r="I23" s="9">
        <v>103.76</v>
      </c>
      <c r="J23" s="8">
        <f t="shared" si="6"/>
        <v>207.52</v>
      </c>
      <c r="K23" s="8">
        <f t="shared" si="7"/>
        <v>5414.76</v>
      </c>
      <c r="L23" s="193">
        <v>5414.76</v>
      </c>
      <c r="M23" s="8">
        <f t="shared" si="3"/>
        <v>0</v>
      </c>
      <c r="N23" s="65" t="s">
        <v>172</v>
      </c>
      <c r="O23" s="1"/>
    </row>
    <row r="24" spans="1:15">
      <c r="A24" s="67">
        <v>21</v>
      </c>
      <c r="B24" s="306">
        <v>45709</v>
      </c>
      <c r="C24" s="27"/>
      <c r="D24" s="20"/>
      <c r="E24" s="8">
        <v>0</v>
      </c>
      <c r="F24" s="8">
        <v>0</v>
      </c>
      <c r="G24" s="8">
        <f t="shared" si="5"/>
        <v>0</v>
      </c>
      <c r="H24" s="9">
        <v>0</v>
      </c>
      <c r="I24" s="9">
        <v>0</v>
      </c>
      <c r="J24" s="8">
        <f t="shared" si="6"/>
        <v>0</v>
      </c>
      <c r="K24" s="8">
        <f t="shared" si="7"/>
        <v>0</v>
      </c>
      <c r="L24" s="193">
        <v>0</v>
      </c>
      <c r="M24" s="8">
        <f t="shared" si="3"/>
        <v>0</v>
      </c>
      <c r="N24" s="65"/>
      <c r="O24" s="1"/>
    </row>
    <row r="25" spans="1:15">
      <c r="A25" s="67">
        <v>22</v>
      </c>
      <c r="B25" s="306">
        <v>45710</v>
      </c>
      <c r="C25" s="27"/>
      <c r="D25" s="20"/>
      <c r="E25" s="8">
        <v>15</v>
      </c>
      <c r="F25" s="8">
        <v>89.78</v>
      </c>
      <c r="G25" s="8">
        <f t="shared" si="5"/>
        <v>1346.7</v>
      </c>
      <c r="H25" s="9">
        <v>2</v>
      </c>
      <c r="I25" s="9">
        <v>103.76</v>
      </c>
      <c r="J25" s="8">
        <f t="shared" si="6"/>
        <v>207.52</v>
      </c>
      <c r="K25" s="8">
        <f>G25+J25</f>
        <v>1554.22</v>
      </c>
      <c r="L25" s="193">
        <v>1554.22</v>
      </c>
      <c r="M25" s="8">
        <f t="shared" si="3"/>
        <v>0</v>
      </c>
      <c r="N25" s="65" t="s">
        <v>172</v>
      </c>
      <c r="O25" s="1"/>
    </row>
    <row r="26" spans="1:15">
      <c r="A26" s="67">
        <v>23</v>
      </c>
      <c r="B26" s="306">
        <v>45711</v>
      </c>
      <c r="C26" s="27"/>
      <c r="D26" s="20"/>
      <c r="E26" s="8">
        <v>0</v>
      </c>
      <c r="F26" s="8">
        <v>0</v>
      </c>
      <c r="G26" s="8">
        <f t="shared" si="5"/>
        <v>0</v>
      </c>
      <c r="H26" s="9">
        <v>0</v>
      </c>
      <c r="I26" s="9">
        <v>0</v>
      </c>
      <c r="J26" s="8">
        <f t="shared" si="6"/>
        <v>0</v>
      </c>
      <c r="K26" s="8">
        <f t="shared" si="7"/>
        <v>0</v>
      </c>
      <c r="L26" s="193">
        <v>0</v>
      </c>
      <c r="M26" s="8">
        <f t="shared" si="3"/>
        <v>0</v>
      </c>
      <c r="N26" s="65"/>
      <c r="O26" s="1"/>
    </row>
    <row r="27" spans="1:15">
      <c r="A27" s="67">
        <v>24</v>
      </c>
      <c r="B27" s="306">
        <v>45712</v>
      </c>
      <c r="C27" s="27"/>
      <c r="D27" s="20"/>
      <c r="E27" s="8">
        <v>0</v>
      </c>
      <c r="F27" s="8">
        <v>0</v>
      </c>
      <c r="G27" s="8">
        <f t="shared" si="5"/>
        <v>0</v>
      </c>
      <c r="H27" s="9">
        <v>0</v>
      </c>
      <c r="I27" s="9">
        <v>0</v>
      </c>
      <c r="J27" s="8">
        <f t="shared" si="6"/>
        <v>0</v>
      </c>
      <c r="K27" s="8">
        <f t="shared" si="7"/>
        <v>0</v>
      </c>
      <c r="L27" s="193">
        <v>0</v>
      </c>
      <c r="M27" s="8">
        <f t="shared" si="3"/>
        <v>0</v>
      </c>
      <c r="N27" s="65"/>
      <c r="O27" s="1"/>
    </row>
    <row r="28" spans="1:15">
      <c r="A28" s="67">
        <v>25</v>
      </c>
      <c r="B28" s="306">
        <v>45713</v>
      </c>
      <c r="C28" s="27"/>
      <c r="D28" s="20"/>
      <c r="E28" s="8">
        <v>50</v>
      </c>
      <c r="F28" s="8">
        <v>89.78</v>
      </c>
      <c r="G28" s="8">
        <f t="shared" si="5"/>
        <v>4489</v>
      </c>
      <c r="H28" s="9">
        <v>2</v>
      </c>
      <c r="I28" s="9">
        <v>103.76</v>
      </c>
      <c r="J28" s="8">
        <f t="shared" si="6"/>
        <v>207.52</v>
      </c>
      <c r="K28" s="8">
        <f t="shared" si="7"/>
        <v>4696.5200000000004</v>
      </c>
      <c r="L28" s="193">
        <v>207.52</v>
      </c>
      <c r="M28" s="8">
        <f>M27+K28-L28</f>
        <v>4489</v>
      </c>
      <c r="N28" s="65"/>
      <c r="O28" s="1"/>
    </row>
    <row r="29" spans="1:15">
      <c r="A29" s="67">
        <v>26</v>
      </c>
      <c r="B29" s="306">
        <v>45714</v>
      </c>
      <c r="C29" s="27"/>
      <c r="D29" s="20"/>
      <c r="E29" s="8">
        <v>40</v>
      </c>
      <c r="F29" s="8">
        <v>89.78</v>
      </c>
      <c r="G29" s="8">
        <f t="shared" si="5"/>
        <v>3591.2</v>
      </c>
      <c r="H29" s="9">
        <v>0</v>
      </c>
      <c r="I29" s="9">
        <v>0</v>
      </c>
      <c r="J29" s="8">
        <f t="shared" si="6"/>
        <v>0</v>
      </c>
      <c r="K29" s="8">
        <f t="shared" si="7"/>
        <v>3591.2</v>
      </c>
      <c r="L29" s="193">
        <v>0</v>
      </c>
      <c r="M29" s="8">
        <f>M28+K29-L29</f>
        <v>8080.2</v>
      </c>
      <c r="N29" s="65"/>
      <c r="O29" s="1"/>
    </row>
    <row r="30" spans="1:15">
      <c r="A30" s="67">
        <v>27</v>
      </c>
      <c r="B30" s="306">
        <v>45715</v>
      </c>
      <c r="C30" s="27"/>
      <c r="D30" s="20"/>
      <c r="E30" s="8">
        <v>0</v>
      </c>
      <c r="F30" s="8">
        <v>0</v>
      </c>
      <c r="G30" s="8">
        <f t="shared" si="5"/>
        <v>0</v>
      </c>
      <c r="H30" s="9">
        <v>0</v>
      </c>
      <c r="I30" s="9">
        <v>103.76</v>
      </c>
      <c r="J30" s="8">
        <f t="shared" si="6"/>
        <v>0</v>
      </c>
      <c r="K30" s="8">
        <f t="shared" si="7"/>
        <v>0</v>
      </c>
      <c r="L30" s="193">
        <v>0</v>
      </c>
      <c r="M30" s="8">
        <f>M29+K30-L30</f>
        <v>8080.2</v>
      </c>
      <c r="N30" s="65"/>
      <c r="O30" s="1"/>
    </row>
    <row r="31" spans="1:15">
      <c r="A31" s="67">
        <v>28</v>
      </c>
      <c r="B31" s="306">
        <v>45716</v>
      </c>
      <c r="C31" s="27"/>
      <c r="D31" s="20"/>
      <c r="E31" s="8">
        <v>0</v>
      </c>
      <c r="F31" s="8">
        <v>0</v>
      </c>
      <c r="G31" s="8">
        <f t="shared" si="5"/>
        <v>0</v>
      </c>
      <c r="H31" s="9">
        <v>6</v>
      </c>
      <c r="I31" s="9">
        <v>103.76</v>
      </c>
      <c r="J31" s="8">
        <f t="shared" si="6"/>
        <v>622.56000000000006</v>
      </c>
      <c r="K31" s="8">
        <f t="shared" si="7"/>
        <v>622.56000000000006</v>
      </c>
      <c r="L31" s="193">
        <v>8702.76</v>
      </c>
      <c r="M31" s="8">
        <f>M30+K31-L31</f>
        <v>0</v>
      </c>
      <c r="N31" s="65"/>
      <c r="O31" s="1"/>
    </row>
    <row r="32" spans="1:15">
      <c r="A32" s="87"/>
      <c r="B32" s="87"/>
      <c r="C32" s="87"/>
      <c r="D32" s="87"/>
      <c r="E32" s="88">
        <f>SUM(E4:E31)</f>
        <v>848.79</v>
      </c>
      <c r="F32" s="88"/>
      <c r="G32" s="88">
        <f>SUM(G4:G31)</f>
        <v>76204.366199999989</v>
      </c>
      <c r="H32" s="88">
        <f>SUM(H4:H31)</f>
        <v>29</v>
      </c>
      <c r="I32" s="88"/>
      <c r="J32" s="88">
        <f>SUM(J4:J31)</f>
        <v>3009.04</v>
      </c>
      <c r="K32" s="88">
        <f>SUM(K4:K31)</f>
        <v>79213.406199999998</v>
      </c>
      <c r="L32" s="88">
        <f>SUM(L4:L31)</f>
        <v>79213.406199999998</v>
      </c>
      <c r="M32" s="88"/>
      <c r="N32" s="88"/>
      <c r="O32" s="84"/>
    </row>
    <row r="33" spans="1:15">
      <c r="A33" s="2"/>
      <c r="B33" s="2"/>
      <c r="C33" s="2"/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1"/>
    </row>
    <row r="34" spans="1:15">
      <c r="A34" s="1"/>
      <c r="B34" s="1"/>
      <c r="C34" s="1"/>
      <c r="D34" s="1"/>
      <c r="E34" s="1"/>
      <c r="F34" s="1"/>
      <c r="G34" s="3"/>
      <c r="H34" s="1"/>
      <c r="I34" s="1"/>
      <c r="J34" s="1"/>
      <c r="K34" s="1"/>
      <c r="L34" s="8"/>
      <c r="M34" s="1"/>
      <c r="N34" s="1"/>
      <c r="O34" s="4"/>
    </row>
    <row r="35" spans="1:15">
      <c r="A35" s="1"/>
      <c r="B35" s="419"/>
      <c r="C35" s="419"/>
      <c r="D35" s="419"/>
      <c r="E35" s="419"/>
      <c r="F35" s="1"/>
      <c r="G35" s="1"/>
      <c r="H35" s="1"/>
      <c r="I35" s="445">
        <f>K24+L24</f>
        <v>0</v>
      </c>
      <c r="J35" s="419"/>
      <c r="K35" s="419"/>
      <c r="L35" s="419"/>
      <c r="M35" s="419"/>
      <c r="N35" s="419"/>
      <c r="O35" s="4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"/>
    </row>
    <row r="37" spans="1: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</sheetData>
  <mergeCells count="3">
    <mergeCell ref="A1:N1"/>
    <mergeCell ref="B35:E35"/>
    <mergeCell ref="I35:N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O46"/>
  <sheetViews>
    <sheetView workbookViewId="0">
      <selection activeCell="S26" sqref="S26"/>
    </sheetView>
  </sheetViews>
  <sheetFormatPr defaultRowHeight="15"/>
  <cols>
    <col min="7" max="7" width="11.855468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5" ht="15.75">
      <c r="A1" s="425" t="s">
        <v>118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77"/>
    </row>
    <row r="2" spans="1:15" ht="30.75">
      <c r="A2" s="89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6</v>
      </c>
      <c r="J2" s="114" t="s">
        <v>7</v>
      </c>
      <c r="K2" s="89" t="s">
        <v>9</v>
      </c>
      <c r="L2" s="115" t="s">
        <v>10</v>
      </c>
      <c r="M2" s="212" t="s">
        <v>11</v>
      </c>
      <c r="N2" s="113" t="s">
        <v>12</v>
      </c>
      <c r="O2" s="84"/>
    </row>
    <row r="3" spans="1:15">
      <c r="A3" s="190"/>
      <c r="B3" s="191"/>
      <c r="C3" s="191"/>
      <c r="D3" s="170" t="s">
        <v>13</v>
      </c>
      <c r="E3" s="191"/>
      <c r="F3" s="191"/>
      <c r="G3" s="191"/>
      <c r="H3" s="191"/>
      <c r="I3" s="191"/>
      <c r="J3" s="192"/>
      <c r="K3" s="190">
        <v>0</v>
      </c>
      <c r="L3" s="193">
        <v>0</v>
      </c>
      <c r="M3" s="193">
        <f>+K3</f>
        <v>0</v>
      </c>
      <c r="N3" s="191"/>
      <c r="O3" s="84"/>
    </row>
    <row r="4" spans="1:15">
      <c r="A4" s="67">
        <v>1</v>
      </c>
      <c r="B4" s="314">
        <v>45689</v>
      </c>
      <c r="C4" s="27"/>
      <c r="D4" s="27"/>
      <c r="E4" s="8">
        <v>0</v>
      </c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93">
        <v>0</v>
      </c>
      <c r="M4" s="8">
        <f>M3+K4-L4</f>
        <v>0</v>
      </c>
      <c r="N4" s="65"/>
      <c r="O4" s="1"/>
    </row>
    <row r="5" spans="1:15">
      <c r="A5" s="67">
        <v>2</v>
      </c>
      <c r="B5" s="314">
        <v>45690</v>
      </c>
      <c r="C5" s="27"/>
      <c r="D5" s="27"/>
      <c r="E5" s="8">
        <v>0</v>
      </c>
      <c r="F5" s="8">
        <v>0</v>
      </c>
      <c r="G5" s="8">
        <f t="shared" ref="G5:G15" si="0">E5*F5</f>
        <v>0</v>
      </c>
      <c r="H5" s="9">
        <v>0</v>
      </c>
      <c r="I5" s="9">
        <v>0</v>
      </c>
      <c r="J5" s="8">
        <f t="shared" ref="J5:J15" si="1">H5*I5</f>
        <v>0</v>
      </c>
      <c r="K5" s="8">
        <f t="shared" ref="K5:K16" si="2">G5+J5</f>
        <v>0</v>
      </c>
      <c r="L5" s="193">
        <v>0</v>
      </c>
      <c r="M5" s="8">
        <f t="shared" ref="M5:M27" si="3">M4+K5-L5</f>
        <v>0</v>
      </c>
      <c r="N5" s="65"/>
      <c r="O5" s="1"/>
    </row>
    <row r="6" spans="1:15">
      <c r="A6" s="67">
        <v>3</v>
      </c>
      <c r="B6" s="314">
        <v>45691</v>
      </c>
      <c r="C6" s="27"/>
      <c r="D6" s="27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93">
        <v>0</v>
      </c>
      <c r="M6" s="8">
        <f t="shared" si="3"/>
        <v>0</v>
      </c>
      <c r="N6" s="65"/>
      <c r="O6" s="1"/>
    </row>
    <row r="7" spans="1:15">
      <c r="A7" s="67">
        <v>4</v>
      </c>
      <c r="B7" s="306">
        <v>45692</v>
      </c>
      <c r="C7" s="27"/>
      <c r="D7" s="27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93">
        <v>0</v>
      </c>
      <c r="M7" s="8">
        <f t="shared" si="3"/>
        <v>0</v>
      </c>
      <c r="N7" s="65"/>
      <c r="O7" s="1"/>
    </row>
    <row r="8" spans="1:15">
      <c r="A8" s="67">
        <v>5</v>
      </c>
      <c r="B8" s="306">
        <v>45693</v>
      </c>
      <c r="C8" s="27"/>
      <c r="D8" s="27"/>
      <c r="E8" s="8">
        <v>42.43</v>
      </c>
      <c r="F8" s="8">
        <v>90.02</v>
      </c>
      <c r="G8" s="8">
        <f t="shared" si="0"/>
        <v>3819.5485999999996</v>
      </c>
      <c r="H8" s="9">
        <v>0</v>
      </c>
      <c r="I8" s="9">
        <v>0</v>
      </c>
      <c r="J8" s="8">
        <f t="shared" si="1"/>
        <v>0</v>
      </c>
      <c r="K8" s="8">
        <f t="shared" si="2"/>
        <v>3819.5485999999996</v>
      </c>
      <c r="L8" s="193">
        <f>+K8</f>
        <v>3819.5485999999996</v>
      </c>
      <c r="M8" s="8">
        <f t="shared" si="3"/>
        <v>0</v>
      </c>
      <c r="N8" s="65" t="s">
        <v>172</v>
      </c>
      <c r="O8" s="1"/>
    </row>
    <row r="9" spans="1:15">
      <c r="A9" s="67">
        <v>6</v>
      </c>
      <c r="B9" s="306">
        <v>45694</v>
      </c>
      <c r="C9" s="27"/>
      <c r="D9" s="27"/>
      <c r="E9" s="8">
        <v>0</v>
      </c>
      <c r="F9" s="8">
        <v>90.02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93">
        <v>0</v>
      </c>
      <c r="M9" s="8">
        <f t="shared" si="3"/>
        <v>0</v>
      </c>
      <c r="N9" s="65"/>
      <c r="O9" s="1"/>
    </row>
    <row r="10" spans="1:15">
      <c r="A10" s="67">
        <v>7</v>
      </c>
      <c r="B10" s="306">
        <v>45695</v>
      </c>
      <c r="C10" s="27"/>
      <c r="D10" s="27"/>
      <c r="E10" s="8">
        <v>0</v>
      </c>
      <c r="F10" s="8">
        <v>90.02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93">
        <f>+K10</f>
        <v>0</v>
      </c>
      <c r="M10" s="8">
        <f t="shared" si="3"/>
        <v>0</v>
      </c>
      <c r="N10" s="65"/>
      <c r="O10" s="1"/>
    </row>
    <row r="11" spans="1:15">
      <c r="A11" s="67">
        <v>8</v>
      </c>
      <c r="B11" s="306">
        <v>45696</v>
      </c>
      <c r="C11" s="27"/>
      <c r="D11" s="27"/>
      <c r="E11" s="8">
        <v>85</v>
      </c>
      <c r="F11" s="8">
        <v>90.02</v>
      </c>
      <c r="G11" s="8">
        <f t="shared" si="0"/>
        <v>7651.7</v>
      </c>
      <c r="H11" s="9">
        <v>0</v>
      </c>
      <c r="I11" s="9">
        <v>0</v>
      </c>
      <c r="J11" s="8">
        <f t="shared" si="1"/>
        <v>0</v>
      </c>
      <c r="K11" s="8">
        <f t="shared" si="2"/>
        <v>7651.7</v>
      </c>
      <c r="L11" s="193">
        <f t="shared" ref="L11:L15" si="4">+K11</f>
        <v>7651.7</v>
      </c>
      <c r="M11" s="8">
        <f t="shared" si="3"/>
        <v>0</v>
      </c>
      <c r="N11" s="65" t="s">
        <v>172</v>
      </c>
      <c r="O11" s="1"/>
    </row>
    <row r="12" spans="1:15">
      <c r="A12" s="67">
        <v>9</v>
      </c>
      <c r="B12" s="306">
        <v>45697</v>
      </c>
      <c r="C12" s="27"/>
      <c r="D12" s="27"/>
      <c r="E12" s="8">
        <v>0</v>
      </c>
      <c r="F12" s="8">
        <v>90.02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93">
        <f t="shared" si="4"/>
        <v>0</v>
      </c>
      <c r="M12" s="8">
        <f t="shared" si="3"/>
        <v>0</v>
      </c>
      <c r="N12" s="65"/>
      <c r="O12" s="1" t="s">
        <v>39</v>
      </c>
    </row>
    <row r="13" spans="1:15">
      <c r="A13" s="67">
        <v>10</v>
      </c>
      <c r="B13" s="306">
        <v>45698</v>
      </c>
      <c r="C13" s="27"/>
      <c r="D13" s="27"/>
      <c r="E13" s="8">
        <v>0</v>
      </c>
      <c r="F13" s="8">
        <v>90.02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93">
        <f t="shared" si="4"/>
        <v>0</v>
      </c>
      <c r="M13" s="8">
        <f t="shared" si="3"/>
        <v>0</v>
      </c>
      <c r="N13" s="65"/>
      <c r="O13" s="1"/>
    </row>
    <row r="14" spans="1:15">
      <c r="A14" s="67">
        <v>11</v>
      </c>
      <c r="B14" s="306">
        <v>45699</v>
      </c>
      <c r="C14" s="27"/>
      <c r="D14" s="27"/>
      <c r="E14" s="8">
        <v>0</v>
      </c>
      <c r="F14" s="8">
        <v>90.02</v>
      </c>
      <c r="G14" s="8">
        <f t="shared" si="0"/>
        <v>0</v>
      </c>
      <c r="H14" s="9">
        <v>11</v>
      </c>
      <c r="I14" s="9">
        <v>104.02</v>
      </c>
      <c r="J14" s="8">
        <f t="shared" si="1"/>
        <v>1144.22</v>
      </c>
      <c r="K14" s="8">
        <f t="shared" si="2"/>
        <v>1144.22</v>
      </c>
      <c r="L14" s="193">
        <f t="shared" si="4"/>
        <v>1144.22</v>
      </c>
      <c r="M14" s="8">
        <f t="shared" si="3"/>
        <v>0</v>
      </c>
      <c r="N14" s="65" t="s">
        <v>172</v>
      </c>
      <c r="O14" s="1"/>
    </row>
    <row r="15" spans="1:15">
      <c r="A15" s="67">
        <v>12</v>
      </c>
      <c r="B15" s="306">
        <v>45700</v>
      </c>
      <c r="C15" s="27"/>
      <c r="D15" s="27"/>
      <c r="E15" s="8">
        <v>200</v>
      </c>
      <c r="F15" s="8">
        <v>90.02</v>
      </c>
      <c r="G15" s="8">
        <f t="shared" si="0"/>
        <v>18004</v>
      </c>
      <c r="H15" s="9">
        <v>0</v>
      </c>
      <c r="I15" s="9">
        <v>0</v>
      </c>
      <c r="J15" s="8">
        <f t="shared" si="1"/>
        <v>0</v>
      </c>
      <c r="K15" s="8">
        <f t="shared" si="2"/>
        <v>18004</v>
      </c>
      <c r="L15" s="193">
        <f t="shared" si="4"/>
        <v>18004</v>
      </c>
      <c r="M15" s="8">
        <f t="shared" si="3"/>
        <v>0</v>
      </c>
      <c r="N15" s="65" t="s">
        <v>172</v>
      </c>
      <c r="O15" s="1"/>
    </row>
    <row r="16" spans="1:15">
      <c r="A16" s="67">
        <v>13</v>
      </c>
      <c r="B16" s="306">
        <v>45701</v>
      </c>
      <c r="C16" s="27"/>
      <c r="D16" s="27"/>
      <c r="E16" s="8">
        <v>196.66</v>
      </c>
      <c r="F16" s="8">
        <v>90.02</v>
      </c>
      <c r="G16" s="8">
        <f t="shared" ref="G5:G31" si="5">E16*F16</f>
        <v>17703.333199999997</v>
      </c>
      <c r="H16" s="9">
        <v>0</v>
      </c>
      <c r="I16" s="9">
        <v>0</v>
      </c>
      <c r="J16" s="8">
        <f t="shared" ref="J5:J30" si="6">H16*I16</f>
        <v>0</v>
      </c>
      <c r="K16" s="8">
        <f t="shared" si="2"/>
        <v>17703.333199999997</v>
      </c>
      <c r="L16" s="193">
        <v>17703.330000000002</v>
      </c>
      <c r="M16" s="8">
        <f t="shared" si="3"/>
        <v>3.1999999955587555E-3</v>
      </c>
      <c r="N16" s="65" t="s">
        <v>172</v>
      </c>
      <c r="O16" s="1"/>
    </row>
    <row r="17" spans="1:15">
      <c r="A17" s="67">
        <v>14</v>
      </c>
      <c r="B17" s="306">
        <v>45702</v>
      </c>
      <c r="C17" s="27"/>
      <c r="D17" s="20"/>
      <c r="E17" s="8">
        <v>0</v>
      </c>
      <c r="F17" s="8">
        <v>90.02</v>
      </c>
      <c r="G17" s="8">
        <f t="shared" si="5"/>
        <v>0</v>
      </c>
      <c r="H17" s="9">
        <v>0</v>
      </c>
      <c r="I17" s="9">
        <v>0</v>
      </c>
      <c r="J17" s="8">
        <f t="shared" si="6"/>
        <v>0</v>
      </c>
      <c r="K17" s="8">
        <f>G17+J17</f>
        <v>0</v>
      </c>
      <c r="L17" s="193">
        <v>0</v>
      </c>
      <c r="M17" s="8">
        <f t="shared" si="3"/>
        <v>3.1999999955587555E-3</v>
      </c>
      <c r="N17" s="65"/>
      <c r="O17" s="1"/>
    </row>
    <row r="18" spans="1:15">
      <c r="A18" s="67">
        <v>15</v>
      </c>
      <c r="B18" s="306">
        <v>45703</v>
      </c>
      <c r="C18" s="27"/>
      <c r="D18" s="20"/>
      <c r="E18" s="8">
        <v>200</v>
      </c>
      <c r="F18" s="8">
        <v>90.02</v>
      </c>
      <c r="G18" s="8">
        <f t="shared" si="5"/>
        <v>18004</v>
      </c>
      <c r="H18" s="9">
        <v>0</v>
      </c>
      <c r="I18" s="9">
        <v>0</v>
      </c>
      <c r="J18" s="8">
        <f t="shared" si="6"/>
        <v>0</v>
      </c>
      <c r="K18" s="8">
        <f>G18+J18</f>
        <v>18004</v>
      </c>
      <c r="L18" s="193">
        <v>18004</v>
      </c>
      <c r="M18" s="8">
        <f t="shared" si="3"/>
        <v>3.1999999955587555E-3</v>
      </c>
      <c r="N18" s="65"/>
      <c r="O18" s="1"/>
    </row>
    <row r="19" spans="1:15">
      <c r="A19" s="67">
        <v>16</v>
      </c>
      <c r="B19" s="306">
        <v>45704</v>
      </c>
      <c r="C19" s="27"/>
      <c r="D19" s="20"/>
      <c r="E19" s="8">
        <v>200</v>
      </c>
      <c r="F19" s="8">
        <v>90.02</v>
      </c>
      <c r="G19" s="8">
        <f t="shared" si="5"/>
        <v>18004</v>
      </c>
      <c r="H19" s="9">
        <v>0</v>
      </c>
      <c r="I19" s="9">
        <v>0</v>
      </c>
      <c r="J19" s="8">
        <f t="shared" si="6"/>
        <v>0</v>
      </c>
      <c r="K19" s="8">
        <f>G19+J19</f>
        <v>18004</v>
      </c>
      <c r="L19" s="193">
        <v>18004</v>
      </c>
      <c r="M19" s="8">
        <f t="shared" si="3"/>
        <v>3.1999999955587555E-3</v>
      </c>
      <c r="N19" s="65"/>
      <c r="O19" s="1"/>
    </row>
    <row r="20" spans="1:15">
      <c r="A20" s="67">
        <v>17</v>
      </c>
      <c r="B20" s="306">
        <v>45705</v>
      </c>
      <c r="C20" s="27"/>
      <c r="D20" s="20"/>
      <c r="E20" s="8">
        <v>100</v>
      </c>
      <c r="F20" s="8">
        <v>90.23</v>
      </c>
      <c r="G20" s="8">
        <f t="shared" si="5"/>
        <v>9023</v>
      </c>
      <c r="H20" s="9">
        <v>6</v>
      </c>
      <c r="I20" s="9">
        <v>104.14</v>
      </c>
      <c r="J20" s="8">
        <f t="shared" si="6"/>
        <v>624.84</v>
      </c>
      <c r="K20" s="8">
        <f>G20+J20</f>
        <v>9647.84</v>
      </c>
      <c r="L20" s="193">
        <v>9647.84</v>
      </c>
      <c r="M20" s="8">
        <f t="shared" si="3"/>
        <v>3.1999999955587555E-3</v>
      </c>
      <c r="N20" s="65"/>
      <c r="O20" s="1"/>
    </row>
    <row r="21" spans="1:15">
      <c r="A21" s="67">
        <v>18</v>
      </c>
      <c r="B21" s="306">
        <v>45706</v>
      </c>
      <c r="C21" s="27"/>
      <c r="D21" s="20"/>
      <c r="E21" s="8">
        <v>245.15</v>
      </c>
      <c r="F21" s="8">
        <v>90.23</v>
      </c>
      <c r="G21" s="8">
        <f t="shared" si="5"/>
        <v>22119.8845</v>
      </c>
      <c r="H21" s="9">
        <v>0</v>
      </c>
      <c r="I21" s="9">
        <v>0</v>
      </c>
      <c r="J21" s="8">
        <f t="shared" si="6"/>
        <v>0</v>
      </c>
      <c r="K21" s="8">
        <f>G21+J21</f>
        <v>22119.8845</v>
      </c>
      <c r="L21" s="193">
        <f>+K21</f>
        <v>22119.8845</v>
      </c>
      <c r="M21" s="8">
        <f>M20+K21-L21</f>
        <v>3.1999999955587555E-3</v>
      </c>
      <c r="N21" s="65"/>
      <c r="O21" s="1"/>
    </row>
    <row r="22" spans="1:15">
      <c r="A22" s="67">
        <v>19</v>
      </c>
      <c r="B22" s="306">
        <v>45707</v>
      </c>
      <c r="C22" s="27"/>
      <c r="D22" s="20"/>
      <c r="E22" s="8">
        <v>220</v>
      </c>
      <c r="F22" s="8">
        <v>90.23</v>
      </c>
      <c r="G22" s="8">
        <f t="shared" si="5"/>
        <v>19850.600000000002</v>
      </c>
      <c r="H22" s="9">
        <v>11</v>
      </c>
      <c r="I22" s="9">
        <v>104.02</v>
      </c>
      <c r="J22" s="8">
        <f t="shared" si="6"/>
        <v>1144.22</v>
      </c>
      <c r="K22" s="8">
        <f t="shared" ref="K22:L31" si="7">G22+J22</f>
        <v>20994.820000000003</v>
      </c>
      <c r="L22" s="193">
        <v>20994.82</v>
      </c>
      <c r="M22" s="8">
        <f t="shared" si="3"/>
        <v>3.1999999991967343E-3</v>
      </c>
      <c r="N22" s="65"/>
      <c r="O22" s="1"/>
    </row>
    <row r="23" spans="1:15">
      <c r="A23" s="67">
        <v>20</v>
      </c>
      <c r="B23" s="306">
        <v>45708</v>
      </c>
      <c r="C23" s="27"/>
      <c r="D23" s="20"/>
      <c r="E23" s="8">
        <v>0</v>
      </c>
      <c r="F23" s="8">
        <v>0</v>
      </c>
      <c r="G23" s="8">
        <f t="shared" si="5"/>
        <v>0</v>
      </c>
      <c r="H23" s="9">
        <v>0</v>
      </c>
      <c r="I23" s="9">
        <v>0</v>
      </c>
      <c r="J23" s="8">
        <f t="shared" si="6"/>
        <v>0</v>
      </c>
      <c r="K23" s="8">
        <f t="shared" si="7"/>
        <v>0</v>
      </c>
      <c r="L23" s="193">
        <v>0</v>
      </c>
      <c r="M23" s="8">
        <f t="shared" si="3"/>
        <v>3.1999999991967343E-3</v>
      </c>
      <c r="N23" s="65"/>
      <c r="O23" s="1"/>
    </row>
    <row r="24" spans="1:15">
      <c r="A24" s="67">
        <v>21</v>
      </c>
      <c r="B24" s="306">
        <v>45709</v>
      </c>
      <c r="C24" s="27"/>
      <c r="D24" s="20"/>
      <c r="E24" s="8">
        <v>241.07</v>
      </c>
      <c r="F24" s="8">
        <v>90.23</v>
      </c>
      <c r="G24" s="8">
        <f t="shared" si="5"/>
        <v>21751.7461</v>
      </c>
      <c r="H24" s="9">
        <v>5</v>
      </c>
      <c r="I24" s="9">
        <v>104.14</v>
      </c>
      <c r="J24" s="8">
        <f t="shared" si="6"/>
        <v>520.70000000000005</v>
      </c>
      <c r="K24" s="8">
        <f t="shared" si="7"/>
        <v>22272.446100000001</v>
      </c>
      <c r="L24" s="8">
        <v>22272.446100000001</v>
      </c>
      <c r="M24" s="8">
        <f t="shared" si="3"/>
        <v>3.1999999991967343E-3</v>
      </c>
      <c r="N24" s="65"/>
      <c r="O24" s="1"/>
    </row>
    <row r="25" spans="1:15">
      <c r="A25" s="67">
        <v>22</v>
      </c>
      <c r="B25" s="306">
        <v>45710</v>
      </c>
      <c r="C25" s="27"/>
      <c r="D25" s="20"/>
      <c r="E25" s="8">
        <v>100</v>
      </c>
      <c r="F25" s="8">
        <v>90.23</v>
      </c>
      <c r="G25" s="8">
        <f t="shared" si="5"/>
        <v>9023</v>
      </c>
      <c r="H25" s="9">
        <v>0</v>
      </c>
      <c r="I25" s="9">
        <v>0</v>
      </c>
      <c r="J25" s="8">
        <f t="shared" si="6"/>
        <v>0</v>
      </c>
      <c r="K25" s="8">
        <f t="shared" si="7"/>
        <v>9023</v>
      </c>
      <c r="L25" s="193">
        <v>9023</v>
      </c>
      <c r="M25" s="8">
        <f t="shared" si="3"/>
        <v>3.1999999991967343E-3</v>
      </c>
      <c r="N25" s="65"/>
      <c r="O25" s="1"/>
    </row>
    <row r="26" spans="1:15">
      <c r="A26" s="67">
        <v>23</v>
      </c>
      <c r="B26" s="306">
        <v>45711</v>
      </c>
      <c r="C26" s="27"/>
      <c r="D26" s="20"/>
      <c r="E26" s="8">
        <v>30</v>
      </c>
      <c r="F26" s="8">
        <v>90.23</v>
      </c>
      <c r="G26" s="8">
        <f t="shared" si="5"/>
        <v>2706.9</v>
      </c>
      <c r="H26" s="9">
        <v>0</v>
      </c>
      <c r="I26" s="9">
        <v>0</v>
      </c>
      <c r="J26" s="8">
        <f t="shared" si="6"/>
        <v>0</v>
      </c>
      <c r="K26" s="8">
        <f t="shared" si="7"/>
        <v>2706.9</v>
      </c>
      <c r="L26" s="193">
        <v>2706.9</v>
      </c>
      <c r="M26" s="8">
        <f t="shared" si="3"/>
        <v>3.1999999991967343E-3</v>
      </c>
      <c r="N26" s="65"/>
      <c r="O26" s="1"/>
    </row>
    <row r="27" spans="1:15">
      <c r="A27" s="67">
        <v>24</v>
      </c>
      <c r="B27" s="306">
        <v>45712</v>
      </c>
      <c r="C27" s="27"/>
      <c r="D27" s="20"/>
      <c r="E27" s="8">
        <v>0</v>
      </c>
      <c r="F27" s="8">
        <v>0</v>
      </c>
      <c r="G27" s="8">
        <f t="shared" si="5"/>
        <v>0</v>
      </c>
      <c r="H27" s="9">
        <v>0</v>
      </c>
      <c r="I27" s="9">
        <v>0</v>
      </c>
      <c r="J27" s="8">
        <f t="shared" si="6"/>
        <v>0</v>
      </c>
      <c r="K27" s="8">
        <f t="shared" si="7"/>
        <v>0</v>
      </c>
      <c r="L27" s="193">
        <v>0</v>
      </c>
      <c r="M27" s="8">
        <f t="shared" si="3"/>
        <v>3.1999999991967343E-3</v>
      </c>
      <c r="N27" s="65"/>
      <c r="O27" s="1"/>
    </row>
    <row r="28" spans="1:15">
      <c r="A28" s="67">
        <v>25</v>
      </c>
      <c r="B28" s="306">
        <v>45713</v>
      </c>
      <c r="C28" s="27"/>
      <c r="D28" s="20"/>
      <c r="E28" s="8">
        <v>0</v>
      </c>
      <c r="F28" s="8">
        <v>0</v>
      </c>
      <c r="G28" s="8">
        <f t="shared" si="5"/>
        <v>0</v>
      </c>
      <c r="H28" s="9">
        <v>0</v>
      </c>
      <c r="I28" s="9">
        <v>0</v>
      </c>
      <c r="J28" s="8">
        <f t="shared" si="6"/>
        <v>0</v>
      </c>
      <c r="K28" s="8">
        <f t="shared" si="7"/>
        <v>0</v>
      </c>
      <c r="L28" s="193">
        <v>0</v>
      </c>
      <c r="M28" s="8">
        <f>M27+K28-L28</f>
        <v>3.1999999991967343E-3</v>
      </c>
      <c r="N28" s="65"/>
      <c r="O28" s="1"/>
    </row>
    <row r="29" spans="1:15">
      <c r="A29" s="67">
        <v>26</v>
      </c>
      <c r="B29" s="306">
        <v>45714</v>
      </c>
      <c r="C29" s="27"/>
      <c r="D29" s="20"/>
      <c r="E29" s="8">
        <v>241.61</v>
      </c>
      <c r="F29" s="8">
        <v>90.23</v>
      </c>
      <c r="G29" s="8">
        <f t="shared" si="5"/>
        <v>21800.470300000001</v>
      </c>
      <c r="H29" s="9">
        <v>0</v>
      </c>
      <c r="I29" s="9">
        <v>0</v>
      </c>
      <c r="J29" s="8">
        <f t="shared" si="6"/>
        <v>0</v>
      </c>
      <c r="K29" s="8">
        <f t="shared" si="7"/>
        <v>21800.470300000001</v>
      </c>
      <c r="L29" s="193">
        <v>21800.47</v>
      </c>
      <c r="M29" s="8">
        <f>M28+K29-L29</f>
        <v>3.4999999988940544E-3</v>
      </c>
      <c r="N29" s="65"/>
      <c r="O29" s="1"/>
    </row>
    <row r="30" spans="1:15">
      <c r="A30" s="67">
        <v>27</v>
      </c>
      <c r="B30" s="306">
        <v>45715</v>
      </c>
      <c r="C30" s="27"/>
      <c r="D30" s="20"/>
      <c r="E30" s="8">
        <v>0</v>
      </c>
      <c r="F30" s="8">
        <v>0</v>
      </c>
      <c r="G30" s="8">
        <f t="shared" si="5"/>
        <v>0</v>
      </c>
      <c r="H30" s="9">
        <v>0</v>
      </c>
      <c r="I30" s="9">
        <v>0</v>
      </c>
      <c r="J30" s="8">
        <f t="shared" si="6"/>
        <v>0</v>
      </c>
      <c r="K30" s="8">
        <f t="shared" si="7"/>
        <v>0</v>
      </c>
      <c r="L30" s="193">
        <v>0</v>
      </c>
      <c r="M30" s="8">
        <f>M29+K30-L30</f>
        <v>3.4999999988940544E-3</v>
      </c>
      <c r="N30" s="65"/>
      <c r="O30" s="1"/>
    </row>
    <row r="31" spans="1:15">
      <c r="A31" s="67">
        <v>28</v>
      </c>
      <c r="B31" s="306">
        <v>45716</v>
      </c>
      <c r="C31" s="27"/>
      <c r="D31" s="20"/>
      <c r="E31" s="8">
        <v>165</v>
      </c>
      <c r="F31" s="8">
        <v>90.23</v>
      </c>
      <c r="G31" s="8">
        <f t="shared" si="5"/>
        <v>14887.95</v>
      </c>
      <c r="H31" s="9">
        <v>0</v>
      </c>
      <c r="I31" s="9">
        <v>0</v>
      </c>
      <c r="J31" s="8"/>
      <c r="K31" s="8">
        <f t="shared" si="7"/>
        <v>14887.95</v>
      </c>
      <c r="L31" s="193">
        <v>14887.95</v>
      </c>
      <c r="M31" s="8">
        <f>M30+K31-L31</f>
        <v>3.4999999988940544E-3</v>
      </c>
      <c r="N31" s="65"/>
      <c r="O31" s="1"/>
    </row>
    <row r="32" spans="1:15">
      <c r="A32" s="87"/>
      <c r="B32" s="87"/>
      <c r="C32" s="87"/>
      <c r="D32" s="87"/>
      <c r="E32" s="88">
        <f>SUM(E4:E31)</f>
        <v>2266.92</v>
      </c>
      <c r="F32" s="88"/>
      <c r="G32" s="88">
        <f>SUM(G4:G31)</f>
        <v>204350.13270000002</v>
      </c>
      <c r="H32" s="88">
        <f>SUM(H4:H31)</f>
        <v>33</v>
      </c>
      <c r="I32" s="88"/>
      <c r="J32" s="88">
        <f>SUM(J4:J31)</f>
        <v>3433.9799999999996</v>
      </c>
      <c r="K32" s="88">
        <f>SUM(K4:K31)</f>
        <v>207784.1127</v>
      </c>
      <c r="L32" s="88">
        <f>SUM(L4:L31)</f>
        <v>207784.10920000001</v>
      </c>
      <c r="M32" s="88"/>
      <c r="N32" s="88"/>
      <c r="O32" s="84"/>
    </row>
    <row r="33" spans="1:15">
      <c r="A33" s="2"/>
      <c r="B33" s="2"/>
      <c r="C33" s="2"/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1"/>
    </row>
    <row r="34" spans="1:15">
      <c r="A34" s="1"/>
      <c r="B34" s="1"/>
      <c r="C34" s="1"/>
      <c r="D34" s="1"/>
      <c r="E34" s="1"/>
      <c r="F34" s="1"/>
      <c r="G34" s="3"/>
      <c r="H34" s="1"/>
      <c r="I34" s="1"/>
      <c r="J34" s="1"/>
      <c r="K34" s="1"/>
      <c r="L34" s="8"/>
      <c r="M34" s="1"/>
      <c r="N34" s="1"/>
      <c r="O34" s="4"/>
    </row>
    <row r="35" spans="1:15">
      <c r="A35" s="1"/>
      <c r="B35" s="419"/>
      <c r="C35" s="419"/>
      <c r="D35" s="419"/>
      <c r="E35" s="419"/>
      <c r="F35" s="1"/>
      <c r="G35" s="1"/>
      <c r="H35" s="1"/>
      <c r="I35" s="445">
        <f>K24+L24</f>
        <v>44544.892200000002</v>
      </c>
      <c r="J35" s="419"/>
      <c r="K35" s="419"/>
      <c r="L35" s="419"/>
      <c r="M35" s="419"/>
      <c r="N35" s="419"/>
      <c r="O35" s="4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"/>
    </row>
    <row r="37" spans="1: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</sheetData>
  <mergeCells count="3">
    <mergeCell ref="A1:N1"/>
    <mergeCell ref="B35:E35"/>
    <mergeCell ref="I35:N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P39"/>
  <sheetViews>
    <sheetView workbookViewId="0">
      <pane ySplit="2" topLeftCell="A3" activePane="bottomLeft" state="frozen"/>
      <selection pane="bottomLeft" activeCell="N28" sqref="N28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9.7109375" bestFit="1" customWidth="1"/>
    <col min="11" max="11" width="11.85546875" customWidth="1"/>
    <col min="12" max="13" width="14" customWidth="1"/>
    <col min="14" max="14" width="14.85546875" customWidth="1"/>
  </cols>
  <sheetData>
    <row r="1" spans="1:16" ht="15.75">
      <c r="A1" s="440" t="s">
        <v>120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111"/>
    </row>
    <row r="2" spans="1:16">
      <c r="A2" s="130" t="s">
        <v>1</v>
      </c>
      <c r="B2" s="131" t="s">
        <v>2</v>
      </c>
      <c r="C2" s="131" t="s">
        <v>3</v>
      </c>
      <c r="D2" s="131" t="s">
        <v>139</v>
      </c>
      <c r="E2" s="131" t="s">
        <v>5</v>
      </c>
      <c r="F2" s="131" t="s">
        <v>6</v>
      </c>
      <c r="G2" s="131" t="s">
        <v>7</v>
      </c>
      <c r="H2" s="131" t="s">
        <v>8</v>
      </c>
      <c r="I2" s="131" t="s">
        <v>6</v>
      </c>
      <c r="J2" s="177" t="s">
        <v>7</v>
      </c>
      <c r="K2" s="132" t="s">
        <v>9</v>
      </c>
      <c r="L2" s="178" t="s">
        <v>10</v>
      </c>
      <c r="M2" s="183" t="s">
        <v>11</v>
      </c>
      <c r="N2" s="133" t="s">
        <v>12</v>
      </c>
      <c r="O2" s="84"/>
    </row>
    <row r="3" spans="1:16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34"/>
      <c r="K3" s="209">
        <v>43672.706000000006</v>
      </c>
      <c r="L3" s="19"/>
      <c r="M3" s="141">
        <f>+K3</f>
        <v>43672.706000000006</v>
      </c>
      <c r="N3" s="19"/>
      <c r="O3" s="84"/>
    </row>
    <row r="4" spans="1:16">
      <c r="A4" s="95">
        <v>1</v>
      </c>
      <c r="B4" s="314">
        <v>45689</v>
      </c>
      <c r="C4" s="197"/>
      <c r="D4" s="198"/>
      <c r="E4" s="199">
        <v>20</v>
      </c>
      <c r="F4" s="329">
        <v>89.81</v>
      </c>
      <c r="G4" s="179">
        <f>E4*F4</f>
        <v>1796.2</v>
      </c>
      <c r="H4" s="199">
        <v>0</v>
      </c>
      <c r="I4" s="200">
        <v>0</v>
      </c>
      <c r="J4" s="22">
        <f>H4*I4</f>
        <v>0</v>
      </c>
      <c r="K4" s="22">
        <f>G4+J4</f>
        <v>1796.2</v>
      </c>
      <c r="L4" s="181"/>
      <c r="M4" s="181">
        <f>M3+K4-L4</f>
        <v>45468.906000000003</v>
      </c>
      <c r="N4" s="182"/>
    </row>
    <row r="5" spans="1:16">
      <c r="A5" s="97">
        <v>2</v>
      </c>
      <c r="B5" s="314">
        <v>45690</v>
      </c>
      <c r="C5" s="11"/>
      <c r="D5" s="11"/>
      <c r="E5" s="199">
        <v>0</v>
      </c>
      <c r="F5" s="199">
        <v>0</v>
      </c>
      <c r="G5" s="179">
        <f t="shared" ref="G5:G29" si="0">E5*F5</f>
        <v>0</v>
      </c>
      <c r="H5" s="199">
        <v>0</v>
      </c>
      <c r="I5" s="200">
        <v>0</v>
      </c>
      <c r="J5" s="22">
        <f t="shared" ref="J5:J29" si="1">H5*I5</f>
        <v>0</v>
      </c>
      <c r="K5" s="22">
        <f t="shared" ref="K5:K29" si="2">G5+J5</f>
        <v>0</v>
      </c>
      <c r="L5" s="16"/>
      <c r="M5" s="16">
        <f>M4+K5-L5</f>
        <v>45468.906000000003</v>
      </c>
      <c r="N5" s="13"/>
    </row>
    <row r="6" spans="1:16">
      <c r="A6" s="95">
        <v>3</v>
      </c>
      <c r="B6" s="314">
        <v>45691</v>
      </c>
      <c r="C6" s="11"/>
      <c r="D6" s="11"/>
      <c r="E6" s="199">
        <v>20</v>
      </c>
      <c r="F6" s="329">
        <v>89.81</v>
      </c>
      <c r="G6" s="179">
        <f t="shared" si="0"/>
        <v>1796.2</v>
      </c>
      <c r="H6" s="199">
        <v>5</v>
      </c>
      <c r="I6" s="200">
        <v>103.8</v>
      </c>
      <c r="J6" s="22">
        <f t="shared" si="1"/>
        <v>519</v>
      </c>
      <c r="K6" s="22">
        <f t="shared" si="2"/>
        <v>2315.1999999999998</v>
      </c>
      <c r="L6" s="17"/>
      <c r="M6" s="16">
        <f>M5+K6-L6</f>
        <v>47784.106</v>
      </c>
      <c r="N6" s="14"/>
    </row>
    <row r="7" spans="1:16">
      <c r="A7" s="97">
        <v>4</v>
      </c>
      <c r="B7" s="314">
        <v>45692</v>
      </c>
      <c r="C7" s="98"/>
      <c r="D7" s="99"/>
      <c r="E7" s="199">
        <v>0</v>
      </c>
      <c r="F7" s="199">
        <v>0</v>
      </c>
      <c r="G7" s="179">
        <f t="shared" si="0"/>
        <v>0</v>
      </c>
      <c r="H7" s="199">
        <v>10</v>
      </c>
      <c r="I7" s="200">
        <v>103.8</v>
      </c>
      <c r="J7" s="22">
        <f t="shared" si="1"/>
        <v>1038</v>
      </c>
      <c r="K7" s="22">
        <f t="shared" si="2"/>
        <v>1038</v>
      </c>
      <c r="L7" s="8"/>
      <c r="M7" s="16">
        <f>M6+K7-L7</f>
        <v>48822.106</v>
      </c>
      <c r="N7" s="55"/>
    </row>
    <row r="8" spans="1:16">
      <c r="A8" s="95">
        <v>5</v>
      </c>
      <c r="B8" s="314">
        <v>45693</v>
      </c>
      <c r="C8" s="98"/>
      <c r="D8" s="99"/>
      <c r="E8" s="199">
        <v>20</v>
      </c>
      <c r="F8" s="199">
        <v>89.81</v>
      </c>
      <c r="G8" s="179">
        <f t="shared" si="0"/>
        <v>1796.2</v>
      </c>
      <c r="H8" s="199">
        <v>0</v>
      </c>
      <c r="I8" s="200">
        <v>103.8</v>
      </c>
      <c r="J8" s="22">
        <f t="shared" si="1"/>
        <v>0</v>
      </c>
      <c r="K8" s="22">
        <f t="shared" si="2"/>
        <v>1796.2</v>
      </c>
      <c r="L8" s="8"/>
      <c r="M8" s="16">
        <f>M7+K8-L8</f>
        <v>50618.305999999997</v>
      </c>
      <c r="N8" s="55"/>
      <c r="O8" s="96"/>
    </row>
    <row r="9" spans="1:16">
      <c r="A9" s="97">
        <v>6</v>
      </c>
      <c r="B9" s="314">
        <v>45694</v>
      </c>
      <c r="C9" s="98"/>
      <c r="D9" s="99"/>
      <c r="E9" s="199">
        <v>0</v>
      </c>
      <c r="F9" s="199">
        <v>89.81</v>
      </c>
      <c r="G9" s="179">
        <f t="shared" si="0"/>
        <v>0</v>
      </c>
      <c r="H9" s="199">
        <v>5</v>
      </c>
      <c r="I9" s="200">
        <v>103.8</v>
      </c>
      <c r="J9" s="22">
        <f t="shared" si="1"/>
        <v>519</v>
      </c>
      <c r="K9" s="22">
        <f t="shared" si="2"/>
        <v>519</v>
      </c>
      <c r="L9" s="8"/>
      <c r="M9" s="16">
        <f>M8+K9-L9</f>
        <v>51137.305999999997</v>
      </c>
      <c r="N9" s="55"/>
      <c r="O9" s="96"/>
    </row>
    <row r="10" spans="1:16">
      <c r="A10" s="95">
        <v>7</v>
      </c>
      <c r="B10" s="314">
        <v>45695</v>
      </c>
      <c r="C10" s="98"/>
      <c r="D10" s="99"/>
      <c r="E10" s="199">
        <v>40</v>
      </c>
      <c r="F10" s="199">
        <v>89.81</v>
      </c>
      <c r="G10" s="179">
        <f t="shared" si="0"/>
        <v>3592.4</v>
      </c>
      <c r="H10" s="199">
        <v>0</v>
      </c>
      <c r="I10" s="200">
        <v>103.8</v>
      </c>
      <c r="J10" s="22">
        <f t="shared" si="1"/>
        <v>0</v>
      </c>
      <c r="K10" s="22">
        <f t="shared" si="2"/>
        <v>3592.4</v>
      </c>
      <c r="L10" s="8"/>
      <c r="M10" s="16">
        <f>M9+K10-L10</f>
        <v>54729.705999999998</v>
      </c>
      <c r="N10" s="55"/>
      <c r="O10" s="96"/>
    </row>
    <row r="11" spans="1:16">
      <c r="A11" s="97">
        <v>8</v>
      </c>
      <c r="B11" s="314">
        <v>45696</v>
      </c>
      <c r="C11" s="98"/>
      <c r="D11" s="99"/>
      <c r="E11" s="199">
        <v>20</v>
      </c>
      <c r="F11" s="199">
        <v>89.81</v>
      </c>
      <c r="G11" s="179">
        <f t="shared" si="0"/>
        <v>1796.2</v>
      </c>
      <c r="H11" s="199">
        <v>0</v>
      </c>
      <c r="I11" s="200">
        <v>103.8</v>
      </c>
      <c r="J11" s="22">
        <f t="shared" si="1"/>
        <v>0</v>
      </c>
      <c r="K11" s="22">
        <f t="shared" si="2"/>
        <v>1796.2</v>
      </c>
      <c r="L11" s="8"/>
      <c r="M11" s="16">
        <f>M10+K11-L11</f>
        <v>56525.905999999995</v>
      </c>
      <c r="N11" s="55"/>
      <c r="O11" s="96"/>
    </row>
    <row r="12" spans="1:16">
      <c r="A12" s="95">
        <v>9</v>
      </c>
      <c r="B12" s="314">
        <v>45697</v>
      </c>
      <c r="C12" s="98"/>
      <c r="D12" s="99"/>
      <c r="E12" s="199">
        <v>40</v>
      </c>
      <c r="F12" s="199">
        <v>89.81</v>
      </c>
      <c r="G12" s="179">
        <f t="shared" si="0"/>
        <v>3592.4</v>
      </c>
      <c r="H12" s="199">
        <v>0</v>
      </c>
      <c r="I12" s="200">
        <v>103.8</v>
      </c>
      <c r="J12" s="22">
        <f t="shared" si="1"/>
        <v>0</v>
      </c>
      <c r="K12" s="22">
        <f t="shared" si="2"/>
        <v>3592.4</v>
      </c>
      <c r="L12" s="8"/>
      <c r="M12" s="16">
        <f>M11+K12-L12</f>
        <v>60118.305999999997</v>
      </c>
      <c r="N12" s="55"/>
      <c r="O12" s="96"/>
    </row>
    <row r="13" spans="1:16">
      <c r="A13" s="97">
        <v>10</v>
      </c>
      <c r="B13" s="314">
        <v>45698</v>
      </c>
      <c r="C13" s="98"/>
      <c r="D13" s="99"/>
      <c r="E13" s="199">
        <v>65</v>
      </c>
      <c r="F13" s="199">
        <v>89.81</v>
      </c>
      <c r="G13" s="179">
        <f t="shared" si="0"/>
        <v>5837.6500000000005</v>
      </c>
      <c r="H13" s="199">
        <v>0</v>
      </c>
      <c r="I13" s="200">
        <v>103.8</v>
      </c>
      <c r="J13" s="22">
        <f t="shared" si="1"/>
        <v>0</v>
      </c>
      <c r="K13" s="22">
        <f t="shared" si="2"/>
        <v>5837.6500000000005</v>
      </c>
      <c r="L13" s="8"/>
      <c r="M13" s="16">
        <f>M12+K13-L13</f>
        <v>65955.955999999991</v>
      </c>
      <c r="N13" s="55"/>
      <c r="O13" s="96"/>
    </row>
    <row r="14" spans="1:16">
      <c r="A14" s="95">
        <v>11</v>
      </c>
      <c r="B14" s="314">
        <v>45699</v>
      </c>
      <c r="C14" s="98"/>
      <c r="D14" s="99"/>
      <c r="E14" s="199">
        <v>275.2</v>
      </c>
      <c r="F14" s="199">
        <v>89.81</v>
      </c>
      <c r="G14" s="179">
        <f t="shared" si="0"/>
        <v>24715.712</v>
      </c>
      <c r="H14" s="199">
        <v>0</v>
      </c>
      <c r="I14" s="200">
        <v>103.8</v>
      </c>
      <c r="J14" s="22">
        <f t="shared" si="1"/>
        <v>0</v>
      </c>
      <c r="K14" s="22">
        <f t="shared" si="2"/>
        <v>24715.712</v>
      </c>
      <c r="L14" s="8"/>
      <c r="M14" s="16">
        <f>M13+K14-L14</f>
        <v>90671.667999999991</v>
      </c>
      <c r="N14" s="55"/>
      <c r="O14" s="96"/>
    </row>
    <row r="15" spans="1:16">
      <c r="A15" s="97">
        <v>12</v>
      </c>
      <c r="B15" s="314">
        <v>45700</v>
      </c>
      <c r="C15" s="98"/>
      <c r="D15" s="99"/>
      <c r="E15" s="199">
        <v>60</v>
      </c>
      <c r="F15" s="199">
        <v>89.81</v>
      </c>
      <c r="G15" s="179">
        <f t="shared" si="0"/>
        <v>5388.6</v>
      </c>
      <c r="H15" s="199">
        <v>5</v>
      </c>
      <c r="I15" s="200">
        <v>103.8</v>
      </c>
      <c r="J15" s="22">
        <f t="shared" si="1"/>
        <v>519</v>
      </c>
      <c r="K15" s="22">
        <f t="shared" si="2"/>
        <v>5907.6</v>
      </c>
      <c r="L15" s="8"/>
      <c r="M15" s="16">
        <f>M14+K15-L15</f>
        <v>96579.267999999996</v>
      </c>
      <c r="N15" s="55"/>
      <c r="O15" s="96"/>
    </row>
    <row r="16" spans="1:16">
      <c r="A16" s="95">
        <v>13</v>
      </c>
      <c r="B16" s="314">
        <v>45701</v>
      </c>
      <c r="C16" s="98"/>
      <c r="D16" s="99"/>
      <c r="E16" s="199">
        <v>88</v>
      </c>
      <c r="F16" s="199">
        <v>89.81</v>
      </c>
      <c r="G16" s="179">
        <f t="shared" si="0"/>
        <v>7903.2800000000007</v>
      </c>
      <c r="H16" s="199">
        <v>10</v>
      </c>
      <c r="I16" s="200">
        <v>103.8</v>
      </c>
      <c r="J16" s="22">
        <f t="shared" si="1"/>
        <v>1038</v>
      </c>
      <c r="K16" s="22">
        <f t="shared" si="2"/>
        <v>8941.2800000000007</v>
      </c>
      <c r="L16" s="8"/>
      <c r="M16" s="16">
        <f>M15+K16-L16</f>
        <v>105520.548</v>
      </c>
      <c r="N16" s="55"/>
      <c r="O16" s="96"/>
      <c r="P16">
        <v>30</v>
      </c>
    </row>
    <row r="17" spans="1:16">
      <c r="A17" s="97">
        <v>14</v>
      </c>
      <c r="B17" s="314">
        <v>45702</v>
      </c>
      <c r="C17" s="98"/>
      <c r="D17" s="99"/>
      <c r="E17" s="199">
        <v>20</v>
      </c>
      <c r="F17" s="199">
        <v>89.81</v>
      </c>
      <c r="G17" s="179">
        <f t="shared" si="0"/>
        <v>1796.2</v>
      </c>
      <c r="H17" s="199">
        <v>5</v>
      </c>
      <c r="I17" s="200">
        <v>103.8</v>
      </c>
      <c r="J17" s="22">
        <f t="shared" si="1"/>
        <v>519</v>
      </c>
      <c r="K17" s="22">
        <f t="shared" si="2"/>
        <v>2315.1999999999998</v>
      </c>
      <c r="L17" s="8"/>
      <c r="M17" s="16">
        <f>M16+K17-L17</f>
        <v>107835.74799999999</v>
      </c>
      <c r="N17" s="55"/>
      <c r="O17" s="96"/>
      <c r="P17">
        <v>74</v>
      </c>
    </row>
    <row r="18" spans="1:16">
      <c r="A18" s="95">
        <v>15</v>
      </c>
      <c r="B18" s="314">
        <v>45706</v>
      </c>
      <c r="C18" s="98"/>
      <c r="D18" s="99"/>
      <c r="E18" s="199">
        <v>30</v>
      </c>
      <c r="F18" s="199">
        <v>89.81</v>
      </c>
      <c r="G18" s="179">
        <f t="shared" si="0"/>
        <v>2694.3</v>
      </c>
      <c r="H18" s="199">
        <v>0</v>
      </c>
      <c r="I18" s="200">
        <v>0</v>
      </c>
      <c r="J18" s="22">
        <f t="shared" si="1"/>
        <v>0</v>
      </c>
      <c r="K18" s="22">
        <f t="shared" si="2"/>
        <v>2694.3</v>
      </c>
      <c r="L18" s="8"/>
      <c r="M18" s="16">
        <f>M17+K18-L18</f>
        <v>110530.048</v>
      </c>
      <c r="N18" s="55"/>
      <c r="O18" s="96"/>
      <c r="P18">
        <v>25</v>
      </c>
    </row>
    <row r="19" spans="1:16">
      <c r="A19" s="273">
        <v>16</v>
      </c>
      <c r="B19" s="314">
        <v>45707</v>
      </c>
      <c r="C19" s="274"/>
      <c r="D19" s="275"/>
      <c r="E19" s="199">
        <v>179.1</v>
      </c>
      <c r="F19" s="199">
        <v>89.81</v>
      </c>
      <c r="G19" s="179">
        <f t="shared" si="0"/>
        <v>16084.971</v>
      </c>
      <c r="H19" s="199">
        <v>0</v>
      </c>
      <c r="I19" s="200">
        <v>0</v>
      </c>
      <c r="J19" s="22">
        <f t="shared" si="1"/>
        <v>0</v>
      </c>
      <c r="K19" s="22">
        <f>G19+J19</f>
        <v>16084.971</v>
      </c>
      <c r="L19" s="254"/>
      <c r="M19" s="17">
        <f>M18+K19-L19</f>
        <v>126615.019</v>
      </c>
      <c r="N19" s="277"/>
      <c r="O19" s="96"/>
      <c r="P19">
        <v>20</v>
      </c>
    </row>
    <row r="20" spans="1:16">
      <c r="A20" s="97">
        <v>17</v>
      </c>
      <c r="B20" s="314">
        <v>45708</v>
      </c>
      <c r="C20" s="92"/>
      <c r="D20" s="99"/>
      <c r="E20" s="199">
        <v>0</v>
      </c>
      <c r="F20" s="199">
        <v>0</v>
      </c>
      <c r="G20" s="179">
        <f t="shared" si="0"/>
        <v>0</v>
      </c>
      <c r="H20" s="199">
        <v>0</v>
      </c>
      <c r="I20" s="200">
        <v>0</v>
      </c>
      <c r="J20" s="22">
        <f t="shared" si="1"/>
        <v>0</v>
      </c>
      <c r="K20" s="22">
        <f t="shared" si="2"/>
        <v>0</v>
      </c>
      <c r="L20" s="8"/>
      <c r="M20" s="17">
        <f>M19+K20-L20</f>
        <v>126615.019</v>
      </c>
      <c r="N20" s="55"/>
      <c r="O20" s="96"/>
      <c r="P20">
        <v>30</v>
      </c>
    </row>
    <row r="21" spans="1:16">
      <c r="A21" s="95">
        <v>18</v>
      </c>
      <c r="B21" s="314">
        <v>45709</v>
      </c>
      <c r="C21" s="92"/>
      <c r="D21" s="99"/>
      <c r="E21" s="199">
        <v>30</v>
      </c>
      <c r="F21" s="199">
        <v>89.81</v>
      </c>
      <c r="G21" s="179">
        <f t="shared" si="0"/>
        <v>2694.3</v>
      </c>
      <c r="H21" s="199">
        <v>5</v>
      </c>
      <c r="I21" s="200">
        <v>103.8</v>
      </c>
      <c r="J21" s="22">
        <f t="shared" si="1"/>
        <v>519</v>
      </c>
      <c r="K21" s="22">
        <f>G21+J21</f>
        <v>3213.3</v>
      </c>
      <c r="L21" s="8"/>
      <c r="M21" s="17">
        <f>M20+K21-L21</f>
        <v>129828.319</v>
      </c>
      <c r="N21" s="55"/>
      <c r="O21" s="96"/>
    </row>
    <row r="22" spans="1:16">
      <c r="A22" s="273">
        <v>19</v>
      </c>
      <c r="B22" s="314">
        <v>45710</v>
      </c>
      <c r="C22" s="92"/>
      <c r="D22" s="99"/>
      <c r="E22" s="199">
        <v>0</v>
      </c>
      <c r="F22" s="199">
        <v>0</v>
      </c>
      <c r="G22" s="179">
        <f t="shared" si="0"/>
        <v>0</v>
      </c>
      <c r="H22" s="199">
        <v>10</v>
      </c>
      <c r="I22" s="200">
        <v>103.8</v>
      </c>
      <c r="J22" s="22">
        <f t="shared" si="1"/>
        <v>1038</v>
      </c>
      <c r="K22" s="22">
        <f t="shared" si="2"/>
        <v>1038</v>
      </c>
      <c r="L22" s="8"/>
      <c r="M22" s="17">
        <f t="shared" ref="M22:M28" si="3">M21+K22-L22</f>
        <v>130866.319</v>
      </c>
      <c r="N22" s="55"/>
      <c r="O22" s="96"/>
    </row>
    <row r="23" spans="1:16">
      <c r="A23" s="273">
        <v>20</v>
      </c>
      <c r="B23" s="314">
        <v>45711</v>
      </c>
      <c r="C23" s="92"/>
      <c r="D23" s="99"/>
      <c r="E23" s="199">
        <v>50</v>
      </c>
      <c r="F23" s="199">
        <v>89.81</v>
      </c>
      <c r="G23" s="179">
        <f t="shared" si="0"/>
        <v>4490.5</v>
      </c>
      <c r="H23" s="199">
        <v>0</v>
      </c>
      <c r="I23" s="200">
        <v>0</v>
      </c>
      <c r="J23" s="22">
        <f t="shared" si="1"/>
        <v>0</v>
      </c>
      <c r="K23" s="22">
        <f t="shared" si="2"/>
        <v>4490.5</v>
      </c>
      <c r="L23" s="8"/>
      <c r="M23" s="17">
        <f t="shared" si="3"/>
        <v>135356.81900000002</v>
      </c>
      <c r="N23" s="55"/>
      <c r="O23" s="96"/>
    </row>
    <row r="24" spans="1:16">
      <c r="A24" s="273">
        <v>21</v>
      </c>
      <c r="B24" s="314">
        <v>45712</v>
      </c>
      <c r="C24" s="92"/>
      <c r="D24" s="99"/>
      <c r="E24" s="199">
        <v>40</v>
      </c>
      <c r="F24" s="199">
        <v>89.81</v>
      </c>
      <c r="G24" s="179">
        <f t="shared" si="0"/>
        <v>3592.4</v>
      </c>
      <c r="H24" s="199">
        <v>0</v>
      </c>
      <c r="I24" s="200">
        <v>0</v>
      </c>
      <c r="J24" s="22">
        <f t="shared" si="1"/>
        <v>0</v>
      </c>
      <c r="K24" s="22">
        <f t="shared" si="2"/>
        <v>3592.4</v>
      </c>
      <c r="L24" s="8"/>
      <c r="M24" s="17">
        <f t="shared" si="3"/>
        <v>138949.21900000001</v>
      </c>
      <c r="N24" s="55"/>
      <c r="O24" s="96"/>
    </row>
    <row r="25" spans="1:16">
      <c r="A25" s="273">
        <v>22</v>
      </c>
      <c r="B25" s="314">
        <v>45713</v>
      </c>
      <c r="C25" s="92"/>
      <c r="D25" s="99"/>
      <c r="E25" s="199">
        <v>30</v>
      </c>
      <c r="F25" s="199">
        <v>89.81</v>
      </c>
      <c r="G25" s="179">
        <f t="shared" si="0"/>
        <v>2694.3</v>
      </c>
      <c r="H25" s="199">
        <v>0</v>
      </c>
      <c r="I25" s="200">
        <v>0</v>
      </c>
      <c r="J25" s="22">
        <f t="shared" si="1"/>
        <v>0</v>
      </c>
      <c r="K25" s="22">
        <f t="shared" si="2"/>
        <v>2694.3</v>
      </c>
      <c r="L25" s="8"/>
      <c r="M25" s="17">
        <f t="shared" si="3"/>
        <v>141643.519</v>
      </c>
      <c r="N25" s="55"/>
      <c r="O25" s="96"/>
    </row>
    <row r="26" spans="1:16">
      <c r="A26" s="273">
        <v>23</v>
      </c>
      <c r="B26" s="314">
        <v>45683</v>
      </c>
      <c r="C26" s="92"/>
      <c r="D26" s="99"/>
      <c r="E26" s="199">
        <v>0</v>
      </c>
      <c r="F26" s="199">
        <v>0</v>
      </c>
      <c r="G26" s="179">
        <f t="shared" si="0"/>
        <v>0</v>
      </c>
      <c r="H26" s="199">
        <v>0</v>
      </c>
      <c r="I26" s="200">
        <v>0</v>
      </c>
      <c r="J26" s="22">
        <f t="shared" si="1"/>
        <v>0</v>
      </c>
      <c r="K26" s="22">
        <f t="shared" si="2"/>
        <v>0</v>
      </c>
      <c r="L26" s="8"/>
      <c r="M26" s="17">
        <f t="shared" si="3"/>
        <v>141643.519</v>
      </c>
      <c r="N26" s="55"/>
      <c r="O26" s="96"/>
    </row>
    <row r="27" spans="1:16">
      <c r="A27" s="273">
        <v>24</v>
      </c>
      <c r="B27" s="314">
        <v>45715</v>
      </c>
      <c r="C27" s="92"/>
      <c r="D27" s="99"/>
      <c r="E27" s="199">
        <v>0</v>
      </c>
      <c r="F27" s="199">
        <v>0</v>
      </c>
      <c r="G27" s="179">
        <f t="shared" si="0"/>
        <v>0</v>
      </c>
      <c r="H27" s="199">
        <v>5</v>
      </c>
      <c r="I27" s="200">
        <v>103.8</v>
      </c>
      <c r="J27" s="22">
        <f t="shared" si="1"/>
        <v>519</v>
      </c>
      <c r="K27" s="22">
        <f t="shared" si="2"/>
        <v>519</v>
      </c>
      <c r="L27" s="8"/>
      <c r="M27" s="17">
        <f t="shared" si="3"/>
        <v>142162.519</v>
      </c>
      <c r="N27" s="55"/>
      <c r="O27" s="96"/>
    </row>
    <row r="28" spans="1:16">
      <c r="A28" s="273">
        <v>25</v>
      </c>
      <c r="B28" s="314">
        <v>45716</v>
      </c>
      <c r="C28" s="92"/>
      <c r="D28" s="99"/>
      <c r="E28" s="199">
        <v>40</v>
      </c>
      <c r="F28" s="199">
        <v>89.81</v>
      </c>
      <c r="G28" s="179">
        <f t="shared" si="0"/>
        <v>3592.4</v>
      </c>
      <c r="H28" s="199">
        <v>0</v>
      </c>
      <c r="I28" s="200">
        <v>0</v>
      </c>
      <c r="J28" s="22">
        <f t="shared" si="1"/>
        <v>0</v>
      </c>
      <c r="K28" s="22">
        <f t="shared" si="2"/>
        <v>3592.4</v>
      </c>
      <c r="L28" s="8"/>
      <c r="M28" s="17">
        <f t="shared" si="3"/>
        <v>145754.91899999999</v>
      </c>
      <c r="N28" s="55"/>
      <c r="O28" s="96"/>
    </row>
    <row r="29" spans="1:16">
      <c r="A29" s="273">
        <v>26</v>
      </c>
      <c r="B29" s="68"/>
      <c r="C29" s="92"/>
      <c r="D29" s="99"/>
      <c r="E29" s="199">
        <v>0</v>
      </c>
      <c r="F29" s="199">
        <v>0</v>
      </c>
      <c r="G29" s="179">
        <f t="shared" si="0"/>
        <v>0</v>
      </c>
      <c r="H29" s="199">
        <v>0</v>
      </c>
      <c r="I29" s="200">
        <v>0</v>
      </c>
      <c r="J29" s="22">
        <f t="shared" si="1"/>
        <v>0</v>
      </c>
      <c r="K29" s="22">
        <f t="shared" si="2"/>
        <v>0</v>
      </c>
      <c r="L29" s="391"/>
      <c r="M29" s="93"/>
      <c r="N29" s="253"/>
      <c r="O29" s="96"/>
    </row>
    <row r="30" spans="1:16">
      <c r="A30" s="206"/>
      <c r="B30" s="206"/>
      <c r="C30" s="206"/>
      <c r="D30" s="206"/>
      <c r="E30" s="207">
        <f>SUM(E4:E29)</f>
        <v>1067.3000000000002</v>
      </c>
      <c r="F30" s="207"/>
      <c r="G30" s="207">
        <f>SUM(G4:G29)</f>
        <v>95854.212999999989</v>
      </c>
      <c r="H30" s="207">
        <f>SUM(H4:H29)</f>
        <v>60</v>
      </c>
      <c r="I30" s="207"/>
      <c r="J30" s="207">
        <f>SUM(J4:J29)</f>
        <v>6228</v>
      </c>
      <c r="K30" s="207">
        <f>SUM(K4:K29)</f>
        <v>102082.21299999999</v>
      </c>
      <c r="L30" s="207">
        <f>SUM(L4:L29)</f>
        <v>0</v>
      </c>
      <c r="M30" s="207"/>
      <c r="N30" s="207"/>
      <c r="O30" s="84"/>
    </row>
    <row r="31" spans="1:16">
      <c r="A31" s="101"/>
      <c r="B31" s="102"/>
      <c r="C31" s="101"/>
      <c r="D31" s="101"/>
      <c r="E31" s="103"/>
      <c r="F31" s="103"/>
      <c r="G31" s="103"/>
      <c r="H31" s="103"/>
      <c r="I31" s="103"/>
      <c r="J31" s="104"/>
      <c r="K31" s="104"/>
      <c r="L31" s="104"/>
      <c r="M31" s="104"/>
      <c r="N31" s="103"/>
      <c r="O31" s="96"/>
    </row>
    <row r="32" spans="1:16">
      <c r="O32" s="96"/>
    </row>
    <row r="33" spans="1:15">
      <c r="O33" s="96"/>
    </row>
    <row r="34" spans="1:15">
      <c r="O34" s="96"/>
    </row>
    <row r="35" spans="1:15">
      <c r="O35" s="96"/>
    </row>
    <row r="36" spans="1:15">
      <c r="O36" s="96"/>
    </row>
    <row r="37" spans="1:15">
      <c r="A37" s="96"/>
      <c r="B37" s="84"/>
      <c r="C37" s="96"/>
      <c r="D37" s="96"/>
      <c r="E37" s="96"/>
      <c r="F37" s="96"/>
      <c r="G37" s="105"/>
      <c r="H37" s="96"/>
      <c r="I37" s="96"/>
      <c r="J37" s="84"/>
      <c r="K37" s="84"/>
      <c r="L37" s="84"/>
      <c r="M37" s="84"/>
      <c r="N37" s="96"/>
      <c r="O37" s="103"/>
    </row>
    <row r="38" spans="1:15">
      <c r="A38" s="96"/>
      <c r="B38" s="437"/>
      <c r="C38" s="437"/>
      <c r="D38" s="437"/>
      <c r="E38" s="437"/>
      <c r="F38" s="96"/>
      <c r="G38" s="96"/>
      <c r="H38" s="96"/>
      <c r="I38" s="437"/>
      <c r="J38" s="437"/>
      <c r="K38" s="437"/>
      <c r="L38" s="437"/>
      <c r="M38" s="437"/>
      <c r="N38" s="437"/>
      <c r="O38" s="103"/>
    </row>
    <row r="39" spans="1:15">
      <c r="A39" s="96"/>
      <c r="B39" s="84"/>
      <c r="C39" s="96"/>
      <c r="D39" s="96"/>
      <c r="E39" s="96"/>
      <c r="F39" s="96"/>
      <c r="G39" s="96"/>
      <c r="H39" s="96"/>
      <c r="I39" s="96"/>
      <c r="J39" s="84"/>
      <c r="K39" s="84"/>
      <c r="L39" s="84"/>
      <c r="M39" s="84"/>
      <c r="N39" s="96"/>
      <c r="O39" s="103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23"/>
  <sheetViews>
    <sheetView workbookViewId="0">
      <pane ySplit="2" topLeftCell="A3" activePane="bottomLeft" state="frozen"/>
      <selection pane="bottomLeft" activeCell="T18" sqref="T18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34" bestFit="1" customWidth="1"/>
    <col min="8" max="8" width="11.140625" style="5" customWidth="1"/>
    <col min="9" max="9" width="9.140625" style="5"/>
    <col min="10" max="10" width="10.85546875" style="134" bestFit="1" customWidth="1"/>
    <col min="11" max="11" width="12.85546875" style="5" customWidth="1"/>
    <col min="12" max="12" width="13.5703125" style="134" bestFit="1" customWidth="1"/>
    <col min="13" max="13" width="13.5703125" style="134" customWidth="1"/>
    <col min="14" max="14" width="13.5703125" style="5" bestFit="1" customWidth="1"/>
    <col min="15" max="16384" width="9.140625" style="5"/>
  </cols>
  <sheetData>
    <row r="1" spans="1:14" ht="15.75">
      <c r="A1" s="446" t="s">
        <v>128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8"/>
    </row>
    <row r="2" spans="1:14" ht="18" customHeight="1">
      <c r="A2" s="89" t="s">
        <v>1</v>
      </c>
      <c r="B2" s="113" t="s">
        <v>2</v>
      </c>
      <c r="C2" s="113" t="s">
        <v>3</v>
      </c>
      <c r="D2" s="113" t="s">
        <v>139</v>
      </c>
      <c r="E2" s="113" t="s">
        <v>5</v>
      </c>
      <c r="F2" s="113" t="s">
        <v>6</v>
      </c>
      <c r="G2" s="121" t="s">
        <v>7</v>
      </c>
      <c r="H2" s="113" t="s">
        <v>8</v>
      </c>
      <c r="I2" s="113" t="s">
        <v>6</v>
      </c>
      <c r="J2" s="121" t="s">
        <v>7</v>
      </c>
      <c r="K2" s="89" t="s">
        <v>9</v>
      </c>
      <c r="L2" s="122" t="s">
        <v>10</v>
      </c>
      <c r="M2" s="115" t="s">
        <v>11</v>
      </c>
      <c r="N2" s="113" t="s">
        <v>12</v>
      </c>
    </row>
    <row r="3" spans="1:14" ht="18" customHeight="1">
      <c r="A3" s="441" t="s">
        <v>13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9"/>
      <c r="M3" s="450" t="s">
        <v>173</v>
      </c>
      <c r="N3" s="451"/>
    </row>
    <row r="4" spans="1:14">
      <c r="A4" s="6">
        <v>1</v>
      </c>
      <c r="B4" s="107" t="s">
        <v>145</v>
      </c>
      <c r="C4" s="6"/>
      <c r="D4" s="6"/>
      <c r="E4" s="90">
        <v>0</v>
      </c>
      <c r="F4" s="6">
        <v>0</v>
      </c>
      <c r="G4" s="91">
        <f>E4*F4</f>
        <v>0</v>
      </c>
      <c r="H4" s="90">
        <v>4.83</v>
      </c>
      <c r="I4" s="6">
        <v>103.44</v>
      </c>
      <c r="J4" s="91">
        <f>H4*I4</f>
        <v>499.61520000000002</v>
      </c>
      <c r="K4" s="91">
        <f>G4+J4</f>
        <v>499.61520000000002</v>
      </c>
      <c r="L4" s="208">
        <f>+K4</f>
        <v>499.61520000000002</v>
      </c>
      <c r="M4" s="194">
        <v>0</v>
      </c>
      <c r="N4" s="67" t="s">
        <v>174</v>
      </c>
    </row>
    <row r="5" spans="1:14">
      <c r="A5" s="6">
        <v>3</v>
      </c>
      <c r="B5" s="107" t="s">
        <v>146</v>
      </c>
      <c r="C5" s="6"/>
      <c r="D5" s="6"/>
      <c r="E5" s="90">
        <v>63.51</v>
      </c>
      <c r="F5" s="6">
        <v>89.49</v>
      </c>
      <c r="G5" s="91">
        <f t="shared" ref="G5:G22" si="0">E5*F5</f>
        <v>5683.5098999999991</v>
      </c>
      <c r="H5" s="90">
        <v>0</v>
      </c>
      <c r="I5" s="6"/>
      <c r="J5" s="91">
        <f t="shared" ref="J5:J22" si="1">H5*I5</f>
        <v>0</v>
      </c>
      <c r="K5" s="91">
        <f t="shared" ref="K5:K22" si="2">G5+J5</f>
        <v>5683.5098999999991</v>
      </c>
      <c r="L5" s="208">
        <f t="shared" ref="L5:L22" si="3">+K5</f>
        <v>5683.5098999999991</v>
      </c>
      <c r="M5" s="194">
        <v>0</v>
      </c>
      <c r="N5" s="67" t="s">
        <v>174</v>
      </c>
    </row>
    <row r="6" spans="1:14">
      <c r="A6" s="6">
        <v>4</v>
      </c>
      <c r="B6" s="107" t="s">
        <v>147</v>
      </c>
      <c r="C6" s="6"/>
      <c r="D6" s="6"/>
      <c r="E6" s="90">
        <v>93.41</v>
      </c>
      <c r="F6" s="6">
        <v>89.49</v>
      </c>
      <c r="G6" s="91">
        <f t="shared" si="0"/>
        <v>8359.2608999999993</v>
      </c>
      <c r="H6" s="90"/>
      <c r="I6" s="6"/>
      <c r="J6" s="91">
        <f t="shared" si="1"/>
        <v>0</v>
      </c>
      <c r="K6" s="91">
        <f t="shared" si="2"/>
        <v>8359.2608999999993</v>
      </c>
      <c r="L6" s="208">
        <f t="shared" si="3"/>
        <v>8359.2608999999993</v>
      </c>
      <c r="M6" s="194">
        <v>0</v>
      </c>
      <c r="N6" s="67" t="s">
        <v>174</v>
      </c>
    </row>
    <row r="7" spans="1:14">
      <c r="A7" s="6">
        <v>5</v>
      </c>
      <c r="B7" s="107" t="s">
        <v>148</v>
      </c>
      <c r="C7" s="6"/>
      <c r="D7" s="6"/>
      <c r="E7" s="90">
        <v>0</v>
      </c>
      <c r="F7" s="6">
        <v>89.22</v>
      </c>
      <c r="G7" s="91">
        <f t="shared" si="0"/>
        <v>0</v>
      </c>
      <c r="H7" s="90">
        <v>4.83</v>
      </c>
      <c r="I7" s="6">
        <v>103.44</v>
      </c>
      <c r="J7" s="91">
        <f t="shared" si="1"/>
        <v>499.61520000000002</v>
      </c>
      <c r="K7" s="91">
        <f t="shared" si="2"/>
        <v>499.61520000000002</v>
      </c>
      <c r="L7" s="208">
        <f t="shared" si="3"/>
        <v>499.61520000000002</v>
      </c>
      <c r="M7" s="194">
        <v>0</v>
      </c>
      <c r="N7" s="67" t="s">
        <v>174</v>
      </c>
    </row>
    <row r="8" spans="1:14">
      <c r="A8" s="6">
        <v>7</v>
      </c>
      <c r="B8" s="107" t="s">
        <v>149</v>
      </c>
      <c r="C8" s="6"/>
      <c r="D8" s="6"/>
      <c r="E8" s="90">
        <v>33.24</v>
      </c>
      <c r="F8" s="6">
        <v>89.49</v>
      </c>
      <c r="G8" s="91">
        <f t="shared" si="0"/>
        <v>2974.6475999999998</v>
      </c>
      <c r="H8" s="90">
        <v>4.83</v>
      </c>
      <c r="I8" s="6">
        <v>103.39</v>
      </c>
      <c r="J8" s="91">
        <f t="shared" si="1"/>
        <v>499.37369999999999</v>
      </c>
      <c r="K8" s="91">
        <f t="shared" si="2"/>
        <v>3474.0212999999999</v>
      </c>
      <c r="L8" s="208">
        <f t="shared" si="3"/>
        <v>3474.0212999999999</v>
      </c>
      <c r="M8" s="194">
        <v>0</v>
      </c>
      <c r="N8" s="67" t="s">
        <v>174</v>
      </c>
    </row>
    <row r="9" spans="1:14">
      <c r="A9" s="6">
        <v>8</v>
      </c>
      <c r="B9" s="107" t="s">
        <v>151</v>
      </c>
      <c r="C9" s="6"/>
      <c r="D9" s="6"/>
      <c r="E9" s="90">
        <v>0</v>
      </c>
      <c r="F9" s="6">
        <v>0</v>
      </c>
      <c r="G9" s="91">
        <f t="shared" si="0"/>
        <v>0</v>
      </c>
      <c r="H9" s="90">
        <v>4.83</v>
      </c>
      <c r="I9" s="6">
        <v>103.39</v>
      </c>
      <c r="J9" s="91">
        <f t="shared" si="1"/>
        <v>499.37369999999999</v>
      </c>
      <c r="K9" s="91">
        <f t="shared" si="2"/>
        <v>499.37369999999999</v>
      </c>
      <c r="L9" s="208">
        <f t="shared" si="3"/>
        <v>499.37369999999999</v>
      </c>
      <c r="M9" s="194">
        <v>0</v>
      </c>
      <c r="N9" s="67" t="s">
        <v>174</v>
      </c>
    </row>
    <row r="10" spans="1:14">
      <c r="A10" s="6">
        <v>9</v>
      </c>
      <c r="B10" s="107" t="s">
        <v>152</v>
      </c>
      <c r="C10" s="6"/>
      <c r="D10" s="6"/>
      <c r="E10" s="90">
        <v>0</v>
      </c>
      <c r="F10" s="6">
        <v>0</v>
      </c>
      <c r="G10" s="91">
        <f t="shared" si="0"/>
        <v>0</v>
      </c>
      <c r="H10" s="90">
        <v>9.66</v>
      </c>
      <c r="I10" s="6">
        <v>103.39</v>
      </c>
      <c r="J10" s="91">
        <f t="shared" si="1"/>
        <v>998.74739999999997</v>
      </c>
      <c r="K10" s="91">
        <f t="shared" si="2"/>
        <v>998.74739999999997</v>
      </c>
      <c r="L10" s="208">
        <f t="shared" si="3"/>
        <v>998.74739999999997</v>
      </c>
      <c r="M10" s="194">
        <v>0</v>
      </c>
      <c r="N10" s="67" t="s">
        <v>174</v>
      </c>
    </row>
    <row r="11" spans="1:14">
      <c r="A11" s="6">
        <v>10</v>
      </c>
      <c r="B11" s="107" t="s">
        <v>154</v>
      </c>
      <c r="C11" s="6"/>
      <c r="D11" s="6"/>
      <c r="E11" s="90">
        <v>77.48</v>
      </c>
      <c r="F11" s="6">
        <v>89.49</v>
      </c>
      <c r="G11" s="91">
        <f t="shared" si="0"/>
        <v>6933.6851999999999</v>
      </c>
      <c r="H11" s="90"/>
      <c r="I11" s="6"/>
      <c r="J11" s="91">
        <f t="shared" si="1"/>
        <v>0</v>
      </c>
      <c r="K11" s="91">
        <f t="shared" si="2"/>
        <v>6933.6851999999999</v>
      </c>
      <c r="L11" s="208">
        <f t="shared" si="3"/>
        <v>6933.6851999999999</v>
      </c>
      <c r="M11" s="194">
        <v>0</v>
      </c>
      <c r="N11" s="67" t="s">
        <v>174</v>
      </c>
    </row>
    <row r="12" spans="1:14">
      <c r="A12" s="6">
        <v>11</v>
      </c>
      <c r="B12" s="107" t="s">
        <v>158</v>
      </c>
      <c r="C12" s="6"/>
      <c r="D12" s="6"/>
      <c r="E12" s="90">
        <v>30</v>
      </c>
      <c r="F12" s="6">
        <v>89.49</v>
      </c>
      <c r="G12" s="91">
        <f t="shared" si="0"/>
        <v>2684.7</v>
      </c>
      <c r="H12" s="90">
        <v>14.69</v>
      </c>
      <c r="I12" s="6">
        <v>103.44</v>
      </c>
      <c r="J12" s="91">
        <f t="shared" si="1"/>
        <v>1519.5336</v>
      </c>
      <c r="K12" s="91">
        <f t="shared" si="2"/>
        <v>4204.2335999999996</v>
      </c>
      <c r="L12" s="208">
        <f t="shared" si="3"/>
        <v>4204.2335999999996</v>
      </c>
      <c r="M12" s="194">
        <v>0</v>
      </c>
      <c r="N12" s="67" t="s">
        <v>174</v>
      </c>
    </row>
    <row r="13" spans="1:14">
      <c r="A13" s="6">
        <v>12</v>
      </c>
      <c r="B13" s="107" t="s">
        <v>160</v>
      </c>
      <c r="C13" s="6"/>
      <c r="D13" s="6"/>
      <c r="E13" s="90">
        <v>22.35</v>
      </c>
      <c r="F13" s="6">
        <v>89.49</v>
      </c>
      <c r="G13" s="91">
        <f t="shared" si="0"/>
        <v>2000.1015</v>
      </c>
      <c r="H13" s="90"/>
      <c r="I13" s="6"/>
      <c r="J13" s="91">
        <f t="shared" si="1"/>
        <v>0</v>
      </c>
      <c r="K13" s="91">
        <f t="shared" si="2"/>
        <v>2000.1015</v>
      </c>
      <c r="L13" s="208">
        <f t="shared" si="3"/>
        <v>2000.1015</v>
      </c>
      <c r="M13" s="194">
        <v>0</v>
      </c>
      <c r="N13" s="67" t="s">
        <v>174</v>
      </c>
    </row>
    <row r="14" spans="1:14">
      <c r="A14" s="6">
        <v>13</v>
      </c>
      <c r="B14" s="107" t="s">
        <v>161</v>
      </c>
      <c r="C14" s="6"/>
      <c r="D14" s="6"/>
      <c r="E14" s="90">
        <v>0</v>
      </c>
      <c r="F14" s="6">
        <v>89.49</v>
      </c>
      <c r="G14" s="91">
        <f t="shared" si="0"/>
        <v>0</v>
      </c>
      <c r="H14" s="90">
        <v>4.83</v>
      </c>
      <c r="I14" s="6">
        <v>103.44</v>
      </c>
      <c r="J14" s="91">
        <f t="shared" si="1"/>
        <v>499.61520000000002</v>
      </c>
      <c r="K14" s="91">
        <f t="shared" si="2"/>
        <v>499.61520000000002</v>
      </c>
      <c r="L14" s="208">
        <f t="shared" si="3"/>
        <v>499.61520000000002</v>
      </c>
      <c r="M14" s="194">
        <v>0</v>
      </c>
      <c r="N14" s="67" t="s">
        <v>174</v>
      </c>
    </row>
    <row r="15" spans="1:14">
      <c r="A15" s="6">
        <v>14</v>
      </c>
      <c r="B15" s="107" t="s">
        <v>162</v>
      </c>
      <c r="C15" s="6"/>
      <c r="D15" s="6"/>
      <c r="E15" s="90">
        <v>51.99</v>
      </c>
      <c r="F15" s="6">
        <v>89.49</v>
      </c>
      <c r="G15" s="91">
        <f t="shared" si="0"/>
        <v>4652.5851000000002</v>
      </c>
      <c r="H15" s="90">
        <v>4.51</v>
      </c>
      <c r="I15" s="6">
        <v>110.76</v>
      </c>
      <c r="J15" s="91">
        <f t="shared" si="1"/>
        <v>499.52760000000001</v>
      </c>
      <c r="K15" s="91">
        <f t="shared" si="2"/>
        <v>5152.1127000000006</v>
      </c>
      <c r="L15" s="208">
        <f t="shared" si="3"/>
        <v>5152.1127000000006</v>
      </c>
      <c r="M15" s="194">
        <v>0</v>
      </c>
      <c r="N15" s="67" t="s">
        <v>174</v>
      </c>
    </row>
    <row r="16" spans="1:14">
      <c r="A16" s="6">
        <v>15</v>
      </c>
      <c r="B16" s="107" t="s">
        <v>163</v>
      </c>
      <c r="C16" s="6"/>
      <c r="D16" s="6"/>
      <c r="E16" s="90">
        <v>38</v>
      </c>
      <c r="F16" s="6">
        <v>89.49</v>
      </c>
      <c r="G16" s="91">
        <f t="shared" si="0"/>
        <v>3400.62</v>
      </c>
      <c r="H16" s="90"/>
      <c r="I16" s="6"/>
      <c r="J16" s="91">
        <f t="shared" si="1"/>
        <v>0</v>
      </c>
      <c r="K16" s="91">
        <f t="shared" si="2"/>
        <v>3400.62</v>
      </c>
      <c r="L16" s="208">
        <f t="shared" si="3"/>
        <v>3400.62</v>
      </c>
      <c r="M16" s="194">
        <v>0</v>
      </c>
      <c r="N16" s="67" t="s">
        <v>174</v>
      </c>
    </row>
    <row r="17" spans="1:15">
      <c r="A17" s="6">
        <v>16</v>
      </c>
      <c r="B17" s="107" t="s">
        <v>164</v>
      </c>
      <c r="C17" s="6"/>
      <c r="D17" s="6"/>
      <c r="E17" s="90">
        <v>30</v>
      </c>
      <c r="F17" s="6">
        <v>89.49</v>
      </c>
      <c r="G17" s="91">
        <f t="shared" si="0"/>
        <v>2684.7</v>
      </c>
      <c r="H17" s="90">
        <v>9.66</v>
      </c>
      <c r="I17" s="6">
        <v>103.44</v>
      </c>
      <c r="J17" s="91">
        <f t="shared" si="1"/>
        <v>999.23040000000003</v>
      </c>
      <c r="K17" s="91">
        <f t="shared" si="2"/>
        <v>3683.9303999999997</v>
      </c>
      <c r="L17" s="208">
        <f t="shared" si="3"/>
        <v>3683.9303999999997</v>
      </c>
      <c r="M17" s="194">
        <v>0</v>
      </c>
      <c r="N17" s="67" t="s">
        <v>174</v>
      </c>
    </row>
    <row r="18" spans="1:15">
      <c r="A18" s="6">
        <v>17</v>
      </c>
      <c r="B18" s="107" t="s">
        <v>167</v>
      </c>
      <c r="C18" s="6"/>
      <c r="D18" s="6"/>
      <c r="E18" s="90">
        <v>0</v>
      </c>
      <c r="F18" s="6">
        <v>0</v>
      </c>
      <c r="G18" s="91">
        <f t="shared" si="0"/>
        <v>0</v>
      </c>
      <c r="H18" s="90">
        <v>4.51</v>
      </c>
      <c r="I18" s="6">
        <v>103.44</v>
      </c>
      <c r="J18" s="91">
        <f t="shared" si="1"/>
        <v>466.51439999999997</v>
      </c>
      <c r="K18" s="91">
        <f t="shared" si="2"/>
        <v>466.51439999999997</v>
      </c>
      <c r="L18" s="208">
        <f t="shared" si="3"/>
        <v>466.51439999999997</v>
      </c>
      <c r="M18" s="194">
        <v>0</v>
      </c>
      <c r="N18" s="67" t="s">
        <v>174</v>
      </c>
    </row>
    <row r="19" spans="1:15">
      <c r="A19" s="6">
        <v>18</v>
      </c>
      <c r="B19" s="107" t="s">
        <v>168</v>
      </c>
      <c r="C19" s="6"/>
      <c r="D19" s="6"/>
      <c r="E19" s="90">
        <v>30</v>
      </c>
      <c r="F19" s="6">
        <v>89.49</v>
      </c>
      <c r="G19" s="91">
        <f t="shared" si="0"/>
        <v>2684.7</v>
      </c>
      <c r="H19" s="90"/>
      <c r="I19" s="6"/>
      <c r="J19" s="91">
        <f t="shared" si="1"/>
        <v>0</v>
      </c>
      <c r="K19" s="91">
        <f t="shared" si="2"/>
        <v>2684.7</v>
      </c>
      <c r="L19" s="208">
        <f t="shared" si="3"/>
        <v>2684.7</v>
      </c>
      <c r="M19" s="194">
        <v>0</v>
      </c>
      <c r="N19" s="67" t="s">
        <v>174</v>
      </c>
    </row>
    <row r="20" spans="1:15">
      <c r="A20" s="6">
        <v>19</v>
      </c>
      <c r="B20" s="107" t="s">
        <v>170</v>
      </c>
      <c r="C20" s="6"/>
      <c r="D20" s="6"/>
      <c r="E20" s="90">
        <v>33.520000000000003</v>
      </c>
      <c r="F20" s="6">
        <v>89.49</v>
      </c>
      <c r="G20" s="91">
        <f t="shared" si="0"/>
        <v>2999.7048</v>
      </c>
      <c r="H20" s="90"/>
      <c r="I20" s="6"/>
      <c r="J20" s="91">
        <f t="shared" si="1"/>
        <v>0</v>
      </c>
      <c r="K20" s="91">
        <f t="shared" si="2"/>
        <v>2999.7048</v>
      </c>
      <c r="L20" s="208">
        <f t="shared" si="3"/>
        <v>2999.7048</v>
      </c>
      <c r="M20" s="194">
        <v>0</v>
      </c>
      <c r="N20" s="67" t="s">
        <v>174</v>
      </c>
    </row>
    <row r="21" spans="1:15">
      <c r="A21" s="6">
        <v>20</v>
      </c>
      <c r="B21" s="107" t="s">
        <v>171</v>
      </c>
      <c r="C21" s="6"/>
      <c r="D21" s="6"/>
      <c r="E21" s="90">
        <v>42.88</v>
      </c>
      <c r="F21" s="6">
        <v>89.49</v>
      </c>
      <c r="G21" s="91">
        <f t="shared" si="0"/>
        <v>3837.3312000000001</v>
      </c>
      <c r="H21" s="90">
        <v>9.66</v>
      </c>
      <c r="I21" s="6">
        <v>103.44</v>
      </c>
      <c r="J21" s="91">
        <f t="shared" si="1"/>
        <v>999.23040000000003</v>
      </c>
      <c r="K21" s="91">
        <f t="shared" si="2"/>
        <v>4836.5616</v>
      </c>
      <c r="L21" s="208">
        <f t="shared" si="3"/>
        <v>4836.5616</v>
      </c>
      <c r="M21" s="194">
        <v>0</v>
      </c>
      <c r="N21" s="67" t="s">
        <v>174</v>
      </c>
    </row>
    <row r="22" spans="1:15">
      <c r="A22" s="222">
        <v>42</v>
      </c>
      <c r="B22" s="222"/>
      <c r="C22" s="222"/>
      <c r="D22" s="6"/>
      <c r="E22" s="90">
        <v>0</v>
      </c>
      <c r="F22" s="6">
        <v>0</v>
      </c>
      <c r="G22" s="91">
        <f t="shared" si="0"/>
        <v>0</v>
      </c>
      <c r="H22" s="90"/>
      <c r="I22" s="6"/>
      <c r="J22" s="91">
        <f t="shared" si="1"/>
        <v>0</v>
      </c>
      <c r="K22" s="225">
        <f t="shared" si="2"/>
        <v>0</v>
      </c>
      <c r="L22" s="226">
        <f t="shared" si="3"/>
        <v>0</v>
      </c>
      <c r="M22" s="227">
        <v>0</v>
      </c>
      <c r="N22" s="222"/>
    </row>
    <row r="23" spans="1:15">
      <c r="A23" s="87"/>
      <c r="B23" s="87"/>
      <c r="C23" s="87"/>
      <c r="D23" s="87"/>
      <c r="E23" s="88">
        <f>SUM(E4:E22)</f>
        <v>546.38</v>
      </c>
      <c r="F23" s="88"/>
      <c r="G23" s="88">
        <f>SUM(G4:G22)</f>
        <v>48895.546199999997</v>
      </c>
      <c r="H23" s="88">
        <f>SUM(H4:H22)</f>
        <v>76.84</v>
      </c>
      <c r="I23" s="88"/>
      <c r="J23" s="88">
        <f>SUM(J4:J22)</f>
        <v>7980.3768000000009</v>
      </c>
      <c r="K23" s="88">
        <f>SUM(K4:K22)</f>
        <v>56875.922999999995</v>
      </c>
      <c r="L23" s="88">
        <f>SUM(L4:L22)</f>
        <v>56875.922999999995</v>
      </c>
      <c r="M23" s="88"/>
      <c r="N23" s="88"/>
      <c r="O23" s="8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3"/>
  <sheetViews>
    <sheetView workbookViewId="0">
      <pane ySplit="2" topLeftCell="A13" activePane="bottomLeft" state="frozen"/>
      <selection pane="bottomLeft" activeCell="K32" sqref="K32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1.85546875" style="5" bestFit="1" customWidth="1"/>
    <col min="8" max="8" width="10.85546875" style="5" bestFit="1" customWidth="1"/>
    <col min="9" max="9" width="8" style="5" bestFit="1" customWidth="1"/>
    <col min="10" max="10" width="9.71093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20" t="s">
        <v>130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77"/>
    </row>
    <row r="2" spans="1:15">
      <c r="A2" s="130" t="s">
        <v>1</v>
      </c>
      <c r="B2" s="131" t="s">
        <v>2</v>
      </c>
      <c r="C2" s="131" t="s">
        <v>3</v>
      </c>
      <c r="D2" s="131" t="s">
        <v>139</v>
      </c>
      <c r="E2" s="131" t="s">
        <v>5</v>
      </c>
      <c r="F2" s="131" t="s">
        <v>6</v>
      </c>
      <c r="G2" s="131" t="s">
        <v>7</v>
      </c>
      <c r="H2" s="131" t="s">
        <v>8</v>
      </c>
      <c r="I2" s="131" t="s">
        <v>6</v>
      </c>
      <c r="J2" s="177" t="s">
        <v>7</v>
      </c>
      <c r="K2" s="132" t="s">
        <v>9</v>
      </c>
      <c r="L2" s="178" t="s">
        <v>10</v>
      </c>
      <c r="M2" s="183" t="s">
        <v>11</v>
      </c>
      <c r="N2" s="133" t="s">
        <v>12</v>
      </c>
      <c r="O2" s="84"/>
    </row>
    <row r="3" spans="1:15">
      <c r="A3" s="201"/>
      <c r="B3" s="19" t="s">
        <v>13</v>
      </c>
      <c r="C3" s="202"/>
      <c r="D3" s="202"/>
      <c r="E3" s="202"/>
      <c r="F3" s="202"/>
      <c r="G3" s="202"/>
      <c r="H3" s="202"/>
      <c r="I3" s="202"/>
      <c r="J3" s="203"/>
      <c r="K3" s="327">
        <v>480946.50689999992</v>
      </c>
      <c r="L3" s="204"/>
      <c r="M3" s="109">
        <f>+K3</f>
        <v>480946.50689999992</v>
      </c>
      <c r="N3" s="202"/>
      <c r="O3" s="84"/>
    </row>
    <row r="4" spans="1:15">
      <c r="A4" s="67">
        <v>1</v>
      </c>
      <c r="B4" s="314">
        <v>45689</v>
      </c>
      <c r="C4" s="92"/>
      <c r="D4" s="205"/>
      <c r="E4" s="90">
        <v>17.100000000000001</v>
      </c>
      <c r="F4" s="6">
        <v>89.23</v>
      </c>
      <c r="G4" s="8">
        <f>E4*F4</f>
        <v>1525.8330000000001</v>
      </c>
      <c r="H4" s="90">
        <v>0</v>
      </c>
      <c r="I4" s="6">
        <v>0</v>
      </c>
      <c r="J4" s="8">
        <f>H4*I4</f>
        <v>0</v>
      </c>
      <c r="K4" s="8">
        <f>G4+J4</f>
        <v>1525.8330000000001</v>
      </c>
      <c r="L4" s="93"/>
      <c r="M4" s="93">
        <f>M3+K4-L4</f>
        <v>482472.3398999999</v>
      </c>
      <c r="N4" s="55"/>
      <c r="O4" s="96"/>
    </row>
    <row r="5" spans="1:15">
      <c r="A5" s="67">
        <v>2</v>
      </c>
      <c r="B5" s="314">
        <v>45690</v>
      </c>
      <c r="C5" s="92"/>
      <c r="D5" s="99"/>
      <c r="E5" s="90">
        <v>0</v>
      </c>
      <c r="F5" s="6">
        <v>89.23</v>
      </c>
      <c r="G5" s="8">
        <f t="shared" ref="G5:G30" si="0">E5*F5</f>
        <v>0</v>
      </c>
      <c r="H5" s="90">
        <v>0</v>
      </c>
      <c r="I5" s="6">
        <v>0</v>
      </c>
      <c r="J5" s="8">
        <f t="shared" ref="J5:J31" si="1">H5*I5</f>
        <v>0</v>
      </c>
      <c r="K5" s="8">
        <f>G5+J5</f>
        <v>0</v>
      </c>
      <c r="L5" s="8"/>
      <c r="M5" s="93">
        <f t="shared" ref="M5:M19" si="2">M4+K5-L5</f>
        <v>482472.3398999999</v>
      </c>
      <c r="N5" s="55"/>
      <c r="O5" s="96"/>
    </row>
    <row r="6" spans="1:15">
      <c r="A6" s="67">
        <v>3</v>
      </c>
      <c r="B6" s="314">
        <v>45691</v>
      </c>
      <c r="C6" s="92"/>
      <c r="D6" s="99"/>
      <c r="E6" s="90">
        <v>37.299999999999997</v>
      </c>
      <c r="F6" s="6">
        <v>89.23</v>
      </c>
      <c r="G6" s="8">
        <f t="shared" si="0"/>
        <v>3328.279</v>
      </c>
      <c r="H6" s="90">
        <v>0</v>
      </c>
      <c r="I6" s="6">
        <v>0</v>
      </c>
      <c r="J6" s="8">
        <f t="shared" si="1"/>
        <v>0</v>
      </c>
      <c r="K6" s="8">
        <f>G6+J6</f>
        <v>3328.279</v>
      </c>
      <c r="L6" s="8"/>
      <c r="M6" s="93">
        <f t="shared" si="2"/>
        <v>485800.61889999988</v>
      </c>
      <c r="N6" s="55"/>
      <c r="O6" s="96"/>
    </row>
    <row r="7" spans="1:15">
      <c r="A7" s="67">
        <v>4</v>
      </c>
      <c r="B7" s="306">
        <v>45692</v>
      </c>
      <c r="C7" s="92"/>
      <c r="D7" s="99"/>
      <c r="E7" s="90">
        <v>80.510000000000005</v>
      </c>
      <c r="F7" s="6">
        <v>89.23</v>
      </c>
      <c r="G7" s="8">
        <f t="shared" si="0"/>
        <v>7183.9073000000008</v>
      </c>
      <c r="H7" s="90">
        <v>7.37</v>
      </c>
      <c r="I7" s="6">
        <v>103.16</v>
      </c>
      <c r="J7" s="8">
        <f t="shared" si="1"/>
        <v>760.28919999999994</v>
      </c>
      <c r="K7" s="8">
        <f>G7+J7</f>
        <v>7944.1965000000009</v>
      </c>
      <c r="L7" s="8"/>
      <c r="M7" s="93">
        <f t="shared" si="2"/>
        <v>493744.8153999999</v>
      </c>
      <c r="N7" s="55"/>
      <c r="O7" s="96"/>
    </row>
    <row r="8" spans="1:15">
      <c r="A8" s="67">
        <v>5</v>
      </c>
      <c r="B8" s="306">
        <v>45693</v>
      </c>
      <c r="C8" s="92"/>
      <c r="D8" s="99"/>
      <c r="E8" s="90">
        <v>230</v>
      </c>
      <c r="F8" s="6">
        <v>89.23</v>
      </c>
      <c r="G8" s="8">
        <f t="shared" si="0"/>
        <v>20522.900000000001</v>
      </c>
      <c r="H8" s="90">
        <v>0</v>
      </c>
      <c r="I8" s="6">
        <v>103.16</v>
      </c>
      <c r="J8" s="8">
        <f t="shared" si="1"/>
        <v>0</v>
      </c>
      <c r="K8" s="8">
        <f>G8+J8</f>
        <v>20522.900000000001</v>
      </c>
      <c r="L8" s="8">
        <v>457545.07</v>
      </c>
      <c r="M8" s="93">
        <f t="shared" si="2"/>
        <v>56722.645399999921</v>
      </c>
      <c r="N8" s="55"/>
      <c r="O8" s="96"/>
    </row>
    <row r="9" spans="1:15">
      <c r="A9" s="67">
        <v>6</v>
      </c>
      <c r="B9" s="306">
        <v>45694</v>
      </c>
      <c r="C9" s="92"/>
      <c r="D9" s="99"/>
      <c r="E9" s="90">
        <v>60.26</v>
      </c>
      <c r="F9" s="6">
        <v>89.23</v>
      </c>
      <c r="G9" s="8">
        <f t="shared" si="0"/>
        <v>5376.9998000000005</v>
      </c>
      <c r="H9" s="90">
        <v>6.79</v>
      </c>
      <c r="I9" s="6">
        <v>103.16</v>
      </c>
      <c r="J9" s="8">
        <f t="shared" si="1"/>
        <v>700.45640000000003</v>
      </c>
      <c r="K9" s="8">
        <f>G9+J9</f>
        <v>6077.4562000000005</v>
      </c>
      <c r="L9" s="8"/>
      <c r="M9" s="93">
        <f t="shared" si="2"/>
        <v>62800.101599999922</v>
      </c>
      <c r="N9" s="55"/>
      <c r="O9" s="96"/>
    </row>
    <row r="10" spans="1:15">
      <c r="A10" s="67">
        <v>7</v>
      </c>
      <c r="B10" s="306">
        <v>45695</v>
      </c>
      <c r="C10" s="92"/>
      <c r="D10" s="99"/>
      <c r="E10" s="90">
        <v>36.79</v>
      </c>
      <c r="F10" s="6">
        <v>89.23</v>
      </c>
      <c r="G10" s="8">
        <f t="shared" si="0"/>
        <v>3282.7717000000002</v>
      </c>
      <c r="H10" s="90">
        <v>0</v>
      </c>
      <c r="I10" s="6">
        <v>103.16</v>
      </c>
      <c r="J10" s="8">
        <f t="shared" si="1"/>
        <v>0</v>
      </c>
      <c r="K10" s="8">
        <f>G10+J10</f>
        <v>3282.7717000000002</v>
      </c>
      <c r="L10" s="8"/>
      <c r="M10" s="93">
        <f t="shared" si="2"/>
        <v>66082.873299999919</v>
      </c>
      <c r="N10" s="55"/>
      <c r="O10" s="96"/>
    </row>
    <row r="11" spans="1:15">
      <c r="A11" s="67">
        <v>8</v>
      </c>
      <c r="B11" s="306">
        <v>45696</v>
      </c>
      <c r="C11" s="92"/>
      <c r="D11" s="99"/>
      <c r="E11" s="90">
        <v>275.41000000000003</v>
      </c>
      <c r="F11" s="6">
        <v>89.23</v>
      </c>
      <c r="G11" s="8">
        <f t="shared" si="0"/>
        <v>24574.834300000002</v>
      </c>
      <c r="H11" s="90">
        <v>0</v>
      </c>
      <c r="I11" s="6">
        <v>103.16</v>
      </c>
      <c r="J11" s="8">
        <f t="shared" si="1"/>
        <v>0</v>
      </c>
      <c r="K11" s="8">
        <f>G11+J11</f>
        <v>24574.834300000002</v>
      </c>
      <c r="L11" s="8"/>
      <c r="M11" s="93">
        <f t="shared" si="2"/>
        <v>90657.707599999922</v>
      </c>
      <c r="N11" s="55"/>
      <c r="O11" s="96"/>
    </row>
    <row r="12" spans="1:15">
      <c r="A12" s="67">
        <v>9</v>
      </c>
      <c r="B12" s="306">
        <v>45697</v>
      </c>
      <c r="C12" s="92"/>
      <c r="D12" s="99"/>
      <c r="E12" s="90">
        <v>81</v>
      </c>
      <c r="F12" s="6">
        <v>89.23</v>
      </c>
      <c r="G12" s="8">
        <f t="shared" si="0"/>
        <v>7227.63</v>
      </c>
      <c r="H12" s="90">
        <v>6.79</v>
      </c>
      <c r="I12" s="6">
        <v>103.16</v>
      </c>
      <c r="J12" s="8">
        <f t="shared" si="1"/>
        <v>700.45640000000003</v>
      </c>
      <c r="K12" s="8">
        <f>G12+J12</f>
        <v>7928.0864000000001</v>
      </c>
      <c r="L12" s="8"/>
      <c r="M12" s="93">
        <f t="shared" si="2"/>
        <v>98585.793999999922</v>
      </c>
      <c r="N12" s="55"/>
      <c r="O12" s="96"/>
    </row>
    <row r="13" spans="1:15">
      <c r="A13" s="67">
        <v>10</v>
      </c>
      <c r="B13" s="306">
        <v>45698</v>
      </c>
      <c r="C13" s="267"/>
      <c r="D13" s="268"/>
      <c r="E13" s="90">
        <v>30</v>
      </c>
      <c r="F13" s="6">
        <v>89.23</v>
      </c>
      <c r="G13" s="8">
        <f t="shared" si="0"/>
        <v>2676.9</v>
      </c>
      <c r="H13" s="90">
        <v>5</v>
      </c>
      <c r="I13" s="6">
        <v>103.16</v>
      </c>
      <c r="J13" s="8">
        <f t="shared" si="1"/>
        <v>515.79999999999995</v>
      </c>
      <c r="K13" s="8">
        <f>G13+J13</f>
        <v>3192.7</v>
      </c>
      <c r="L13" s="8"/>
      <c r="M13" s="93">
        <f t="shared" si="2"/>
        <v>101778.49399999992</v>
      </c>
      <c r="N13" s="55"/>
      <c r="O13" s="96"/>
    </row>
    <row r="14" spans="1:15">
      <c r="A14" s="67">
        <v>11</v>
      </c>
      <c r="B14" s="306">
        <v>45699</v>
      </c>
      <c r="C14" s="235"/>
      <c r="D14" s="235"/>
      <c r="E14" s="90">
        <v>67</v>
      </c>
      <c r="F14" s="6">
        <v>89.23</v>
      </c>
      <c r="G14" s="8">
        <f t="shared" si="0"/>
        <v>5978.41</v>
      </c>
      <c r="H14" s="90">
        <v>0</v>
      </c>
      <c r="I14" s="6">
        <v>103.16</v>
      </c>
      <c r="J14" s="8">
        <f t="shared" si="1"/>
        <v>0</v>
      </c>
      <c r="K14" s="8">
        <f>G14+J14</f>
        <v>5978.41</v>
      </c>
      <c r="L14" s="8">
        <v>80000</v>
      </c>
      <c r="M14" s="93">
        <f t="shared" si="2"/>
        <v>27756.903999999922</v>
      </c>
      <c r="N14" s="55"/>
      <c r="O14" s="96"/>
    </row>
    <row r="15" spans="1:15">
      <c r="A15" s="67">
        <v>12</v>
      </c>
      <c r="B15" s="306">
        <v>45700</v>
      </c>
      <c r="C15" s="235"/>
      <c r="D15" s="235"/>
      <c r="E15" s="90">
        <v>28.06</v>
      </c>
      <c r="F15" s="6">
        <v>89.23</v>
      </c>
      <c r="G15" s="8">
        <f t="shared" si="0"/>
        <v>2503.7937999999999</v>
      </c>
      <c r="H15" s="90">
        <v>7.29</v>
      </c>
      <c r="I15" s="6">
        <v>103.16</v>
      </c>
      <c r="J15" s="8">
        <f t="shared" si="1"/>
        <v>752.03639999999996</v>
      </c>
      <c r="K15" s="8">
        <f>G15+J15</f>
        <v>3255.8301999999999</v>
      </c>
      <c r="L15" s="8"/>
      <c r="M15" s="93">
        <f t="shared" si="2"/>
        <v>31012.734199999923</v>
      </c>
      <c r="N15" s="55"/>
      <c r="O15" s="96"/>
    </row>
    <row r="16" spans="1:15">
      <c r="A16" s="67">
        <v>13</v>
      </c>
      <c r="B16" s="306">
        <v>45701</v>
      </c>
      <c r="C16" s="235"/>
      <c r="D16" s="235"/>
      <c r="E16" s="90">
        <v>0</v>
      </c>
      <c r="F16" s="6">
        <v>89.23</v>
      </c>
      <c r="G16" s="8">
        <f t="shared" si="0"/>
        <v>0</v>
      </c>
      <c r="H16" s="90">
        <v>6.3</v>
      </c>
      <c r="I16" s="6">
        <v>103.16</v>
      </c>
      <c r="J16" s="8">
        <f t="shared" si="1"/>
        <v>649.90800000000002</v>
      </c>
      <c r="K16" s="8">
        <f>G16+J16</f>
        <v>649.90800000000002</v>
      </c>
      <c r="L16" s="8"/>
      <c r="M16" s="93">
        <f t="shared" si="2"/>
        <v>31662.642199999922</v>
      </c>
      <c r="N16" s="55"/>
      <c r="O16" s="96"/>
    </row>
    <row r="17" spans="1:15">
      <c r="A17" s="67">
        <v>14</v>
      </c>
      <c r="B17" s="306">
        <v>45702</v>
      </c>
      <c r="C17" s="235"/>
      <c r="D17" s="235"/>
      <c r="E17" s="90">
        <v>282.41000000000003</v>
      </c>
      <c r="F17" s="6">
        <v>89.23</v>
      </c>
      <c r="G17" s="8">
        <f t="shared" si="0"/>
        <v>25199.444300000003</v>
      </c>
      <c r="H17" s="90">
        <v>0.97</v>
      </c>
      <c r="I17" s="6">
        <v>103.16</v>
      </c>
      <c r="J17" s="8">
        <f t="shared" si="1"/>
        <v>100.06519999999999</v>
      </c>
      <c r="K17" s="8">
        <f>G17+J17</f>
        <v>25299.509500000004</v>
      </c>
      <c r="L17" s="8"/>
      <c r="M17" s="93">
        <f t="shared" si="2"/>
        <v>56962.151699999929</v>
      </c>
      <c r="N17" s="55"/>
      <c r="O17" s="96"/>
    </row>
    <row r="18" spans="1:15">
      <c r="A18" s="67">
        <v>15</v>
      </c>
      <c r="B18" s="306">
        <v>45703</v>
      </c>
      <c r="C18" s="235"/>
      <c r="D18" s="235"/>
      <c r="E18" s="90">
        <v>0</v>
      </c>
      <c r="F18" s="6">
        <v>89.23</v>
      </c>
      <c r="G18" s="8">
        <f t="shared" si="0"/>
        <v>0</v>
      </c>
      <c r="H18" s="90">
        <v>0</v>
      </c>
      <c r="I18" s="6">
        <v>103.16</v>
      </c>
      <c r="J18" s="8">
        <f t="shared" si="1"/>
        <v>0</v>
      </c>
      <c r="K18" s="8">
        <f>G18+J18</f>
        <v>0</v>
      </c>
      <c r="L18" s="8"/>
      <c r="M18" s="93">
        <f t="shared" si="2"/>
        <v>56962.151699999929</v>
      </c>
      <c r="N18" s="55"/>
      <c r="O18" s="96"/>
    </row>
    <row r="19" spans="1:15">
      <c r="A19" s="67">
        <v>16</v>
      </c>
      <c r="B19" s="306">
        <v>45704</v>
      </c>
      <c r="C19" s="235"/>
      <c r="D19" s="235"/>
      <c r="E19" s="90">
        <v>137.86000000000001</v>
      </c>
      <c r="F19" s="6">
        <v>89.23</v>
      </c>
      <c r="G19" s="8">
        <f t="shared" si="0"/>
        <v>12301.247800000001</v>
      </c>
      <c r="H19" s="90">
        <v>4.5599999999999996</v>
      </c>
      <c r="I19" s="6">
        <v>103.16</v>
      </c>
      <c r="J19" s="8">
        <f t="shared" si="1"/>
        <v>470.40959999999995</v>
      </c>
      <c r="K19" s="8">
        <f>G19+J19</f>
        <v>12771.6574</v>
      </c>
      <c r="L19" s="8"/>
      <c r="M19" s="93">
        <f t="shared" si="2"/>
        <v>69733.809099999926</v>
      </c>
      <c r="N19" s="55"/>
      <c r="O19" s="96"/>
    </row>
    <row r="20" spans="1:15">
      <c r="A20" s="67">
        <v>17</v>
      </c>
      <c r="B20" s="306">
        <v>45705</v>
      </c>
      <c r="C20" s="235"/>
      <c r="D20" s="235"/>
      <c r="E20" s="90">
        <v>180</v>
      </c>
      <c r="F20" s="6">
        <v>89.23</v>
      </c>
      <c r="G20" s="8">
        <f t="shared" si="0"/>
        <v>16061.400000000001</v>
      </c>
      <c r="H20" s="90">
        <v>0</v>
      </c>
      <c r="I20" s="6">
        <v>0</v>
      </c>
      <c r="J20" s="8">
        <f t="shared" si="1"/>
        <v>0</v>
      </c>
      <c r="K20" s="8">
        <f>G20+J20</f>
        <v>16061.400000000001</v>
      </c>
      <c r="L20" s="8"/>
      <c r="M20" s="93">
        <f t="shared" ref="M5:M31" si="3">M19+K20-L20</f>
        <v>85795.20909999992</v>
      </c>
      <c r="N20" s="55"/>
      <c r="O20" s="96"/>
    </row>
    <row r="21" spans="1:15">
      <c r="A21" s="67">
        <v>18</v>
      </c>
      <c r="B21" s="306">
        <v>45706</v>
      </c>
      <c r="C21" s="235"/>
      <c r="D21" s="235"/>
      <c r="E21" s="90">
        <v>192.01</v>
      </c>
      <c r="F21" s="6">
        <v>89.23</v>
      </c>
      <c r="G21" s="8">
        <f t="shared" si="0"/>
        <v>17133.052299999999</v>
      </c>
      <c r="H21" s="90">
        <v>4.84</v>
      </c>
      <c r="I21" s="6">
        <v>103.16</v>
      </c>
      <c r="J21" s="8">
        <f t="shared" si="1"/>
        <v>499.2944</v>
      </c>
      <c r="K21" s="8">
        <f>G21+J21</f>
        <v>17632.346699999998</v>
      </c>
      <c r="L21" s="8"/>
      <c r="M21" s="93">
        <f t="shared" si="3"/>
        <v>103427.55579999991</v>
      </c>
      <c r="N21" s="55"/>
      <c r="O21" s="96"/>
    </row>
    <row r="22" spans="1:15">
      <c r="A22" s="67">
        <v>19</v>
      </c>
      <c r="B22" s="306">
        <v>45707</v>
      </c>
      <c r="C22" s="235"/>
      <c r="D22" s="235"/>
      <c r="E22" s="90">
        <v>378.49</v>
      </c>
      <c r="F22" s="6">
        <v>89.23</v>
      </c>
      <c r="G22" s="8">
        <f t="shared" si="0"/>
        <v>33772.662700000001</v>
      </c>
      <c r="H22" s="90">
        <v>6.79</v>
      </c>
      <c r="I22" s="6">
        <v>103.16</v>
      </c>
      <c r="J22" s="8">
        <f t="shared" si="1"/>
        <v>700.45640000000003</v>
      </c>
      <c r="K22" s="8">
        <f>G22+J22</f>
        <v>34473.119100000004</v>
      </c>
      <c r="L22" s="8"/>
      <c r="M22" s="93">
        <f t="shared" si="3"/>
        <v>137900.67489999993</v>
      </c>
      <c r="N22" s="55"/>
      <c r="O22" s="96"/>
    </row>
    <row r="23" spans="1:15">
      <c r="A23" s="67">
        <v>20</v>
      </c>
      <c r="B23" s="306">
        <v>45708</v>
      </c>
      <c r="C23" s="235"/>
      <c r="D23" s="235"/>
      <c r="E23" s="90">
        <v>0</v>
      </c>
      <c r="F23" s="6">
        <v>0</v>
      </c>
      <c r="G23" s="8">
        <f t="shared" si="0"/>
        <v>0</v>
      </c>
      <c r="H23" s="90">
        <v>0</v>
      </c>
      <c r="I23" s="6">
        <v>0</v>
      </c>
      <c r="J23" s="8">
        <f t="shared" si="1"/>
        <v>0</v>
      </c>
      <c r="K23" s="8">
        <f>G23+J23</f>
        <v>0</v>
      </c>
      <c r="L23" s="8"/>
      <c r="M23" s="93">
        <f t="shared" si="3"/>
        <v>137900.67489999993</v>
      </c>
      <c r="N23" s="55"/>
      <c r="O23" s="96"/>
    </row>
    <row r="24" spans="1:15">
      <c r="A24" s="67">
        <v>21</v>
      </c>
      <c r="B24" s="306">
        <v>45709</v>
      </c>
      <c r="C24" s="235"/>
      <c r="D24" s="235"/>
      <c r="E24" s="90">
        <v>150.63</v>
      </c>
      <c r="F24" s="6">
        <v>89.23</v>
      </c>
      <c r="G24" s="8">
        <f t="shared" si="0"/>
        <v>13440.714900000001</v>
      </c>
      <c r="H24" s="90">
        <v>5.34</v>
      </c>
      <c r="I24" s="6">
        <v>103.16</v>
      </c>
      <c r="J24" s="8">
        <f t="shared" si="1"/>
        <v>550.87439999999992</v>
      </c>
      <c r="K24" s="8">
        <f>G24+J24</f>
        <v>13991.589300000001</v>
      </c>
      <c r="L24" s="8"/>
      <c r="M24" s="93">
        <f t="shared" si="3"/>
        <v>151892.26419999992</v>
      </c>
      <c r="N24" s="55"/>
      <c r="O24" s="96"/>
    </row>
    <row r="25" spans="1:15">
      <c r="A25" s="67">
        <v>22</v>
      </c>
      <c r="B25" s="306">
        <v>45710</v>
      </c>
      <c r="C25" s="235"/>
      <c r="D25" s="235"/>
      <c r="E25" s="90">
        <v>484.21</v>
      </c>
      <c r="F25" s="6">
        <v>89.23</v>
      </c>
      <c r="G25" s="8">
        <f t="shared" si="0"/>
        <v>43206.058299999997</v>
      </c>
      <c r="H25" s="90">
        <v>0</v>
      </c>
      <c r="I25" s="6">
        <v>0</v>
      </c>
      <c r="J25" s="8">
        <f t="shared" si="1"/>
        <v>0</v>
      </c>
      <c r="K25" s="8">
        <f>G25+J25</f>
        <v>43206.058299999997</v>
      </c>
      <c r="L25" s="8"/>
      <c r="M25" s="93">
        <f t="shared" si="3"/>
        <v>195098.32249999992</v>
      </c>
      <c r="N25" s="55"/>
      <c r="O25" s="96"/>
    </row>
    <row r="26" spans="1:15">
      <c r="A26" s="67">
        <v>23</v>
      </c>
      <c r="B26" s="306">
        <v>45711</v>
      </c>
      <c r="C26" s="324"/>
      <c r="D26" s="324"/>
      <c r="E26" s="21"/>
      <c r="F26" s="325"/>
      <c r="G26" s="8">
        <f t="shared" si="0"/>
        <v>0</v>
      </c>
      <c r="H26" s="90"/>
      <c r="I26" s="325"/>
      <c r="J26" s="8">
        <f t="shared" si="1"/>
        <v>0</v>
      </c>
      <c r="K26" s="8">
        <f t="shared" ref="K26:K31" si="4">G26+J26</f>
        <v>0</v>
      </c>
      <c r="L26" s="21"/>
      <c r="M26" s="93">
        <f t="shared" si="3"/>
        <v>195098.32249999992</v>
      </c>
      <c r="N26" s="326"/>
      <c r="O26" s="96"/>
    </row>
    <row r="27" spans="1:15">
      <c r="A27" s="67">
        <v>24</v>
      </c>
      <c r="B27" s="306">
        <v>45712</v>
      </c>
      <c r="C27" s="324"/>
      <c r="D27" s="324"/>
      <c r="E27" s="21">
        <v>30</v>
      </c>
      <c r="F27" s="325">
        <v>89.23</v>
      </c>
      <c r="G27" s="8">
        <f t="shared" si="0"/>
        <v>2676.9</v>
      </c>
      <c r="H27" s="90">
        <v>1</v>
      </c>
      <c r="I27" s="325">
        <v>103.16</v>
      </c>
      <c r="J27" s="8">
        <f t="shared" si="1"/>
        <v>103.16</v>
      </c>
      <c r="K27" s="8">
        <f t="shared" si="4"/>
        <v>2780.06</v>
      </c>
      <c r="L27" s="21"/>
      <c r="M27" s="93">
        <f t="shared" si="3"/>
        <v>197878.38249999992</v>
      </c>
      <c r="N27" s="326"/>
      <c r="O27" s="96"/>
    </row>
    <row r="28" spans="1:15">
      <c r="A28" s="67">
        <v>25</v>
      </c>
      <c r="B28" s="306">
        <v>45713</v>
      </c>
      <c r="C28" s="324"/>
      <c r="D28" s="324"/>
      <c r="E28" s="21"/>
      <c r="F28" s="325">
        <v>89.23</v>
      </c>
      <c r="G28" s="8">
        <f t="shared" si="0"/>
        <v>0</v>
      </c>
      <c r="H28" s="90">
        <v>2.91</v>
      </c>
      <c r="I28" s="325">
        <v>103.16</v>
      </c>
      <c r="J28" s="8">
        <f t="shared" si="1"/>
        <v>300.19560000000001</v>
      </c>
      <c r="K28" s="8">
        <f t="shared" si="4"/>
        <v>300.19560000000001</v>
      </c>
      <c r="L28" s="21"/>
      <c r="M28" s="93">
        <f t="shared" si="3"/>
        <v>198178.57809999993</v>
      </c>
      <c r="N28" s="326"/>
      <c r="O28" s="96"/>
    </row>
    <row r="29" spans="1:15">
      <c r="A29" s="67">
        <v>26</v>
      </c>
      <c r="B29" s="306">
        <v>45714</v>
      </c>
      <c r="C29" s="324"/>
      <c r="D29" s="324"/>
      <c r="E29" s="21">
        <v>291.83999999999997</v>
      </c>
      <c r="F29" s="325">
        <v>89.23</v>
      </c>
      <c r="G29" s="8">
        <f t="shared" si="0"/>
        <v>26040.8832</v>
      </c>
      <c r="H29" s="90">
        <v>0</v>
      </c>
      <c r="I29" s="325"/>
      <c r="J29" s="8">
        <f t="shared" si="1"/>
        <v>0</v>
      </c>
      <c r="K29" s="8">
        <f t="shared" si="4"/>
        <v>26040.8832</v>
      </c>
      <c r="L29" s="21"/>
      <c r="M29" s="93">
        <f t="shared" si="3"/>
        <v>224219.46129999994</v>
      </c>
      <c r="N29" s="326"/>
      <c r="O29" s="96"/>
    </row>
    <row r="30" spans="1:15">
      <c r="A30" s="67">
        <v>27</v>
      </c>
      <c r="B30" s="306">
        <v>45715</v>
      </c>
      <c r="C30" s="324"/>
      <c r="D30" s="324"/>
      <c r="E30" s="21">
        <v>138.69999999999999</v>
      </c>
      <c r="F30" s="325">
        <v>89.23</v>
      </c>
      <c r="G30" s="8">
        <f t="shared" si="0"/>
        <v>12376.200999999999</v>
      </c>
      <c r="H30" s="90">
        <v>4.75</v>
      </c>
      <c r="I30" s="325">
        <v>103.16</v>
      </c>
      <c r="J30" s="8">
        <f t="shared" si="1"/>
        <v>490.01</v>
      </c>
      <c r="K30" s="8">
        <f t="shared" si="4"/>
        <v>12866.210999999999</v>
      </c>
      <c r="L30" s="21"/>
      <c r="M30" s="93">
        <f t="shared" si="3"/>
        <v>237085.67229999995</v>
      </c>
      <c r="N30" s="326"/>
      <c r="O30" s="96"/>
    </row>
    <row r="31" spans="1:15">
      <c r="A31" s="67">
        <v>28</v>
      </c>
      <c r="B31" s="306">
        <v>45716</v>
      </c>
      <c r="C31" s="324"/>
      <c r="D31" s="324"/>
      <c r="E31" s="21"/>
      <c r="F31" s="325"/>
      <c r="G31" s="21"/>
      <c r="H31" s="90">
        <v>10.48</v>
      </c>
      <c r="I31" s="325">
        <v>103.16</v>
      </c>
      <c r="J31" s="8">
        <f t="shared" si="1"/>
        <v>1081.1168</v>
      </c>
      <c r="K31" s="8">
        <f t="shared" si="4"/>
        <v>1081.1168</v>
      </c>
      <c r="L31" s="21"/>
      <c r="M31" s="93">
        <f t="shared" si="3"/>
        <v>238166.78909999994</v>
      </c>
      <c r="N31" s="326"/>
      <c r="O31" s="96"/>
    </row>
    <row r="32" spans="1:15">
      <c r="A32" s="206"/>
      <c r="B32" s="206"/>
      <c r="C32" s="206"/>
      <c r="D32" s="206"/>
      <c r="E32" s="207">
        <f>SUM(E4:E31)</f>
        <v>3209.58</v>
      </c>
      <c r="F32" s="207"/>
      <c r="G32" s="207">
        <f>SUM(G4:G31)</f>
        <v>286390.82339999999</v>
      </c>
      <c r="H32" s="207">
        <f>SUM(H4:H31)</f>
        <v>81.179999999999993</v>
      </c>
      <c r="I32" s="207"/>
      <c r="J32" s="207">
        <f>SUM(J4:J31)</f>
        <v>8374.5288</v>
      </c>
      <c r="K32" s="207">
        <f>SUM(K4:K31)</f>
        <v>294765.35220000002</v>
      </c>
      <c r="L32" s="207">
        <f>SUM(L4:L31)</f>
        <v>537545.07000000007</v>
      </c>
      <c r="M32" s="207"/>
      <c r="N32" s="207"/>
      <c r="O32" s="84"/>
    </row>
    <row r="33" spans="1:15">
      <c r="A33" s="101"/>
      <c r="B33" s="102"/>
      <c r="C33" s="101"/>
      <c r="D33" s="101"/>
      <c r="E33" s="103"/>
      <c r="F33" s="103"/>
      <c r="G33" s="103"/>
      <c r="H33" s="103"/>
      <c r="I33" s="103"/>
      <c r="J33" s="104"/>
      <c r="K33" s="104"/>
      <c r="L33" s="104"/>
      <c r="M33" s="104"/>
      <c r="N33" s="103"/>
      <c r="O33" s="96"/>
    </row>
  </sheetData>
  <mergeCells count="1">
    <mergeCell ref="A1:N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46"/>
  <sheetViews>
    <sheetView workbookViewId="0">
      <selection activeCell="R20" sqref="R20"/>
    </sheetView>
  </sheetViews>
  <sheetFormatPr defaultRowHeight="15"/>
  <cols>
    <col min="2" max="2" width="10.85546875" bestFit="1" customWidth="1"/>
    <col min="4" max="4" width="11.5703125" customWidth="1"/>
    <col min="7" max="7" width="12.28515625" customWidth="1"/>
    <col min="9" max="9" width="9.28515625" bestFit="1" customWidth="1"/>
    <col min="11" max="11" width="13.5703125" bestFit="1" customWidth="1"/>
    <col min="12" max="12" width="12.42578125" bestFit="1" customWidth="1"/>
    <col min="14" max="14" width="14.7109375" bestFit="1" customWidth="1"/>
  </cols>
  <sheetData>
    <row r="1" spans="1:15" ht="15.75">
      <c r="A1" s="452" t="s">
        <v>175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5"/>
    </row>
    <row r="2" spans="1:15" ht="30.75">
      <c r="A2" s="89" t="s">
        <v>1</v>
      </c>
      <c r="B2" s="113" t="s">
        <v>2</v>
      </c>
      <c r="C2" s="113" t="s">
        <v>3</v>
      </c>
      <c r="D2" s="113" t="s">
        <v>139</v>
      </c>
      <c r="E2" s="113" t="s">
        <v>5</v>
      </c>
      <c r="F2" s="113" t="s">
        <v>6</v>
      </c>
      <c r="G2" s="121" t="s">
        <v>7</v>
      </c>
      <c r="H2" s="113" t="s">
        <v>8</v>
      </c>
      <c r="I2" s="113" t="s">
        <v>6</v>
      </c>
      <c r="J2" s="121" t="s">
        <v>7</v>
      </c>
      <c r="K2" s="89" t="s">
        <v>9</v>
      </c>
      <c r="L2" s="122" t="s">
        <v>10</v>
      </c>
      <c r="M2" s="115" t="s">
        <v>11</v>
      </c>
      <c r="N2" s="113" t="s">
        <v>12</v>
      </c>
      <c r="O2" s="5"/>
    </row>
    <row r="3" spans="1:15">
      <c r="A3" s="441" t="s">
        <v>13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9"/>
      <c r="M3" s="450" t="s">
        <v>173</v>
      </c>
      <c r="N3" s="451"/>
      <c r="O3" s="5"/>
    </row>
    <row r="4" spans="1:15">
      <c r="A4" s="6">
        <v>1</v>
      </c>
      <c r="B4" s="107" t="s">
        <v>145</v>
      </c>
      <c r="C4" s="6"/>
      <c r="D4" s="6"/>
      <c r="E4" s="90">
        <v>0</v>
      </c>
      <c r="F4" s="6">
        <v>0</v>
      </c>
      <c r="G4" s="91">
        <f>E4*F4</f>
        <v>0</v>
      </c>
      <c r="H4" s="90">
        <v>4.8499999999999996</v>
      </c>
      <c r="I4" s="6">
        <v>103.16</v>
      </c>
      <c r="J4" s="91">
        <f>H4*I4</f>
        <v>500.32599999999996</v>
      </c>
      <c r="K4" s="91">
        <f>G4+J4</f>
        <v>500.32599999999996</v>
      </c>
      <c r="L4" s="208">
        <f>+K4</f>
        <v>500.32599999999996</v>
      </c>
      <c r="M4" s="194">
        <v>0</v>
      </c>
      <c r="N4" s="67" t="s">
        <v>174</v>
      </c>
      <c r="O4" s="5"/>
    </row>
    <row r="5" spans="1:15">
      <c r="A5" s="6">
        <v>3</v>
      </c>
      <c r="B5" s="107" t="s">
        <v>148</v>
      </c>
      <c r="C5" s="6"/>
      <c r="D5" s="6"/>
      <c r="E5" s="90">
        <v>45</v>
      </c>
      <c r="F5" s="6">
        <v>89.22</v>
      </c>
      <c r="G5" s="91">
        <f t="shared" ref="G5:G43" si="0">E5*F5</f>
        <v>4014.9</v>
      </c>
      <c r="H5" s="90">
        <v>0</v>
      </c>
      <c r="I5" s="6">
        <v>0</v>
      </c>
      <c r="J5" s="91">
        <f t="shared" ref="J5:J43" si="1">H5*I5</f>
        <v>0</v>
      </c>
      <c r="K5" s="91">
        <f t="shared" ref="K5:K43" si="2">G5+J5</f>
        <v>4014.9</v>
      </c>
      <c r="L5" s="208">
        <f t="shared" ref="L5:L43" si="3">+K5</f>
        <v>4014.9</v>
      </c>
      <c r="M5" s="194">
        <v>0</v>
      </c>
      <c r="N5" s="67" t="s">
        <v>176</v>
      </c>
      <c r="O5" s="5"/>
    </row>
    <row r="6" spans="1:15">
      <c r="A6" s="6">
        <v>4</v>
      </c>
      <c r="B6" s="107" t="s">
        <v>149</v>
      </c>
      <c r="C6" s="6"/>
      <c r="D6" s="6"/>
      <c r="E6" s="90">
        <v>40</v>
      </c>
      <c r="F6" s="6">
        <v>89.22</v>
      </c>
      <c r="G6" s="91">
        <f t="shared" si="0"/>
        <v>3568.8</v>
      </c>
      <c r="H6" s="90">
        <v>4.8499999999999996</v>
      </c>
      <c r="I6" s="6">
        <v>103.16</v>
      </c>
      <c r="J6" s="91">
        <f t="shared" si="1"/>
        <v>500.32599999999996</v>
      </c>
      <c r="K6" s="91">
        <f t="shared" si="2"/>
        <v>4069.1260000000002</v>
      </c>
      <c r="L6" s="208">
        <f t="shared" si="3"/>
        <v>4069.1260000000002</v>
      </c>
      <c r="M6" s="194">
        <v>0</v>
      </c>
      <c r="N6" s="67" t="s">
        <v>177</v>
      </c>
      <c r="O6" s="5"/>
    </row>
    <row r="7" spans="1:15">
      <c r="A7" s="6">
        <v>5</v>
      </c>
      <c r="B7" s="107" t="s">
        <v>150</v>
      </c>
      <c r="C7" s="6"/>
      <c r="D7" s="6"/>
      <c r="E7" s="90">
        <v>50</v>
      </c>
      <c r="F7" s="6">
        <v>89.22</v>
      </c>
      <c r="G7" s="91">
        <f t="shared" si="0"/>
        <v>4461</v>
      </c>
      <c r="H7" s="90">
        <v>0</v>
      </c>
      <c r="I7" s="6">
        <v>0</v>
      </c>
      <c r="J7" s="91">
        <f t="shared" si="1"/>
        <v>0</v>
      </c>
      <c r="K7" s="91">
        <f t="shared" si="2"/>
        <v>4461</v>
      </c>
      <c r="L7" s="208">
        <f t="shared" si="3"/>
        <v>4461</v>
      </c>
      <c r="M7" s="194">
        <v>0</v>
      </c>
      <c r="N7" s="67" t="s">
        <v>174</v>
      </c>
      <c r="O7" s="5"/>
    </row>
    <row r="8" spans="1:15">
      <c r="A8" s="6">
        <v>7</v>
      </c>
      <c r="B8" s="107" t="s">
        <v>152</v>
      </c>
      <c r="C8" s="6"/>
      <c r="D8" s="6"/>
      <c r="E8" s="90">
        <v>50</v>
      </c>
      <c r="F8" s="6">
        <v>89.22</v>
      </c>
      <c r="G8" s="91">
        <f t="shared" si="0"/>
        <v>4461</v>
      </c>
      <c r="H8" s="90">
        <v>0</v>
      </c>
      <c r="I8" s="6">
        <v>0</v>
      </c>
      <c r="J8" s="91">
        <f t="shared" si="1"/>
        <v>0</v>
      </c>
      <c r="K8" s="91">
        <f t="shared" si="2"/>
        <v>4461</v>
      </c>
      <c r="L8" s="208">
        <f t="shared" si="3"/>
        <v>4461</v>
      </c>
      <c r="M8" s="194">
        <v>0</v>
      </c>
      <c r="N8" s="67" t="s">
        <v>174</v>
      </c>
      <c r="O8" s="5"/>
    </row>
    <row r="9" spans="1:15">
      <c r="A9" s="6">
        <v>8</v>
      </c>
      <c r="B9" s="107" t="s">
        <v>153</v>
      </c>
      <c r="C9" s="6"/>
      <c r="D9" s="6"/>
      <c r="E9" s="90">
        <v>16.8</v>
      </c>
      <c r="F9" s="6">
        <v>89.22</v>
      </c>
      <c r="G9" s="91">
        <f t="shared" si="0"/>
        <v>1498.896</v>
      </c>
      <c r="H9" s="90">
        <v>0</v>
      </c>
      <c r="I9" s="6">
        <v>0</v>
      </c>
      <c r="J9" s="91">
        <f t="shared" si="1"/>
        <v>0</v>
      </c>
      <c r="K9" s="91">
        <f t="shared" si="2"/>
        <v>1498.896</v>
      </c>
      <c r="L9" s="208">
        <f t="shared" si="3"/>
        <v>1498.896</v>
      </c>
      <c r="M9" s="194">
        <v>0</v>
      </c>
      <c r="N9" s="67" t="s">
        <v>176</v>
      </c>
      <c r="O9" s="5"/>
    </row>
    <row r="10" spans="1:15">
      <c r="A10" s="6">
        <v>9</v>
      </c>
      <c r="B10" s="107" t="s">
        <v>153</v>
      </c>
      <c r="C10" s="6"/>
      <c r="D10" s="6"/>
      <c r="E10" s="90">
        <v>50</v>
      </c>
      <c r="F10" s="6">
        <v>89.22</v>
      </c>
      <c r="G10" s="91">
        <f t="shared" si="0"/>
        <v>4461</v>
      </c>
      <c r="H10" s="90">
        <v>0</v>
      </c>
      <c r="I10" s="6">
        <v>0</v>
      </c>
      <c r="J10" s="91">
        <f t="shared" si="1"/>
        <v>0</v>
      </c>
      <c r="K10" s="91">
        <f t="shared" si="2"/>
        <v>4461</v>
      </c>
      <c r="L10" s="208">
        <f t="shared" si="3"/>
        <v>4461</v>
      </c>
      <c r="M10" s="194">
        <v>0</v>
      </c>
      <c r="N10" s="67" t="s">
        <v>174</v>
      </c>
      <c r="O10" s="5"/>
    </row>
    <row r="11" spans="1:15">
      <c r="A11" s="6">
        <v>10</v>
      </c>
      <c r="B11" s="107" t="s">
        <v>154</v>
      </c>
      <c r="C11" s="6"/>
      <c r="D11" s="6"/>
      <c r="E11" s="90">
        <v>50</v>
      </c>
      <c r="F11" s="6">
        <v>89.22</v>
      </c>
      <c r="G11" s="91">
        <f t="shared" si="0"/>
        <v>4461</v>
      </c>
      <c r="H11" s="90">
        <v>0</v>
      </c>
      <c r="I11" s="6">
        <v>0</v>
      </c>
      <c r="J11" s="91">
        <f t="shared" si="1"/>
        <v>0</v>
      </c>
      <c r="K11" s="91">
        <f t="shared" si="2"/>
        <v>4461</v>
      </c>
      <c r="L11" s="208">
        <f t="shared" si="3"/>
        <v>4461</v>
      </c>
      <c r="M11" s="194">
        <v>0</v>
      </c>
      <c r="N11" s="67" t="s">
        <v>174</v>
      </c>
      <c r="O11" s="5"/>
    </row>
    <row r="12" spans="1:15">
      <c r="A12" s="6">
        <v>11</v>
      </c>
      <c r="B12" s="107" t="s">
        <v>156</v>
      </c>
      <c r="C12" s="6"/>
      <c r="D12" s="6"/>
      <c r="E12" s="90">
        <v>50</v>
      </c>
      <c r="F12" s="6">
        <v>89.22</v>
      </c>
      <c r="G12" s="91">
        <f t="shared" si="0"/>
        <v>4461</v>
      </c>
      <c r="H12" s="90"/>
      <c r="I12" s="6">
        <v>0</v>
      </c>
      <c r="J12" s="91">
        <f t="shared" si="1"/>
        <v>0</v>
      </c>
      <c r="K12" s="91">
        <f t="shared" si="2"/>
        <v>4461</v>
      </c>
      <c r="L12" s="208">
        <f t="shared" si="3"/>
        <v>4461</v>
      </c>
      <c r="M12" s="194">
        <v>0</v>
      </c>
      <c r="N12" s="67" t="s">
        <v>174</v>
      </c>
      <c r="O12" s="5"/>
    </row>
    <row r="13" spans="1:15">
      <c r="A13" s="6">
        <v>12</v>
      </c>
      <c r="B13" s="107" t="s">
        <v>156</v>
      </c>
      <c r="C13" s="6"/>
      <c r="D13" s="6"/>
      <c r="E13" s="90">
        <v>22.23</v>
      </c>
      <c r="F13" s="6">
        <v>89.95</v>
      </c>
      <c r="G13" s="91">
        <f t="shared" si="0"/>
        <v>1999.5885000000001</v>
      </c>
      <c r="H13" s="90"/>
      <c r="I13" s="6"/>
      <c r="J13" s="91">
        <f t="shared" si="1"/>
        <v>0</v>
      </c>
      <c r="K13" s="91">
        <f t="shared" si="2"/>
        <v>1999.5885000000001</v>
      </c>
      <c r="L13" s="208">
        <f t="shared" si="3"/>
        <v>1999.5885000000001</v>
      </c>
      <c r="M13" s="194">
        <v>0</v>
      </c>
      <c r="N13" s="67" t="s">
        <v>176</v>
      </c>
      <c r="O13" s="5"/>
    </row>
    <row r="14" spans="1:15">
      <c r="A14" s="6">
        <v>13</v>
      </c>
      <c r="B14" s="107" t="s">
        <v>157</v>
      </c>
      <c r="C14" s="6"/>
      <c r="D14" s="6"/>
      <c r="E14" s="368">
        <v>22.49</v>
      </c>
      <c r="F14" s="6">
        <v>88.92</v>
      </c>
      <c r="G14" s="91">
        <f t="shared" si="0"/>
        <v>1999.8108</v>
      </c>
      <c r="H14" s="90"/>
      <c r="I14" s="6"/>
      <c r="J14" s="91">
        <f t="shared" si="1"/>
        <v>0</v>
      </c>
      <c r="K14" s="91">
        <f t="shared" si="2"/>
        <v>1999.8108</v>
      </c>
      <c r="L14" s="208">
        <f t="shared" si="3"/>
        <v>1999.8108</v>
      </c>
      <c r="M14" s="194">
        <v>0</v>
      </c>
      <c r="N14" s="67" t="s">
        <v>176</v>
      </c>
      <c r="O14" s="5"/>
    </row>
    <row r="15" spans="1:15">
      <c r="A15" s="6">
        <v>14</v>
      </c>
      <c r="B15" s="107" t="s">
        <v>157</v>
      </c>
      <c r="C15" s="6"/>
      <c r="D15" s="6"/>
      <c r="E15" s="368">
        <v>11.2</v>
      </c>
      <c r="F15" s="6">
        <v>89.26</v>
      </c>
      <c r="G15" s="91">
        <f t="shared" si="0"/>
        <v>999.71199999999999</v>
      </c>
      <c r="H15" s="90"/>
      <c r="I15" s="6"/>
      <c r="J15" s="91">
        <f t="shared" si="1"/>
        <v>0</v>
      </c>
      <c r="K15" s="91">
        <f t="shared" si="2"/>
        <v>999.71199999999999</v>
      </c>
      <c r="L15" s="208">
        <f t="shared" si="3"/>
        <v>999.71199999999999</v>
      </c>
      <c r="M15" s="194">
        <v>0</v>
      </c>
      <c r="N15" s="67" t="s">
        <v>176</v>
      </c>
      <c r="O15" s="5"/>
    </row>
    <row r="16" spans="1:15">
      <c r="A16" s="6">
        <v>15</v>
      </c>
      <c r="B16" s="107" t="s">
        <v>158</v>
      </c>
      <c r="C16" s="6"/>
      <c r="D16" s="6"/>
      <c r="E16" s="368">
        <v>50</v>
      </c>
      <c r="F16" s="6">
        <v>89.22</v>
      </c>
      <c r="G16" s="91">
        <f t="shared" si="0"/>
        <v>4461</v>
      </c>
      <c r="H16" s="90"/>
      <c r="I16" s="6"/>
      <c r="J16" s="91">
        <f t="shared" si="1"/>
        <v>0</v>
      </c>
      <c r="K16" s="91">
        <f t="shared" si="2"/>
        <v>4461</v>
      </c>
      <c r="L16" s="208">
        <f t="shared" si="3"/>
        <v>4461</v>
      </c>
      <c r="M16" s="194">
        <v>0</v>
      </c>
      <c r="N16" s="67" t="s">
        <v>174</v>
      </c>
      <c r="O16" s="5"/>
    </row>
    <row r="17" spans="1:15">
      <c r="A17" s="6">
        <v>16</v>
      </c>
      <c r="B17" s="107" t="s">
        <v>161</v>
      </c>
      <c r="C17" s="6"/>
      <c r="D17" s="6"/>
      <c r="E17" s="90">
        <v>80</v>
      </c>
      <c r="F17" s="6">
        <v>89.22</v>
      </c>
      <c r="G17" s="91">
        <f t="shared" si="0"/>
        <v>7137.6</v>
      </c>
      <c r="H17" s="90"/>
      <c r="I17" s="6"/>
      <c r="J17" s="91">
        <f t="shared" si="1"/>
        <v>0</v>
      </c>
      <c r="K17" s="91">
        <f t="shared" si="2"/>
        <v>7137.6</v>
      </c>
      <c r="L17" s="208">
        <f t="shared" si="3"/>
        <v>7137.6</v>
      </c>
      <c r="M17" s="194">
        <v>0</v>
      </c>
      <c r="N17" s="67" t="s">
        <v>174</v>
      </c>
      <c r="O17" s="5"/>
    </row>
    <row r="18" spans="1:15">
      <c r="A18" s="6">
        <v>17</v>
      </c>
      <c r="B18" s="107" t="s">
        <v>162</v>
      </c>
      <c r="C18" s="6"/>
      <c r="D18" s="6"/>
      <c r="E18" s="90">
        <v>50</v>
      </c>
      <c r="F18" s="6">
        <v>89.22</v>
      </c>
      <c r="G18" s="91">
        <f t="shared" si="0"/>
        <v>4461</v>
      </c>
      <c r="H18" s="90"/>
      <c r="I18" s="6"/>
      <c r="J18" s="91">
        <f t="shared" si="1"/>
        <v>0</v>
      </c>
      <c r="K18" s="91">
        <f t="shared" si="2"/>
        <v>4461</v>
      </c>
      <c r="L18" s="208">
        <f t="shared" si="3"/>
        <v>4461</v>
      </c>
      <c r="M18" s="194">
        <v>0</v>
      </c>
      <c r="N18" s="67" t="s">
        <v>174</v>
      </c>
      <c r="O18" s="5"/>
    </row>
    <row r="19" spans="1:15">
      <c r="A19" s="6">
        <v>18</v>
      </c>
      <c r="B19" s="107" t="s">
        <v>163</v>
      </c>
      <c r="C19" s="6"/>
      <c r="D19" s="6"/>
      <c r="E19" s="90">
        <v>30</v>
      </c>
      <c r="F19" s="6">
        <v>89.22</v>
      </c>
      <c r="G19" s="91">
        <f t="shared" si="0"/>
        <v>2676.6</v>
      </c>
      <c r="H19" s="90"/>
      <c r="I19" s="6"/>
      <c r="J19" s="91">
        <f t="shared" si="1"/>
        <v>0</v>
      </c>
      <c r="K19" s="91">
        <f t="shared" si="2"/>
        <v>2676.6</v>
      </c>
      <c r="L19" s="208">
        <f t="shared" si="3"/>
        <v>2676.6</v>
      </c>
      <c r="M19" s="194">
        <v>0</v>
      </c>
      <c r="N19" s="67" t="s">
        <v>174</v>
      </c>
      <c r="O19" s="5"/>
    </row>
    <row r="20" spans="1:15">
      <c r="A20" s="6">
        <v>19</v>
      </c>
      <c r="B20" s="107" t="s">
        <v>164</v>
      </c>
      <c r="C20" s="6"/>
      <c r="D20" s="6"/>
      <c r="E20" s="90">
        <v>50</v>
      </c>
      <c r="F20" s="6">
        <v>89.22</v>
      </c>
      <c r="G20" s="91">
        <f t="shared" si="0"/>
        <v>4461</v>
      </c>
      <c r="H20" s="90"/>
      <c r="I20" s="6"/>
      <c r="J20" s="91">
        <f t="shared" si="1"/>
        <v>0</v>
      </c>
      <c r="K20" s="91">
        <f t="shared" si="2"/>
        <v>4461</v>
      </c>
      <c r="L20" s="208">
        <f t="shared" si="3"/>
        <v>4461</v>
      </c>
      <c r="M20" s="194">
        <v>0</v>
      </c>
      <c r="N20" s="67" t="s">
        <v>174</v>
      </c>
      <c r="O20" s="5"/>
    </row>
    <row r="21" spans="1:15">
      <c r="A21" s="6">
        <v>20</v>
      </c>
      <c r="B21" s="107" t="s">
        <v>165</v>
      </c>
      <c r="C21" s="6"/>
      <c r="D21" s="6"/>
      <c r="E21" s="90">
        <v>30</v>
      </c>
      <c r="F21" s="6">
        <v>89.22</v>
      </c>
      <c r="G21" s="91">
        <f t="shared" si="0"/>
        <v>2676.6</v>
      </c>
      <c r="H21" s="90"/>
      <c r="I21" s="6"/>
      <c r="J21" s="91">
        <f t="shared" si="1"/>
        <v>0</v>
      </c>
      <c r="K21" s="91">
        <f t="shared" si="2"/>
        <v>2676.6</v>
      </c>
      <c r="L21" s="208">
        <f t="shared" si="3"/>
        <v>2676.6</v>
      </c>
      <c r="M21" s="194">
        <v>0</v>
      </c>
      <c r="N21" s="67"/>
      <c r="O21" s="5"/>
    </row>
    <row r="22" spans="1:15">
      <c r="A22" s="6">
        <v>21</v>
      </c>
      <c r="B22" s="107" t="s">
        <v>178</v>
      </c>
      <c r="C22" s="6"/>
      <c r="D22" s="6"/>
      <c r="E22" s="90">
        <v>60</v>
      </c>
      <c r="F22" s="6">
        <v>89.22</v>
      </c>
      <c r="G22" s="91">
        <f t="shared" si="0"/>
        <v>5353.2</v>
      </c>
      <c r="H22" s="90"/>
      <c r="I22" s="6"/>
      <c r="J22" s="91">
        <f t="shared" si="1"/>
        <v>0</v>
      </c>
      <c r="K22" s="91">
        <f t="shared" si="2"/>
        <v>5353.2</v>
      </c>
      <c r="L22" s="208">
        <f t="shared" si="3"/>
        <v>5353.2</v>
      </c>
      <c r="M22" s="194">
        <v>0</v>
      </c>
      <c r="N22" s="67" t="s">
        <v>174</v>
      </c>
      <c r="O22" s="5"/>
    </row>
    <row r="23" spans="1:15">
      <c r="A23" s="6">
        <v>22</v>
      </c>
      <c r="B23" s="107" t="s">
        <v>167</v>
      </c>
      <c r="C23" s="6"/>
      <c r="D23" s="6"/>
      <c r="E23" s="90">
        <v>60</v>
      </c>
      <c r="F23" s="6">
        <v>89.22</v>
      </c>
      <c r="G23" s="91">
        <f t="shared" si="0"/>
        <v>5353.2</v>
      </c>
      <c r="H23" s="90"/>
      <c r="I23" s="6"/>
      <c r="J23" s="91">
        <f t="shared" si="1"/>
        <v>0</v>
      </c>
      <c r="K23" s="91">
        <f t="shared" si="2"/>
        <v>5353.2</v>
      </c>
      <c r="L23" s="208">
        <f t="shared" si="3"/>
        <v>5353.2</v>
      </c>
      <c r="M23" s="194">
        <v>0</v>
      </c>
      <c r="N23" s="67" t="s">
        <v>174</v>
      </c>
      <c r="O23" s="5"/>
    </row>
    <row r="24" spans="1:15">
      <c r="A24" s="6">
        <v>23</v>
      </c>
      <c r="B24" s="107" t="s">
        <v>168</v>
      </c>
      <c r="C24" s="6"/>
      <c r="D24" s="6"/>
      <c r="E24" s="90">
        <v>60</v>
      </c>
      <c r="F24" s="6">
        <v>89.22</v>
      </c>
      <c r="G24" s="91">
        <f t="shared" si="0"/>
        <v>5353.2</v>
      </c>
      <c r="H24" s="90">
        <v>4.8499999999999996</v>
      </c>
      <c r="I24" s="6">
        <v>103.15</v>
      </c>
      <c r="J24" s="91">
        <f t="shared" si="1"/>
        <v>500.27749999999997</v>
      </c>
      <c r="K24" s="91">
        <f t="shared" si="2"/>
        <v>5853.4775</v>
      </c>
      <c r="L24" s="208">
        <f t="shared" si="3"/>
        <v>5853.4775</v>
      </c>
      <c r="M24" s="194">
        <v>0</v>
      </c>
      <c r="N24" s="67"/>
      <c r="O24" s="5"/>
    </row>
    <row r="25" spans="1:15">
      <c r="A25" s="6">
        <v>24</v>
      </c>
      <c r="B25" s="107" t="s">
        <v>169</v>
      </c>
      <c r="C25" s="6"/>
      <c r="D25" s="6"/>
      <c r="E25" s="90">
        <v>70</v>
      </c>
      <c r="F25" s="6">
        <v>89.22</v>
      </c>
      <c r="G25" s="91">
        <f t="shared" si="0"/>
        <v>6245.4</v>
      </c>
      <c r="H25" s="90"/>
      <c r="I25" s="6"/>
      <c r="J25" s="91">
        <f t="shared" si="1"/>
        <v>0</v>
      </c>
      <c r="K25" s="91">
        <f t="shared" si="2"/>
        <v>6245.4</v>
      </c>
      <c r="L25" s="208">
        <f t="shared" si="3"/>
        <v>6245.4</v>
      </c>
      <c r="M25" s="194">
        <v>0</v>
      </c>
      <c r="N25" s="67"/>
      <c r="O25" s="5"/>
    </row>
    <row r="26" spans="1:15">
      <c r="A26" s="6">
        <v>25</v>
      </c>
      <c r="B26" s="107"/>
      <c r="C26" s="6"/>
      <c r="D26" s="6"/>
      <c r="E26" s="90">
        <v>0</v>
      </c>
      <c r="F26" s="6">
        <v>0</v>
      </c>
      <c r="G26" s="91">
        <f t="shared" si="0"/>
        <v>0</v>
      </c>
      <c r="H26" s="90"/>
      <c r="I26" s="6"/>
      <c r="J26" s="91">
        <f t="shared" si="1"/>
        <v>0</v>
      </c>
      <c r="K26" s="91">
        <f t="shared" si="2"/>
        <v>0</v>
      </c>
      <c r="L26" s="208">
        <f t="shared" si="3"/>
        <v>0</v>
      </c>
      <c r="M26" s="194">
        <v>0</v>
      </c>
      <c r="N26" s="67"/>
      <c r="O26" s="5"/>
    </row>
    <row r="27" spans="1:15">
      <c r="A27" s="6">
        <v>26</v>
      </c>
      <c r="B27" s="107"/>
      <c r="C27" s="6"/>
      <c r="D27" s="6"/>
      <c r="E27" s="90">
        <v>0</v>
      </c>
      <c r="F27" s="6">
        <v>0</v>
      </c>
      <c r="G27" s="91">
        <f t="shared" si="0"/>
        <v>0</v>
      </c>
      <c r="H27" s="90"/>
      <c r="I27" s="6"/>
      <c r="J27" s="91">
        <f t="shared" si="1"/>
        <v>0</v>
      </c>
      <c r="K27" s="91">
        <f t="shared" si="2"/>
        <v>0</v>
      </c>
      <c r="L27" s="208">
        <f t="shared" si="3"/>
        <v>0</v>
      </c>
      <c r="M27" s="194">
        <v>0</v>
      </c>
      <c r="N27" s="6"/>
      <c r="O27" s="5"/>
    </row>
    <row r="28" spans="1:15">
      <c r="A28" s="6">
        <v>27</v>
      </c>
      <c r="B28" s="107"/>
      <c r="C28" s="6"/>
      <c r="D28" s="6"/>
      <c r="E28" s="90">
        <v>0</v>
      </c>
      <c r="F28" s="6">
        <v>0</v>
      </c>
      <c r="G28" s="91">
        <f t="shared" si="0"/>
        <v>0</v>
      </c>
      <c r="H28" s="90"/>
      <c r="I28" s="6"/>
      <c r="J28" s="91">
        <f t="shared" si="1"/>
        <v>0</v>
      </c>
      <c r="K28" s="91">
        <f t="shared" si="2"/>
        <v>0</v>
      </c>
      <c r="L28" s="208">
        <f t="shared" si="3"/>
        <v>0</v>
      </c>
      <c r="M28" s="194">
        <v>0</v>
      </c>
      <c r="N28" s="6"/>
      <c r="O28" s="5"/>
    </row>
    <row r="29" spans="1:15">
      <c r="A29" s="6">
        <v>28</v>
      </c>
      <c r="B29" s="107"/>
      <c r="C29" s="6"/>
      <c r="D29" s="6"/>
      <c r="E29" s="90">
        <v>0</v>
      </c>
      <c r="F29" s="6">
        <v>0</v>
      </c>
      <c r="G29" s="91">
        <f t="shared" si="0"/>
        <v>0</v>
      </c>
      <c r="H29" s="90"/>
      <c r="I29" s="6"/>
      <c r="J29" s="91">
        <f t="shared" si="1"/>
        <v>0</v>
      </c>
      <c r="K29" s="91">
        <f t="shared" si="2"/>
        <v>0</v>
      </c>
      <c r="L29" s="208">
        <f t="shared" si="3"/>
        <v>0</v>
      </c>
      <c r="M29" s="194">
        <v>0</v>
      </c>
      <c r="N29" s="6"/>
      <c r="O29" s="5"/>
    </row>
    <row r="30" spans="1:15">
      <c r="A30" s="6">
        <v>29</v>
      </c>
      <c r="B30" s="107"/>
      <c r="C30" s="6"/>
      <c r="D30" s="6"/>
      <c r="E30" s="90">
        <v>0</v>
      </c>
      <c r="F30" s="6">
        <v>0</v>
      </c>
      <c r="G30" s="91">
        <f t="shared" si="0"/>
        <v>0</v>
      </c>
      <c r="H30" s="90"/>
      <c r="I30" s="6"/>
      <c r="J30" s="91">
        <f t="shared" si="1"/>
        <v>0</v>
      </c>
      <c r="K30" s="91">
        <f t="shared" si="2"/>
        <v>0</v>
      </c>
      <c r="L30" s="208">
        <f t="shared" si="3"/>
        <v>0</v>
      </c>
      <c r="M30" s="194">
        <v>0</v>
      </c>
      <c r="N30" s="6"/>
      <c r="O30" s="5"/>
    </row>
    <row r="31" spans="1:15">
      <c r="A31" s="6">
        <v>30</v>
      </c>
      <c r="B31" s="107"/>
      <c r="C31" s="6"/>
      <c r="D31" s="6"/>
      <c r="E31" s="90">
        <v>0</v>
      </c>
      <c r="F31" s="6">
        <v>0</v>
      </c>
      <c r="G31" s="91">
        <f t="shared" si="0"/>
        <v>0</v>
      </c>
      <c r="H31" s="90"/>
      <c r="I31" s="6"/>
      <c r="J31" s="91">
        <f t="shared" si="1"/>
        <v>0</v>
      </c>
      <c r="K31" s="91">
        <f t="shared" si="2"/>
        <v>0</v>
      </c>
      <c r="L31" s="208">
        <f t="shared" si="3"/>
        <v>0</v>
      </c>
      <c r="M31" s="194">
        <v>0</v>
      </c>
      <c r="N31" s="6"/>
      <c r="O31" s="5"/>
    </row>
    <row r="32" spans="1:15">
      <c r="A32" s="6">
        <v>31</v>
      </c>
      <c r="B32" s="107"/>
      <c r="C32" s="6"/>
      <c r="D32" s="6"/>
      <c r="E32" s="90">
        <v>0</v>
      </c>
      <c r="F32" s="6">
        <v>0</v>
      </c>
      <c r="G32" s="91">
        <f t="shared" si="0"/>
        <v>0</v>
      </c>
      <c r="H32" s="90"/>
      <c r="I32" s="6"/>
      <c r="J32" s="91">
        <f t="shared" si="1"/>
        <v>0</v>
      </c>
      <c r="K32" s="91">
        <f t="shared" si="2"/>
        <v>0</v>
      </c>
      <c r="L32" s="208">
        <f t="shared" si="3"/>
        <v>0</v>
      </c>
      <c r="M32" s="194">
        <v>0</v>
      </c>
      <c r="N32" s="6"/>
      <c r="O32" s="5"/>
    </row>
    <row r="33" spans="1:15">
      <c r="A33" s="6">
        <v>32</v>
      </c>
      <c r="B33" s="107"/>
      <c r="C33" s="6"/>
      <c r="D33" s="6"/>
      <c r="E33" s="90">
        <v>0</v>
      </c>
      <c r="F33" s="6">
        <v>0</v>
      </c>
      <c r="G33" s="91">
        <f t="shared" si="0"/>
        <v>0</v>
      </c>
      <c r="H33" s="90"/>
      <c r="I33" s="6"/>
      <c r="J33" s="91">
        <f t="shared" si="1"/>
        <v>0</v>
      </c>
      <c r="K33" s="91">
        <f t="shared" si="2"/>
        <v>0</v>
      </c>
      <c r="L33" s="208">
        <f t="shared" si="3"/>
        <v>0</v>
      </c>
      <c r="M33" s="194">
        <v>0</v>
      </c>
      <c r="N33" s="6"/>
      <c r="O33" s="5"/>
    </row>
    <row r="34" spans="1:15">
      <c r="A34" s="6">
        <v>33</v>
      </c>
      <c r="B34" s="107"/>
      <c r="C34" s="6"/>
      <c r="D34" s="6"/>
      <c r="E34" s="90">
        <v>0</v>
      </c>
      <c r="F34" s="6">
        <v>0</v>
      </c>
      <c r="G34" s="91">
        <f t="shared" si="0"/>
        <v>0</v>
      </c>
      <c r="H34" s="90"/>
      <c r="I34" s="6"/>
      <c r="J34" s="91">
        <f t="shared" si="1"/>
        <v>0</v>
      </c>
      <c r="K34" s="91">
        <f t="shared" si="2"/>
        <v>0</v>
      </c>
      <c r="L34" s="208">
        <f t="shared" si="3"/>
        <v>0</v>
      </c>
      <c r="M34" s="194">
        <v>0</v>
      </c>
      <c r="N34" s="6"/>
      <c r="O34" s="5"/>
    </row>
    <row r="35" spans="1:15">
      <c r="A35" s="6">
        <v>34</v>
      </c>
      <c r="B35" s="107"/>
      <c r="C35" s="6"/>
      <c r="D35" s="6"/>
      <c r="E35" s="90">
        <v>0</v>
      </c>
      <c r="F35" s="6">
        <v>0</v>
      </c>
      <c r="G35" s="91">
        <f t="shared" si="0"/>
        <v>0</v>
      </c>
      <c r="H35" s="90"/>
      <c r="I35" s="6"/>
      <c r="J35" s="91">
        <f t="shared" si="1"/>
        <v>0</v>
      </c>
      <c r="K35" s="91">
        <f t="shared" si="2"/>
        <v>0</v>
      </c>
      <c r="L35" s="208">
        <f t="shared" si="3"/>
        <v>0</v>
      </c>
      <c r="M35" s="194">
        <v>0</v>
      </c>
      <c r="N35" s="6"/>
      <c r="O35" s="5"/>
    </row>
    <row r="36" spans="1:15">
      <c r="A36" s="6">
        <v>35</v>
      </c>
      <c r="B36" s="107"/>
      <c r="C36" s="6"/>
      <c r="D36" s="6"/>
      <c r="E36" s="90">
        <v>0</v>
      </c>
      <c r="F36" s="6">
        <v>0</v>
      </c>
      <c r="G36" s="91">
        <f t="shared" si="0"/>
        <v>0</v>
      </c>
      <c r="H36" s="90"/>
      <c r="I36" s="6"/>
      <c r="J36" s="91">
        <f t="shared" si="1"/>
        <v>0</v>
      </c>
      <c r="K36" s="91">
        <f t="shared" si="2"/>
        <v>0</v>
      </c>
      <c r="L36" s="208">
        <f t="shared" si="3"/>
        <v>0</v>
      </c>
      <c r="M36" s="194">
        <v>0</v>
      </c>
      <c r="N36" s="6"/>
      <c r="O36" s="5"/>
    </row>
    <row r="37" spans="1:15">
      <c r="A37" s="6">
        <v>36</v>
      </c>
      <c r="B37" s="107"/>
      <c r="C37" s="6"/>
      <c r="D37" s="6"/>
      <c r="E37" s="90">
        <v>0</v>
      </c>
      <c r="F37" s="6">
        <v>0</v>
      </c>
      <c r="G37" s="91">
        <f t="shared" si="0"/>
        <v>0</v>
      </c>
      <c r="H37" s="90"/>
      <c r="I37" s="6"/>
      <c r="J37" s="91">
        <f t="shared" si="1"/>
        <v>0</v>
      </c>
      <c r="K37" s="91">
        <f t="shared" si="2"/>
        <v>0</v>
      </c>
      <c r="L37" s="208">
        <f t="shared" si="3"/>
        <v>0</v>
      </c>
      <c r="M37" s="194">
        <v>0</v>
      </c>
      <c r="N37" s="6"/>
      <c r="O37" s="5"/>
    </row>
    <row r="38" spans="1:15">
      <c r="A38" s="6">
        <v>37</v>
      </c>
      <c r="B38" s="107"/>
      <c r="C38" s="6"/>
      <c r="D38" s="6"/>
      <c r="E38" s="90">
        <v>0</v>
      </c>
      <c r="F38" s="6">
        <v>0</v>
      </c>
      <c r="G38" s="91">
        <f t="shared" si="0"/>
        <v>0</v>
      </c>
      <c r="H38" s="90"/>
      <c r="I38" s="6"/>
      <c r="J38" s="91">
        <f t="shared" si="1"/>
        <v>0</v>
      </c>
      <c r="K38" s="91">
        <f t="shared" si="2"/>
        <v>0</v>
      </c>
      <c r="L38" s="208">
        <f t="shared" si="3"/>
        <v>0</v>
      </c>
      <c r="M38" s="194">
        <v>0</v>
      </c>
      <c r="N38" s="6"/>
      <c r="O38" s="5"/>
    </row>
    <row r="39" spans="1:15">
      <c r="A39" s="6">
        <v>38</v>
      </c>
      <c r="B39" s="107"/>
      <c r="C39" s="6"/>
      <c r="D39" s="6"/>
      <c r="E39" s="90">
        <v>0</v>
      </c>
      <c r="F39" s="6">
        <v>0</v>
      </c>
      <c r="G39" s="91">
        <f t="shared" si="0"/>
        <v>0</v>
      </c>
      <c r="H39" s="90"/>
      <c r="I39" s="6"/>
      <c r="J39" s="91">
        <f t="shared" si="1"/>
        <v>0</v>
      </c>
      <c r="K39" s="91">
        <f t="shared" si="2"/>
        <v>0</v>
      </c>
      <c r="L39" s="208">
        <f t="shared" si="3"/>
        <v>0</v>
      </c>
      <c r="M39" s="194">
        <v>0</v>
      </c>
      <c r="N39" s="6"/>
      <c r="O39" s="5"/>
    </row>
    <row r="40" spans="1:15">
      <c r="A40" s="222">
        <v>39</v>
      </c>
      <c r="B40" s="223"/>
      <c r="C40" s="222"/>
      <c r="D40" s="6"/>
      <c r="E40" s="90">
        <v>0</v>
      </c>
      <c r="F40" s="6">
        <v>0</v>
      </c>
      <c r="G40" s="91">
        <f t="shared" si="0"/>
        <v>0</v>
      </c>
      <c r="H40" s="90"/>
      <c r="I40" s="6"/>
      <c r="J40" s="91">
        <f t="shared" si="1"/>
        <v>0</v>
      </c>
      <c r="K40" s="225">
        <f t="shared" si="2"/>
        <v>0</v>
      </c>
      <c r="L40" s="208">
        <f t="shared" si="3"/>
        <v>0</v>
      </c>
      <c r="M40" s="227">
        <v>0</v>
      </c>
      <c r="N40" s="222"/>
      <c r="O40" s="5"/>
    </row>
    <row r="41" spans="1:15">
      <c r="A41" s="6">
        <v>40</v>
      </c>
      <c r="B41" s="6"/>
      <c r="C41" s="6"/>
      <c r="D41" s="6"/>
      <c r="E41" s="90">
        <v>0</v>
      </c>
      <c r="F41" s="6">
        <v>0</v>
      </c>
      <c r="G41" s="91">
        <f t="shared" si="0"/>
        <v>0</v>
      </c>
      <c r="H41" s="90"/>
      <c r="I41" s="6"/>
      <c r="J41" s="91">
        <f t="shared" si="1"/>
        <v>0</v>
      </c>
      <c r="K41" s="91">
        <f t="shared" si="2"/>
        <v>0</v>
      </c>
      <c r="L41" s="208">
        <f t="shared" si="3"/>
        <v>0</v>
      </c>
      <c r="M41" s="194">
        <v>0</v>
      </c>
      <c r="N41" s="6"/>
      <c r="O41" s="5"/>
    </row>
    <row r="42" spans="1:15">
      <c r="A42" s="222">
        <v>41</v>
      </c>
      <c r="B42" s="222"/>
      <c r="C42" s="222"/>
      <c r="D42" s="6"/>
      <c r="E42" s="90">
        <v>0</v>
      </c>
      <c r="F42" s="6">
        <v>0</v>
      </c>
      <c r="G42" s="91">
        <f t="shared" si="0"/>
        <v>0</v>
      </c>
      <c r="H42" s="90"/>
      <c r="I42" s="6"/>
      <c r="J42" s="91">
        <f t="shared" si="1"/>
        <v>0</v>
      </c>
      <c r="K42" s="225">
        <f t="shared" si="2"/>
        <v>0</v>
      </c>
      <c r="L42" s="208">
        <f t="shared" si="3"/>
        <v>0</v>
      </c>
      <c r="M42" s="227">
        <v>0</v>
      </c>
      <c r="N42" s="222"/>
      <c r="O42" s="5"/>
    </row>
    <row r="43" spans="1:15">
      <c r="A43" s="222">
        <v>42</v>
      </c>
      <c r="B43" s="222"/>
      <c r="C43" s="222"/>
      <c r="D43" s="6"/>
      <c r="E43" s="90">
        <v>0</v>
      </c>
      <c r="F43" s="6">
        <v>0</v>
      </c>
      <c r="G43" s="91">
        <f t="shared" si="0"/>
        <v>0</v>
      </c>
      <c r="H43" s="90"/>
      <c r="I43" s="6"/>
      <c r="J43" s="91">
        <f t="shared" si="1"/>
        <v>0</v>
      </c>
      <c r="K43" s="225">
        <f t="shared" si="2"/>
        <v>0</v>
      </c>
      <c r="L43" s="226">
        <f t="shared" si="3"/>
        <v>0</v>
      </c>
      <c r="M43" s="227">
        <v>0</v>
      </c>
      <c r="N43" s="222"/>
      <c r="O43" s="5"/>
    </row>
    <row r="44" spans="1:15">
      <c r="A44" s="87"/>
      <c r="B44" s="87"/>
      <c r="C44" s="87"/>
      <c r="D44" s="87"/>
      <c r="E44" s="88">
        <f>SUM(E4:E43)</f>
        <v>947.72</v>
      </c>
      <c r="F44" s="88"/>
      <c r="G44" s="88">
        <f>SUM(G4:G43)</f>
        <v>84565.507299999983</v>
      </c>
      <c r="H44" s="88">
        <f>SUM(H4:H43)</f>
        <v>14.549999999999999</v>
      </c>
      <c r="I44" s="88"/>
      <c r="J44" s="88">
        <f>SUM(J4:J43)</f>
        <v>1500.9295</v>
      </c>
      <c r="K44" s="88">
        <f>SUM(K4:K43)</f>
        <v>86066.436799999981</v>
      </c>
      <c r="L44" s="88">
        <f>SUM(L4:L43)</f>
        <v>86066.436799999981</v>
      </c>
      <c r="M44" s="88"/>
      <c r="N44" s="88"/>
      <c r="O44" s="84"/>
    </row>
    <row r="45" spans="1:15">
      <c r="A45" s="5"/>
      <c r="B45" s="5"/>
      <c r="C45" s="5"/>
      <c r="D45" s="5"/>
      <c r="E45" s="5"/>
      <c r="F45" s="5"/>
      <c r="G45" s="134"/>
      <c r="H45" s="5"/>
      <c r="I45" s="5"/>
      <c r="J45" s="134"/>
      <c r="K45" s="5"/>
      <c r="L45" s="134"/>
      <c r="M45" s="134"/>
      <c r="N45" s="5"/>
      <c r="O45" s="5"/>
    </row>
    <row r="46" spans="1:15">
      <c r="A46" s="5"/>
      <c r="B46" s="5"/>
      <c r="C46" s="5"/>
      <c r="D46" s="5"/>
      <c r="E46" s="5"/>
      <c r="F46" s="5"/>
      <c r="G46" s="134"/>
      <c r="H46" s="5"/>
      <c r="I46" s="5"/>
      <c r="J46" s="134"/>
      <c r="K46" s="5"/>
      <c r="L46" s="134"/>
      <c r="M46" s="134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O46"/>
  <sheetViews>
    <sheetView workbookViewId="0">
      <selection activeCell="T25" sqref="T25"/>
    </sheetView>
  </sheetViews>
  <sheetFormatPr defaultRowHeight="15"/>
  <cols>
    <col min="2" max="2" width="10.85546875" bestFit="1" customWidth="1"/>
    <col min="7" max="7" width="10.85546875" bestFit="1" customWidth="1"/>
    <col min="11" max="11" width="13.5703125" bestFit="1" customWidth="1"/>
    <col min="12" max="12" width="13.5703125" customWidth="1"/>
    <col min="13" max="13" width="13.140625" customWidth="1"/>
    <col min="14" max="14" width="14.7109375" bestFit="1" customWidth="1"/>
  </cols>
  <sheetData>
    <row r="1" spans="1:15" ht="15.75">
      <c r="A1" s="429" t="s">
        <v>134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5"/>
    </row>
    <row r="2" spans="1:15" ht="30.75">
      <c r="A2" s="89" t="s">
        <v>1</v>
      </c>
      <c r="B2" s="113" t="s">
        <v>2</v>
      </c>
      <c r="C2" s="113" t="s">
        <v>3</v>
      </c>
      <c r="D2" s="113" t="s">
        <v>139</v>
      </c>
      <c r="E2" s="113" t="s">
        <v>5</v>
      </c>
      <c r="F2" s="113" t="s">
        <v>6</v>
      </c>
      <c r="G2" s="121" t="s">
        <v>7</v>
      </c>
      <c r="H2" s="113" t="s">
        <v>8</v>
      </c>
      <c r="I2" s="113" t="s">
        <v>6</v>
      </c>
      <c r="J2" s="121" t="s">
        <v>7</v>
      </c>
      <c r="K2" s="89" t="s">
        <v>9</v>
      </c>
      <c r="L2" s="122" t="s">
        <v>10</v>
      </c>
      <c r="M2" s="115" t="s">
        <v>11</v>
      </c>
      <c r="N2" s="113" t="s">
        <v>12</v>
      </c>
      <c r="O2" s="5"/>
    </row>
    <row r="3" spans="1:15">
      <c r="A3" s="441" t="s">
        <v>13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9"/>
      <c r="M3" s="450" t="s">
        <v>173</v>
      </c>
      <c r="N3" s="451"/>
      <c r="O3" s="5"/>
    </row>
    <row r="4" spans="1:15">
      <c r="A4" s="6">
        <v>1</v>
      </c>
      <c r="B4" s="107" t="s">
        <v>145</v>
      </c>
      <c r="C4" s="6"/>
      <c r="D4" s="6"/>
      <c r="E4" s="90">
        <v>0</v>
      </c>
      <c r="F4" s="6">
        <v>0</v>
      </c>
      <c r="G4" s="91">
        <f>E4*F4</f>
        <v>0</v>
      </c>
      <c r="H4" s="90">
        <v>4.8499999999999996</v>
      </c>
      <c r="I4" s="6">
        <v>103.39</v>
      </c>
      <c r="J4" s="91">
        <f>H4*I4</f>
        <v>501.44149999999996</v>
      </c>
      <c r="K4" s="91">
        <f>G4+J4</f>
        <v>501.44149999999996</v>
      </c>
      <c r="L4" s="208">
        <f>+K4</f>
        <v>501.44149999999996</v>
      </c>
      <c r="M4" s="194">
        <v>0</v>
      </c>
      <c r="N4" s="67" t="s">
        <v>174</v>
      </c>
      <c r="O4" s="5"/>
    </row>
    <row r="5" spans="1:15">
      <c r="A5" s="6">
        <v>3</v>
      </c>
      <c r="B5" s="107" t="s">
        <v>147</v>
      </c>
      <c r="C5" s="6"/>
      <c r="D5" s="6"/>
      <c r="E5" s="90">
        <v>0</v>
      </c>
      <c r="F5" s="6">
        <v>0</v>
      </c>
      <c r="G5" s="91">
        <f t="shared" ref="G5:G43" si="0">E5*F5</f>
        <v>0</v>
      </c>
      <c r="H5" s="90">
        <v>4.8499999999999996</v>
      </c>
      <c r="I5" s="6">
        <v>103.39</v>
      </c>
      <c r="J5" s="91">
        <f t="shared" ref="J5:J43" si="1">H5*I5</f>
        <v>501.44149999999996</v>
      </c>
      <c r="K5" s="91">
        <f t="shared" ref="K5:K43" si="2">G5+J5</f>
        <v>501.44149999999996</v>
      </c>
      <c r="L5" s="208">
        <f t="shared" ref="L5:L43" si="3">+K5</f>
        <v>501.44149999999996</v>
      </c>
      <c r="M5" s="194">
        <v>0</v>
      </c>
      <c r="N5" s="67" t="s">
        <v>174</v>
      </c>
      <c r="O5" s="5"/>
    </row>
    <row r="6" spans="1:15">
      <c r="A6" s="6">
        <v>4</v>
      </c>
      <c r="B6" s="107" t="s">
        <v>149</v>
      </c>
      <c r="C6" s="6"/>
      <c r="D6" s="6"/>
      <c r="E6" s="90">
        <v>0</v>
      </c>
      <c r="F6" s="6">
        <v>0</v>
      </c>
      <c r="G6" s="91">
        <f t="shared" si="0"/>
        <v>0</v>
      </c>
      <c r="H6" s="90">
        <v>4.8499999999999996</v>
      </c>
      <c r="I6" s="6">
        <v>103.39</v>
      </c>
      <c r="J6" s="91">
        <f t="shared" si="1"/>
        <v>501.44149999999996</v>
      </c>
      <c r="K6" s="91">
        <f t="shared" si="2"/>
        <v>501.44149999999996</v>
      </c>
      <c r="L6" s="208">
        <f t="shared" si="3"/>
        <v>501.44149999999996</v>
      </c>
      <c r="M6" s="194">
        <v>0</v>
      </c>
      <c r="N6" s="67" t="s">
        <v>174</v>
      </c>
      <c r="O6" s="5"/>
    </row>
    <row r="7" spans="1:15">
      <c r="A7" s="6">
        <v>5</v>
      </c>
      <c r="B7" s="107" t="s">
        <v>152</v>
      </c>
      <c r="C7" s="6"/>
      <c r="D7" s="6"/>
      <c r="E7" s="90">
        <v>78.260000000000005</v>
      </c>
      <c r="F7" s="6">
        <v>89.44</v>
      </c>
      <c r="G7" s="91">
        <f t="shared" si="0"/>
        <v>6999.5744000000004</v>
      </c>
      <c r="H7" s="90">
        <v>4.83</v>
      </c>
      <c r="I7" s="6">
        <v>103.39</v>
      </c>
      <c r="J7" s="91">
        <f t="shared" si="1"/>
        <v>499.37369999999999</v>
      </c>
      <c r="K7" s="91">
        <f t="shared" si="2"/>
        <v>7498.9481000000005</v>
      </c>
      <c r="L7" s="208">
        <f t="shared" si="3"/>
        <v>7498.9481000000005</v>
      </c>
      <c r="M7" s="194">
        <v>0</v>
      </c>
      <c r="N7" s="67" t="s">
        <v>174</v>
      </c>
      <c r="O7" s="5"/>
    </row>
    <row r="8" spans="1:15">
      <c r="A8" s="6">
        <v>7</v>
      </c>
      <c r="B8" s="107" t="s">
        <v>152</v>
      </c>
      <c r="C8" s="6"/>
      <c r="D8" s="6"/>
      <c r="E8" s="90">
        <v>0</v>
      </c>
      <c r="F8" s="6">
        <v>0</v>
      </c>
      <c r="G8" s="91">
        <f t="shared" si="0"/>
        <v>0</v>
      </c>
      <c r="H8" s="90">
        <v>0</v>
      </c>
      <c r="I8" s="6">
        <v>0</v>
      </c>
      <c r="J8" s="91">
        <f t="shared" si="1"/>
        <v>0</v>
      </c>
      <c r="K8" s="91">
        <f t="shared" si="2"/>
        <v>0</v>
      </c>
      <c r="L8" s="208">
        <f t="shared" si="3"/>
        <v>0</v>
      </c>
      <c r="M8" s="194">
        <v>0</v>
      </c>
      <c r="N8" s="67" t="s">
        <v>174</v>
      </c>
      <c r="O8" s="5"/>
    </row>
    <row r="9" spans="1:15">
      <c r="A9" s="6">
        <v>8</v>
      </c>
      <c r="B9" s="107" t="s">
        <v>154</v>
      </c>
      <c r="C9" s="6"/>
      <c r="D9" s="6"/>
      <c r="E9" s="90">
        <v>78.260000000000005</v>
      </c>
      <c r="F9" s="6">
        <v>89.44</v>
      </c>
      <c r="G9" s="91">
        <f t="shared" si="0"/>
        <v>6999.5744000000004</v>
      </c>
      <c r="H9" s="90">
        <v>0</v>
      </c>
      <c r="I9" s="6">
        <v>0</v>
      </c>
      <c r="J9" s="91">
        <f t="shared" si="1"/>
        <v>0</v>
      </c>
      <c r="K9" s="91">
        <f t="shared" si="2"/>
        <v>6999.5744000000004</v>
      </c>
      <c r="L9" s="208">
        <f t="shared" si="3"/>
        <v>6999.5744000000004</v>
      </c>
      <c r="M9" s="194">
        <v>0</v>
      </c>
      <c r="N9" s="67" t="s">
        <v>174</v>
      </c>
      <c r="O9" s="5"/>
    </row>
    <row r="10" spans="1:15">
      <c r="A10" s="6">
        <v>9</v>
      </c>
      <c r="B10" s="107" t="s">
        <v>155</v>
      </c>
      <c r="C10" s="6"/>
      <c r="D10" s="6"/>
      <c r="E10" s="90">
        <v>100.66</v>
      </c>
      <c r="F10" s="6">
        <v>89.44</v>
      </c>
      <c r="G10" s="91">
        <f t="shared" si="0"/>
        <v>9003.0303999999996</v>
      </c>
      <c r="H10" s="90">
        <v>4.83</v>
      </c>
      <c r="I10" s="6">
        <v>103.39</v>
      </c>
      <c r="J10" s="91">
        <f t="shared" si="1"/>
        <v>499.37369999999999</v>
      </c>
      <c r="K10" s="91">
        <f t="shared" si="2"/>
        <v>9502.4040999999997</v>
      </c>
      <c r="L10" s="208">
        <f t="shared" si="3"/>
        <v>9502.4040999999997</v>
      </c>
      <c r="M10" s="194">
        <v>0</v>
      </c>
      <c r="N10" s="67" t="s">
        <v>174</v>
      </c>
      <c r="O10" s="5"/>
    </row>
    <row r="11" spans="1:15">
      <c r="A11" s="6">
        <v>10</v>
      </c>
      <c r="B11" s="107" t="s">
        <v>156</v>
      </c>
      <c r="C11" s="6"/>
      <c r="D11" s="6"/>
      <c r="E11" s="90">
        <v>0</v>
      </c>
      <c r="F11" s="6">
        <v>0</v>
      </c>
      <c r="G11" s="91">
        <f t="shared" si="0"/>
        <v>0</v>
      </c>
      <c r="H11" s="90">
        <v>0</v>
      </c>
      <c r="I11" s="6">
        <v>103.39</v>
      </c>
      <c r="J11" s="91">
        <f t="shared" si="1"/>
        <v>0</v>
      </c>
      <c r="K11" s="91">
        <f t="shared" si="2"/>
        <v>0</v>
      </c>
      <c r="L11" s="208">
        <f t="shared" si="3"/>
        <v>0</v>
      </c>
      <c r="M11" s="194">
        <v>0</v>
      </c>
      <c r="N11" s="67" t="s">
        <v>174</v>
      </c>
      <c r="O11" s="5"/>
    </row>
    <row r="12" spans="1:15">
      <c r="A12" s="6">
        <v>11</v>
      </c>
      <c r="B12" s="107" t="s">
        <v>157</v>
      </c>
      <c r="C12" s="6"/>
      <c r="D12" s="6"/>
      <c r="E12" s="90">
        <v>100.62</v>
      </c>
      <c r="F12" s="6">
        <v>89.44</v>
      </c>
      <c r="G12" s="91">
        <f t="shared" si="0"/>
        <v>8999.4528000000009</v>
      </c>
      <c r="H12" s="90"/>
      <c r="I12" s="6">
        <v>103.39</v>
      </c>
      <c r="J12" s="91">
        <f t="shared" si="1"/>
        <v>0</v>
      </c>
      <c r="K12" s="91">
        <f t="shared" si="2"/>
        <v>8999.4528000000009</v>
      </c>
      <c r="L12" s="208">
        <f t="shared" si="3"/>
        <v>8999.4528000000009</v>
      </c>
      <c r="M12" s="194">
        <v>0</v>
      </c>
      <c r="N12" s="67" t="s">
        <v>174</v>
      </c>
      <c r="O12" s="5"/>
    </row>
    <row r="13" spans="1:15">
      <c r="A13" s="6">
        <v>12</v>
      </c>
      <c r="B13" s="107" t="s">
        <v>158</v>
      </c>
      <c r="C13" s="6"/>
      <c r="D13" s="6"/>
      <c r="E13" s="90">
        <v>78.260000000000005</v>
      </c>
      <c r="F13" s="6">
        <v>89.44</v>
      </c>
      <c r="G13" s="91">
        <f t="shared" si="0"/>
        <v>6999.5744000000004</v>
      </c>
      <c r="H13" s="90"/>
      <c r="I13" s="6">
        <v>103.39</v>
      </c>
      <c r="J13" s="91">
        <f t="shared" si="1"/>
        <v>0</v>
      </c>
      <c r="K13" s="91">
        <f t="shared" si="2"/>
        <v>6999.5744000000004</v>
      </c>
      <c r="L13" s="208">
        <f t="shared" si="3"/>
        <v>6999.5744000000004</v>
      </c>
      <c r="M13" s="194">
        <v>0</v>
      </c>
      <c r="N13" s="67" t="s">
        <v>174</v>
      </c>
      <c r="O13" s="5"/>
    </row>
    <row r="14" spans="1:15">
      <c r="A14" s="6">
        <v>13</v>
      </c>
      <c r="B14" s="107" t="s">
        <v>159</v>
      </c>
      <c r="C14" s="6"/>
      <c r="D14" s="6"/>
      <c r="E14" s="90">
        <v>0</v>
      </c>
      <c r="F14" s="6">
        <v>89.44</v>
      </c>
      <c r="G14" s="91">
        <f t="shared" si="0"/>
        <v>0</v>
      </c>
      <c r="H14" s="90">
        <v>9.66</v>
      </c>
      <c r="I14" s="6">
        <v>103.39</v>
      </c>
      <c r="J14" s="91">
        <f t="shared" si="1"/>
        <v>998.74739999999997</v>
      </c>
      <c r="K14" s="91">
        <f t="shared" si="2"/>
        <v>998.74739999999997</v>
      </c>
      <c r="L14" s="208">
        <f t="shared" si="3"/>
        <v>998.74739999999997</v>
      </c>
      <c r="M14" s="194">
        <v>0</v>
      </c>
      <c r="N14" s="67" t="s">
        <v>174</v>
      </c>
      <c r="O14" s="5"/>
    </row>
    <row r="15" spans="1:15">
      <c r="A15" s="6">
        <v>14</v>
      </c>
      <c r="B15" s="107" t="s">
        <v>160</v>
      </c>
      <c r="C15" s="6"/>
      <c r="D15" s="6"/>
      <c r="E15" s="90">
        <v>78.260000000000005</v>
      </c>
      <c r="F15" s="6">
        <v>89.44</v>
      </c>
      <c r="G15" s="91">
        <f t="shared" si="0"/>
        <v>6999.5744000000004</v>
      </c>
      <c r="H15" s="90"/>
      <c r="I15" s="6"/>
      <c r="J15" s="91">
        <f t="shared" si="1"/>
        <v>0</v>
      </c>
      <c r="K15" s="91">
        <f t="shared" si="2"/>
        <v>6999.5744000000004</v>
      </c>
      <c r="L15" s="208">
        <f t="shared" si="3"/>
        <v>6999.5744000000004</v>
      </c>
      <c r="M15" s="194">
        <v>0</v>
      </c>
      <c r="N15" s="67" t="s">
        <v>174</v>
      </c>
      <c r="O15" s="5"/>
    </row>
    <row r="16" spans="1:15">
      <c r="A16" s="6">
        <v>15</v>
      </c>
      <c r="B16" s="107" t="s">
        <v>162</v>
      </c>
      <c r="C16" s="6"/>
      <c r="D16" s="6"/>
      <c r="E16" s="90">
        <v>44.72</v>
      </c>
      <c r="F16" s="6">
        <v>89.44</v>
      </c>
      <c r="G16" s="91">
        <f t="shared" si="0"/>
        <v>3999.7567999999997</v>
      </c>
      <c r="H16" s="90"/>
      <c r="I16" s="6"/>
      <c r="J16" s="91">
        <f t="shared" si="1"/>
        <v>0</v>
      </c>
      <c r="K16" s="91">
        <f t="shared" si="2"/>
        <v>3999.7567999999997</v>
      </c>
      <c r="L16" s="208">
        <f t="shared" si="3"/>
        <v>3999.7567999999997</v>
      </c>
      <c r="M16" s="194">
        <v>0</v>
      </c>
      <c r="N16" s="67" t="s">
        <v>174</v>
      </c>
      <c r="O16" s="5"/>
    </row>
    <row r="17" spans="1:15">
      <c r="A17" s="6">
        <v>16</v>
      </c>
      <c r="B17" s="107" t="s">
        <v>163</v>
      </c>
      <c r="C17" s="6"/>
      <c r="D17" s="6"/>
      <c r="E17" s="90">
        <v>111.8</v>
      </c>
      <c r="F17" s="6">
        <v>89.44</v>
      </c>
      <c r="G17" s="91">
        <f t="shared" si="0"/>
        <v>9999.3919999999998</v>
      </c>
      <c r="H17" s="90"/>
      <c r="I17" s="6"/>
      <c r="J17" s="91">
        <f t="shared" si="1"/>
        <v>0</v>
      </c>
      <c r="K17" s="91">
        <f t="shared" si="2"/>
        <v>9999.3919999999998</v>
      </c>
      <c r="L17" s="208">
        <f t="shared" si="3"/>
        <v>9999.3919999999998</v>
      </c>
      <c r="M17" s="194">
        <v>0</v>
      </c>
      <c r="N17" s="67" t="s">
        <v>174</v>
      </c>
      <c r="O17" s="5"/>
    </row>
    <row r="18" spans="1:15">
      <c r="A18" s="6">
        <v>17</v>
      </c>
      <c r="B18" s="107" t="s">
        <v>164</v>
      </c>
      <c r="C18" s="6"/>
      <c r="D18" s="6"/>
      <c r="E18" s="90">
        <v>44.72</v>
      </c>
      <c r="F18" s="6">
        <v>89.44</v>
      </c>
      <c r="G18" s="91">
        <f t="shared" si="0"/>
        <v>3999.7567999999997</v>
      </c>
      <c r="H18" s="90"/>
      <c r="I18" s="6"/>
      <c r="J18" s="91">
        <f t="shared" si="1"/>
        <v>0</v>
      </c>
      <c r="K18" s="91">
        <f t="shared" si="2"/>
        <v>3999.7567999999997</v>
      </c>
      <c r="L18" s="208">
        <f t="shared" si="3"/>
        <v>3999.7567999999997</v>
      </c>
      <c r="M18" s="194">
        <v>0</v>
      </c>
      <c r="N18" s="67" t="s">
        <v>174</v>
      </c>
      <c r="O18" s="5"/>
    </row>
    <row r="19" spans="1:15">
      <c r="A19" s="6">
        <v>18</v>
      </c>
      <c r="B19" s="107" t="s">
        <v>165</v>
      </c>
      <c r="C19" s="6"/>
      <c r="D19" s="6"/>
      <c r="E19" s="90">
        <v>0</v>
      </c>
      <c r="F19" s="6">
        <v>0</v>
      </c>
      <c r="G19" s="91">
        <f t="shared" si="0"/>
        <v>0</v>
      </c>
      <c r="H19" s="90">
        <v>4.83</v>
      </c>
      <c r="I19" s="6">
        <v>103.39</v>
      </c>
      <c r="J19" s="91">
        <f t="shared" si="1"/>
        <v>499.37369999999999</v>
      </c>
      <c r="K19" s="91">
        <f t="shared" si="2"/>
        <v>499.37369999999999</v>
      </c>
      <c r="L19" s="208">
        <f t="shared" si="3"/>
        <v>499.37369999999999</v>
      </c>
      <c r="M19" s="194">
        <v>0</v>
      </c>
      <c r="N19" s="67" t="s">
        <v>174</v>
      </c>
      <c r="O19" s="5"/>
    </row>
    <row r="20" spans="1:15">
      <c r="A20" s="6">
        <v>19</v>
      </c>
      <c r="B20" s="107" t="s">
        <v>166</v>
      </c>
      <c r="C20" s="6"/>
      <c r="D20" s="6"/>
      <c r="E20" s="90">
        <v>0</v>
      </c>
      <c r="F20" s="6">
        <v>0</v>
      </c>
      <c r="G20" s="91">
        <f t="shared" si="0"/>
        <v>0</v>
      </c>
      <c r="H20" s="90">
        <v>4.83</v>
      </c>
      <c r="I20" s="6">
        <v>103.39</v>
      </c>
      <c r="J20" s="91">
        <f t="shared" si="1"/>
        <v>499.37369999999999</v>
      </c>
      <c r="K20" s="91">
        <f t="shared" si="2"/>
        <v>499.37369999999999</v>
      </c>
      <c r="L20" s="208">
        <f t="shared" si="3"/>
        <v>499.37369999999999</v>
      </c>
      <c r="M20" s="194">
        <v>0</v>
      </c>
      <c r="N20" s="67" t="s">
        <v>174</v>
      </c>
      <c r="O20" s="5"/>
    </row>
    <row r="21" spans="1:15">
      <c r="A21" s="6">
        <v>20</v>
      </c>
      <c r="B21" s="107" t="s">
        <v>167</v>
      </c>
      <c r="C21" s="6"/>
      <c r="D21" s="6"/>
      <c r="E21" s="90">
        <v>55.9</v>
      </c>
      <c r="F21" s="6">
        <v>89.44</v>
      </c>
      <c r="G21" s="91">
        <f t="shared" si="0"/>
        <v>4999.6959999999999</v>
      </c>
      <c r="H21" s="90"/>
      <c r="I21" s="6"/>
      <c r="J21" s="91">
        <f t="shared" si="1"/>
        <v>0</v>
      </c>
      <c r="K21" s="91">
        <f t="shared" si="2"/>
        <v>4999.6959999999999</v>
      </c>
      <c r="L21" s="208">
        <f t="shared" si="3"/>
        <v>4999.6959999999999</v>
      </c>
      <c r="M21" s="194">
        <v>0</v>
      </c>
      <c r="N21" s="67" t="s">
        <v>174</v>
      </c>
      <c r="O21" s="5"/>
    </row>
    <row r="22" spans="1:15">
      <c r="A22" s="6">
        <v>21</v>
      </c>
      <c r="B22" s="107" t="s">
        <v>168</v>
      </c>
      <c r="C22" s="6"/>
      <c r="D22" s="6"/>
      <c r="E22" s="90">
        <v>33.54</v>
      </c>
      <c r="F22" s="6">
        <v>89.44</v>
      </c>
      <c r="G22" s="91">
        <f t="shared" si="0"/>
        <v>2999.8175999999999</v>
      </c>
      <c r="H22" s="90">
        <v>3.38</v>
      </c>
      <c r="I22" s="6">
        <v>103.39</v>
      </c>
      <c r="J22" s="91">
        <f t="shared" si="1"/>
        <v>349.45819999999998</v>
      </c>
      <c r="K22" s="91">
        <f t="shared" si="2"/>
        <v>3349.2757999999999</v>
      </c>
      <c r="L22" s="208">
        <f t="shared" si="3"/>
        <v>3349.2757999999999</v>
      </c>
      <c r="M22" s="194">
        <v>0</v>
      </c>
      <c r="N22" s="67" t="s">
        <v>174</v>
      </c>
      <c r="O22" s="5"/>
    </row>
    <row r="23" spans="1:15">
      <c r="A23" s="6">
        <v>22</v>
      </c>
      <c r="B23" s="107"/>
      <c r="C23" s="6"/>
      <c r="D23" s="6"/>
      <c r="E23" s="90">
        <v>0</v>
      </c>
      <c r="F23" s="6">
        <v>0</v>
      </c>
      <c r="G23" s="91">
        <f t="shared" si="0"/>
        <v>0</v>
      </c>
      <c r="H23" s="90"/>
      <c r="I23" s="6"/>
      <c r="J23" s="91">
        <f t="shared" si="1"/>
        <v>0</v>
      </c>
      <c r="K23" s="91">
        <f t="shared" si="2"/>
        <v>0</v>
      </c>
      <c r="L23" s="208">
        <f t="shared" si="3"/>
        <v>0</v>
      </c>
      <c r="M23" s="194">
        <v>0</v>
      </c>
      <c r="N23" s="67"/>
      <c r="O23" s="5"/>
    </row>
    <row r="24" spans="1:15">
      <c r="A24" s="6">
        <v>23</v>
      </c>
      <c r="B24" s="107"/>
      <c r="C24" s="6"/>
      <c r="D24" s="6"/>
      <c r="E24" s="90">
        <v>0</v>
      </c>
      <c r="F24" s="6">
        <v>0</v>
      </c>
      <c r="G24" s="91">
        <f t="shared" si="0"/>
        <v>0</v>
      </c>
      <c r="H24" s="90"/>
      <c r="I24" s="6"/>
      <c r="J24" s="91">
        <f t="shared" si="1"/>
        <v>0</v>
      </c>
      <c r="K24" s="91">
        <f t="shared" si="2"/>
        <v>0</v>
      </c>
      <c r="L24" s="208">
        <f t="shared" si="3"/>
        <v>0</v>
      </c>
      <c r="M24" s="194">
        <v>0</v>
      </c>
      <c r="N24" s="67"/>
      <c r="O24" s="5"/>
    </row>
    <row r="25" spans="1:15">
      <c r="A25" s="6">
        <v>24</v>
      </c>
      <c r="B25" s="107"/>
      <c r="C25" s="6"/>
      <c r="D25" s="6"/>
      <c r="E25" s="90">
        <v>0</v>
      </c>
      <c r="F25" s="6">
        <v>0</v>
      </c>
      <c r="G25" s="91">
        <f t="shared" si="0"/>
        <v>0</v>
      </c>
      <c r="H25" s="90"/>
      <c r="I25" s="6"/>
      <c r="J25" s="91">
        <f t="shared" si="1"/>
        <v>0</v>
      </c>
      <c r="K25" s="91">
        <f t="shared" si="2"/>
        <v>0</v>
      </c>
      <c r="L25" s="208">
        <f t="shared" si="3"/>
        <v>0</v>
      </c>
      <c r="M25" s="194">
        <v>0</v>
      </c>
      <c r="N25" s="67"/>
      <c r="O25" s="5"/>
    </row>
    <row r="26" spans="1:15">
      <c r="A26" s="6">
        <v>25</v>
      </c>
      <c r="B26" s="107"/>
      <c r="C26" s="6"/>
      <c r="D26" s="6"/>
      <c r="E26" s="90">
        <v>0</v>
      </c>
      <c r="F26" s="6">
        <v>0</v>
      </c>
      <c r="G26" s="91">
        <f t="shared" si="0"/>
        <v>0</v>
      </c>
      <c r="H26" s="90"/>
      <c r="I26" s="6"/>
      <c r="J26" s="91">
        <f t="shared" si="1"/>
        <v>0</v>
      </c>
      <c r="K26" s="91">
        <f t="shared" si="2"/>
        <v>0</v>
      </c>
      <c r="L26" s="208">
        <f t="shared" si="3"/>
        <v>0</v>
      </c>
      <c r="M26" s="194">
        <v>0</v>
      </c>
      <c r="N26" s="67"/>
      <c r="O26" s="5"/>
    </row>
    <row r="27" spans="1:15">
      <c r="A27" s="6">
        <v>26</v>
      </c>
      <c r="B27" s="107"/>
      <c r="C27" s="6"/>
      <c r="D27" s="6"/>
      <c r="E27" s="90">
        <v>0</v>
      </c>
      <c r="F27" s="6">
        <v>0</v>
      </c>
      <c r="G27" s="91">
        <f t="shared" si="0"/>
        <v>0</v>
      </c>
      <c r="H27" s="90"/>
      <c r="I27" s="6"/>
      <c r="J27" s="91">
        <f t="shared" si="1"/>
        <v>0</v>
      </c>
      <c r="K27" s="91">
        <f t="shared" si="2"/>
        <v>0</v>
      </c>
      <c r="L27" s="208">
        <f t="shared" si="3"/>
        <v>0</v>
      </c>
      <c r="M27" s="194">
        <v>0</v>
      </c>
      <c r="N27" s="6"/>
      <c r="O27" s="5"/>
    </row>
    <row r="28" spans="1:15">
      <c r="A28" s="6">
        <v>27</v>
      </c>
      <c r="B28" s="107"/>
      <c r="C28" s="6"/>
      <c r="D28" s="6"/>
      <c r="E28" s="90">
        <v>0</v>
      </c>
      <c r="F28" s="6">
        <v>0</v>
      </c>
      <c r="G28" s="91">
        <f t="shared" si="0"/>
        <v>0</v>
      </c>
      <c r="H28" s="90"/>
      <c r="I28" s="6"/>
      <c r="J28" s="91">
        <f t="shared" si="1"/>
        <v>0</v>
      </c>
      <c r="K28" s="91">
        <f t="shared" si="2"/>
        <v>0</v>
      </c>
      <c r="L28" s="208">
        <f t="shared" si="3"/>
        <v>0</v>
      </c>
      <c r="M28" s="194">
        <v>0</v>
      </c>
      <c r="N28" s="6"/>
      <c r="O28" s="5"/>
    </row>
    <row r="29" spans="1:15">
      <c r="A29" s="6">
        <v>28</v>
      </c>
      <c r="B29" s="107"/>
      <c r="C29" s="6"/>
      <c r="D29" s="6"/>
      <c r="E29" s="90">
        <v>0</v>
      </c>
      <c r="F29" s="6">
        <v>0</v>
      </c>
      <c r="G29" s="91">
        <f t="shared" si="0"/>
        <v>0</v>
      </c>
      <c r="H29" s="90"/>
      <c r="I29" s="6"/>
      <c r="J29" s="91">
        <f t="shared" si="1"/>
        <v>0</v>
      </c>
      <c r="K29" s="91">
        <f t="shared" si="2"/>
        <v>0</v>
      </c>
      <c r="L29" s="208">
        <f t="shared" si="3"/>
        <v>0</v>
      </c>
      <c r="M29" s="194">
        <v>0</v>
      </c>
      <c r="N29" s="6"/>
      <c r="O29" s="5"/>
    </row>
    <row r="30" spans="1:15">
      <c r="A30" s="6">
        <v>29</v>
      </c>
      <c r="B30" s="107"/>
      <c r="C30" s="6"/>
      <c r="D30" s="6"/>
      <c r="E30" s="90">
        <v>0</v>
      </c>
      <c r="F30" s="6">
        <v>0</v>
      </c>
      <c r="G30" s="91">
        <f t="shared" si="0"/>
        <v>0</v>
      </c>
      <c r="H30" s="90"/>
      <c r="I30" s="6"/>
      <c r="J30" s="91">
        <f t="shared" si="1"/>
        <v>0</v>
      </c>
      <c r="K30" s="91">
        <f t="shared" si="2"/>
        <v>0</v>
      </c>
      <c r="L30" s="208">
        <f t="shared" si="3"/>
        <v>0</v>
      </c>
      <c r="M30" s="194">
        <v>0</v>
      </c>
      <c r="N30" s="6"/>
      <c r="O30" s="5"/>
    </row>
    <row r="31" spans="1:15">
      <c r="A31" s="6">
        <v>30</v>
      </c>
      <c r="B31" s="107"/>
      <c r="C31" s="6"/>
      <c r="D31" s="6"/>
      <c r="E31" s="90">
        <v>0</v>
      </c>
      <c r="F31" s="6">
        <v>0</v>
      </c>
      <c r="G31" s="91">
        <f t="shared" si="0"/>
        <v>0</v>
      </c>
      <c r="H31" s="90"/>
      <c r="I31" s="6"/>
      <c r="J31" s="91">
        <f t="shared" si="1"/>
        <v>0</v>
      </c>
      <c r="K31" s="91">
        <f t="shared" si="2"/>
        <v>0</v>
      </c>
      <c r="L31" s="208">
        <f t="shared" si="3"/>
        <v>0</v>
      </c>
      <c r="M31" s="194">
        <v>0</v>
      </c>
      <c r="N31" s="6"/>
      <c r="O31" s="5"/>
    </row>
    <row r="32" spans="1:15">
      <c r="A32" s="6">
        <v>31</v>
      </c>
      <c r="B32" s="107"/>
      <c r="C32" s="6"/>
      <c r="D32" s="6"/>
      <c r="E32" s="90">
        <v>0</v>
      </c>
      <c r="F32" s="6">
        <v>0</v>
      </c>
      <c r="G32" s="91">
        <f t="shared" si="0"/>
        <v>0</v>
      </c>
      <c r="H32" s="90"/>
      <c r="I32" s="6"/>
      <c r="J32" s="91">
        <f t="shared" si="1"/>
        <v>0</v>
      </c>
      <c r="K32" s="91">
        <f t="shared" si="2"/>
        <v>0</v>
      </c>
      <c r="L32" s="208">
        <f t="shared" si="3"/>
        <v>0</v>
      </c>
      <c r="M32" s="194">
        <v>0</v>
      </c>
      <c r="N32" s="6"/>
      <c r="O32" s="5"/>
    </row>
    <row r="33" spans="1:15">
      <c r="A33" s="6">
        <v>32</v>
      </c>
      <c r="B33" s="107"/>
      <c r="C33" s="6"/>
      <c r="D33" s="6"/>
      <c r="E33" s="90">
        <v>0</v>
      </c>
      <c r="F33" s="6">
        <v>0</v>
      </c>
      <c r="G33" s="91">
        <f t="shared" si="0"/>
        <v>0</v>
      </c>
      <c r="H33" s="90"/>
      <c r="I33" s="6"/>
      <c r="J33" s="91">
        <f t="shared" si="1"/>
        <v>0</v>
      </c>
      <c r="K33" s="91">
        <f t="shared" si="2"/>
        <v>0</v>
      </c>
      <c r="L33" s="208">
        <f t="shared" si="3"/>
        <v>0</v>
      </c>
      <c r="M33" s="194">
        <v>0</v>
      </c>
      <c r="N33" s="6"/>
      <c r="O33" s="5"/>
    </row>
    <row r="34" spans="1:15">
      <c r="A34" s="6">
        <v>33</v>
      </c>
      <c r="B34" s="107"/>
      <c r="C34" s="6"/>
      <c r="D34" s="6"/>
      <c r="E34" s="90">
        <v>0</v>
      </c>
      <c r="F34" s="6">
        <v>0</v>
      </c>
      <c r="G34" s="91">
        <f t="shared" si="0"/>
        <v>0</v>
      </c>
      <c r="H34" s="90"/>
      <c r="I34" s="6"/>
      <c r="J34" s="91">
        <f t="shared" si="1"/>
        <v>0</v>
      </c>
      <c r="K34" s="91">
        <f t="shared" si="2"/>
        <v>0</v>
      </c>
      <c r="L34" s="208">
        <f t="shared" si="3"/>
        <v>0</v>
      </c>
      <c r="M34" s="194">
        <v>0</v>
      </c>
      <c r="N34" s="6"/>
      <c r="O34" s="5"/>
    </row>
    <row r="35" spans="1:15">
      <c r="A35" s="6">
        <v>34</v>
      </c>
      <c r="B35" s="107"/>
      <c r="C35" s="6"/>
      <c r="D35" s="6"/>
      <c r="E35" s="90">
        <v>0</v>
      </c>
      <c r="F35" s="6">
        <v>0</v>
      </c>
      <c r="G35" s="91">
        <f t="shared" si="0"/>
        <v>0</v>
      </c>
      <c r="H35" s="90"/>
      <c r="I35" s="6"/>
      <c r="J35" s="91">
        <f t="shared" si="1"/>
        <v>0</v>
      </c>
      <c r="K35" s="91">
        <f t="shared" si="2"/>
        <v>0</v>
      </c>
      <c r="L35" s="208">
        <f t="shared" si="3"/>
        <v>0</v>
      </c>
      <c r="M35" s="194">
        <v>0</v>
      </c>
      <c r="N35" s="6"/>
      <c r="O35" s="5"/>
    </row>
    <row r="36" spans="1:15">
      <c r="A36" s="6">
        <v>35</v>
      </c>
      <c r="B36" s="107"/>
      <c r="C36" s="6"/>
      <c r="D36" s="6"/>
      <c r="E36" s="90">
        <v>0</v>
      </c>
      <c r="F36" s="6">
        <v>0</v>
      </c>
      <c r="G36" s="91">
        <f t="shared" si="0"/>
        <v>0</v>
      </c>
      <c r="H36" s="90"/>
      <c r="I36" s="6"/>
      <c r="J36" s="91">
        <f t="shared" si="1"/>
        <v>0</v>
      </c>
      <c r="K36" s="91">
        <f t="shared" si="2"/>
        <v>0</v>
      </c>
      <c r="L36" s="208">
        <f t="shared" si="3"/>
        <v>0</v>
      </c>
      <c r="M36" s="194">
        <v>0</v>
      </c>
      <c r="N36" s="6"/>
      <c r="O36" s="5"/>
    </row>
    <row r="37" spans="1:15">
      <c r="A37" s="6">
        <v>36</v>
      </c>
      <c r="B37" s="107"/>
      <c r="C37" s="6"/>
      <c r="D37" s="6"/>
      <c r="E37" s="90">
        <v>0</v>
      </c>
      <c r="F37" s="6">
        <v>0</v>
      </c>
      <c r="G37" s="91">
        <f t="shared" si="0"/>
        <v>0</v>
      </c>
      <c r="H37" s="90"/>
      <c r="I37" s="6"/>
      <c r="J37" s="91">
        <f t="shared" si="1"/>
        <v>0</v>
      </c>
      <c r="K37" s="91">
        <f t="shared" si="2"/>
        <v>0</v>
      </c>
      <c r="L37" s="208">
        <f t="shared" si="3"/>
        <v>0</v>
      </c>
      <c r="M37" s="194">
        <v>0</v>
      </c>
      <c r="N37" s="6"/>
      <c r="O37" s="5"/>
    </row>
    <row r="38" spans="1:15">
      <c r="A38" s="6">
        <v>37</v>
      </c>
      <c r="B38" s="107"/>
      <c r="C38" s="6"/>
      <c r="D38" s="6"/>
      <c r="E38" s="90">
        <v>0</v>
      </c>
      <c r="F38" s="6">
        <v>0</v>
      </c>
      <c r="G38" s="91">
        <f t="shared" si="0"/>
        <v>0</v>
      </c>
      <c r="H38" s="90"/>
      <c r="I38" s="6"/>
      <c r="J38" s="91">
        <f t="shared" si="1"/>
        <v>0</v>
      </c>
      <c r="K38" s="91">
        <f t="shared" si="2"/>
        <v>0</v>
      </c>
      <c r="L38" s="208">
        <f t="shared" si="3"/>
        <v>0</v>
      </c>
      <c r="M38" s="194">
        <v>0</v>
      </c>
      <c r="N38" s="6"/>
      <c r="O38" s="5"/>
    </row>
    <row r="39" spans="1:15">
      <c r="A39" s="6">
        <v>38</v>
      </c>
      <c r="B39" s="107"/>
      <c r="C39" s="6"/>
      <c r="D39" s="6"/>
      <c r="E39" s="90">
        <v>0</v>
      </c>
      <c r="F39" s="6">
        <v>0</v>
      </c>
      <c r="G39" s="91">
        <f t="shared" si="0"/>
        <v>0</v>
      </c>
      <c r="H39" s="90"/>
      <c r="I39" s="6"/>
      <c r="J39" s="91">
        <f t="shared" si="1"/>
        <v>0</v>
      </c>
      <c r="K39" s="91">
        <f t="shared" si="2"/>
        <v>0</v>
      </c>
      <c r="L39" s="208">
        <f t="shared" si="3"/>
        <v>0</v>
      </c>
      <c r="M39" s="194">
        <v>0</v>
      </c>
      <c r="N39" s="6"/>
      <c r="O39" s="5"/>
    </row>
    <row r="40" spans="1:15">
      <c r="A40" s="222">
        <v>39</v>
      </c>
      <c r="B40" s="223"/>
      <c r="C40" s="222"/>
      <c r="D40" s="6"/>
      <c r="E40" s="90">
        <v>0</v>
      </c>
      <c r="F40" s="6">
        <v>0</v>
      </c>
      <c r="G40" s="91">
        <f t="shared" si="0"/>
        <v>0</v>
      </c>
      <c r="H40" s="90"/>
      <c r="I40" s="6"/>
      <c r="J40" s="91">
        <f t="shared" si="1"/>
        <v>0</v>
      </c>
      <c r="K40" s="225">
        <f t="shared" si="2"/>
        <v>0</v>
      </c>
      <c r="L40" s="208">
        <f t="shared" si="3"/>
        <v>0</v>
      </c>
      <c r="M40" s="227">
        <v>0</v>
      </c>
      <c r="N40" s="222"/>
      <c r="O40" s="5"/>
    </row>
    <row r="41" spans="1:15">
      <c r="A41" s="6">
        <v>40</v>
      </c>
      <c r="B41" s="6"/>
      <c r="C41" s="6"/>
      <c r="D41" s="6"/>
      <c r="E41" s="90">
        <v>0</v>
      </c>
      <c r="F41" s="6">
        <v>0</v>
      </c>
      <c r="G41" s="91">
        <f t="shared" si="0"/>
        <v>0</v>
      </c>
      <c r="H41" s="90"/>
      <c r="I41" s="6"/>
      <c r="J41" s="91">
        <f t="shared" si="1"/>
        <v>0</v>
      </c>
      <c r="K41" s="91">
        <f t="shared" si="2"/>
        <v>0</v>
      </c>
      <c r="L41" s="208">
        <f t="shared" si="3"/>
        <v>0</v>
      </c>
      <c r="M41" s="194">
        <v>0</v>
      </c>
      <c r="N41" s="6"/>
      <c r="O41" s="5"/>
    </row>
    <row r="42" spans="1:15">
      <c r="A42" s="222">
        <v>41</v>
      </c>
      <c r="B42" s="222"/>
      <c r="C42" s="222"/>
      <c r="D42" s="6"/>
      <c r="E42" s="90">
        <v>0</v>
      </c>
      <c r="F42" s="6">
        <v>0</v>
      </c>
      <c r="G42" s="91">
        <f t="shared" si="0"/>
        <v>0</v>
      </c>
      <c r="H42" s="90"/>
      <c r="I42" s="6"/>
      <c r="J42" s="91">
        <f t="shared" si="1"/>
        <v>0</v>
      </c>
      <c r="K42" s="225">
        <f t="shared" si="2"/>
        <v>0</v>
      </c>
      <c r="L42" s="208">
        <f t="shared" si="3"/>
        <v>0</v>
      </c>
      <c r="M42" s="227">
        <v>0</v>
      </c>
      <c r="N42" s="222"/>
      <c r="O42" s="5"/>
    </row>
    <row r="43" spans="1:15">
      <c r="A43" s="222">
        <v>42</v>
      </c>
      <c r="B43" s="222"/>
      <c r="C43" s="222"/>
      <c r="D43" s="6"/>
      <c r="E43" s="90">
        <v>0</v>
      </c>
      <c r="F43" s="6">
        <v>0</v>
      </c>
      <c r="G43" s="91">
        <f t="shared" si="0"/>
        <v>0</v>
      </c>
      <c r="H43" s="90"/>
      <c r="I43" s="6"/>
      <c r="J43" s="91">
        <f t="shared" si="1"/>
        <v>0</v>
      </c>
      <c r="K43" s="225">
        <f t="shared" si="2"/>
        <v>0</v>
      </c>
      <c r="L43" s="226">
        <f t="shared" si="3"/>
        <v>0</v>
      </c>
      <c r="M43" s="227">
        <v>0</v>
      </c>
      <c r="N43" s="222"/>
      <c r="O43" s="5"/>
    </row>
    <row r="44" spans="1:15">
      <c r="A44" s="87"/>
      <c r="B44" s="87"/>
      <c r="C44" s="87"/>
      <c r="D44" s="87"/>
      <c r="E44" s="88">
        <f>SUM(E4:E43)</f>
        <v>805</v>
      </c>
      <c r="F44" s="88"/>
      <c r="G44" s="88">
        <f>SUM(G4:G43)</f>
        <v>71999.199999999997</v>
      </c>
      <c r="H44" s="88">
        <f>SUM(H4:H43)</f>
        <v>46.910000000000004</v>
      </c>
      <c r="I44" s="88"/>
      <c r="J44" s="88">
        <f>SUM(J4:J43)</f>
        <v>4850.0249000000003</v>
      </c>
      <c r="K44" s="88">
        <f>SUM(K4:K43)</f>
        <v>76849.224899999987</v>
      </c>
      <c r="L44" s="88">
        <f>SUM(L4:L43)</f>
        <v>76849.224899999987</v>
      </c>
      <c r="M44" s="88"/>
      <c r="N44" s="88"/>
      <c r="O44" s="84"/>
    </row>
    <row r="45" spans="1:15">
      <c r="A45" s="5"/>
      <c r="B45" s="5"/>
      <c r="C45" s="5"/>
      <c r="D45" s="5"/>
      <c r="E45" s="5"/>
      <c r="F45" s="5"/>
      <c r="G45" s="134"/>
      <c r="H45" s="5"/>
      <c r="I45" s="5"/>
      <c r="J45" s="134"/>
      <c r="K45" s="5"/>
      <c r="L45" s="134"/>
      <c r="M45" s="134"/>
      <c r="N45" s="5"/>
      <c r="O45" s="5"/>
    </row>
    <row r="46" spans="1:15">
      <c r="A46" s="5"/>
      <c r="B46" s="5"/>
      <c r="C46" s="5"/>
      <c r="D46" s="5"/>
      <c r="E46" s="5"/>
      <c r="F46" s="5"/>
      <c r="G46" s="134"/>
      <c r="H46" s="5"/>
      <c r="I46" s="5"/>
      <c r="J46" s="134"/>
      <c r="K46" s="5"/>
      <c r="L46" s="134"/>
      <c r="M46" s="134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5"/>
  <sheetViews>
    <sheetView workbookViewId="0">
      <selection activeCell="S41" sqref="S41"/>
    </sheetView>
  </sheetViews>
  <sheetFormatPr defaultRowHeight="15"/>
  <cols>
    <col min="1" max="1" width="6.140625" customWidth="1"/>
    <col min="2" max="2" width="10.85546875" bestFit="1" customWidth="1"/>
    <col min="7" max="7" width="12.42578125" customWidth="1"/>
    <col min="10" max="10" width="16.5703125" customWidth="1"/>
    <col min="11" max="11" width="13.5703125" bestFit="1" customWidth="1"/>
    <col min="12" max="12" width="12.42578125" bestFit="1" customWidth="1"/>
  </cols>
  <sheetData>
    <row r="1" spans="1:15" ht="15.75">
      <c r="A1" s="429" t="s">
        <v>132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5"/>
    </row>
    <row r="2" spans="1:15" ht="30.75">
      <c r="A2" s="89" t="s">
        <v>1</v>
      </c>
      <c r="B2" s="113" t="s">
        <v>2</v>
      </c>
      <c r="C2" s="113" t="s">
        <v>3</v>
      </c>
      <c r="D2" s="113" t="s">
        <v>139</v>
      </c>
      <c r="E2" s="113" t="s">
        <v>5</v>
      </c>
      <c r="F2" s="113" t="s">
        <v>6</v>
      </c>
      <c r="G2" s="121" t="s">
        <v>7</v>
      </c>
      <c r="H2" s="113" t="s">
        <v>8</v>
      </c>
      <c r="I2" s="113" t="s">
        <v>6</v>
      </c>
      <c r="J2" s="121" t="s">
        <v>7</v>
      </c>
      <c r="K2" s="89" t="s">
        <v>9</v>
      </c>
      <c r="L2" s="122" t="s">
        <v>10</v>
      </c>
      <c r="M2" s="115" t="s">
        <v>11</v>
      </c>
      <c r="N2" s="113" t="s">
        <v>12</v>
      </c>
      <c r="O2" s="5"/>
    </row>
    <row r="3" spans="1:15">
      <c r="A3" s="441" t="s">
        <v>13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9"/>
      <c r="M3" s="450" t="s">
        <v>173</v>
      </c>
      <c r="N3" s="451"/>
      <c r="O3" s="5"/>
    </row>
    <row r="4" spans="1:15">
      <c r="A4" s="6">
        <v>1</v>
      </c>
      <c r="B4" s="107" t="s">
        <v>150</v>
      </c>
      <c r="C4" s="6"/>
      <c r="D4" s="6"/>
      <c r="E4" s="90">
        <v>110</v>
      </c>
      <c r="F4" s="6">
        <v>89.33</v>
      </c>
      <c r="G4" s="91">
        <f>E4*F4</f>
        <v>9826.2999999999993</v>
      </c>
      <c r="H4" s="90">
        <v>0</v>
      </c>
      <c r="I4" s="6">
        <v>0</v>
      </c>
      <c r="J4" s="91">
        <f>H4*I4</f>
        <v>0</v>
      </c>
      <c r="K4" s="91">
        <f>G4+J4</f>
        <v>9826.2999999999993</v>
      </c>
      <c r="L4" s="208">
        <f>+K4</f>
        <v>9826.2999999999993</v>
      </c>
      <c r="M4" s="194">
        <v>0</v>
      </c>
      <c r="N4" s="67" t="s">
        <v>174</v>
      </c>
      <c r="O4" s="5"/>
    </row>
    <row r="5" spans="1:15">
      <c r="A5" s="6">
        <v>3</v>
      </c>
      <c r="B5" s="107" t="s">
        <v>151</v>
      </c>
      <c r="C5" s="6"/>
      <c r="D5" s="6"/>
      <c r="E5" s="90">
        <v>220</v>
      </c>
      <c r="F5" s="6">
        <v>89.33</v>
      </c>
      <c r="G5" s="91">
        <f t="shared" ref="G5:G42" si="0">E5*F5</f>
        <v>19652.599999999999</v>
      </c>
      <c r="H5" s="90">
        <v>5</v>
      </c>
      <c r="I5" s="6">
        <v>103.26</v>
      </c>
      <c r="J5" s="91">
        <f t="shared" ref="J5:J42" si="1">H5*I5</f>
        <v>516.30000000000007</v>
      </c>
      <c r="K5" s="91">
        <f t="shared" ref="K5:K42" si="2">G5+J5</f>
        <v>20168.899999999998</v>
      </c>
      <c r="L5" s="208">
        <f t="shared" ref="L5:L42" si="3">+K5</f>
        <v>20168.899999999998</v>
      </c>
      <c r="M5" s="194">
        <v>0</v>
      </c>
      <c r="N5" s="67" t="s">
        <v>174</v>
      </c>
      <c r="O5" s="5"/>
    </row>
    <row r="6" spans="1:15">
      <c r="A6" s="6">
        <v>4</v>
      </c>
      <c r="B6" s="107" t="s">
        <v>152</v>
      </c>
      <c r="C6" s="6"/>
      <c r="D6" s="6"/>
      <c r="E6" s="90">
        <v>110</v>
      </c>
      <c r="F6" s="6">
        <v>89.33</v>
      </c>
      <c r="G6" s="91">
        <f t="shared" si="0"/>
        <v>9826.2999999999993</v>
      </c>
      <c r="H6" s="90">
        <v>0</v>
      </c>
      <c r="I6" s="6">
        <v>0</v>
      </c>
      <c r="J6" s="91">
        <f t="shared" si="1"/>
        <v>0</v>
      </c>
      <c r="K6" s="91">
        <f t="shared" si="2"/>
        <v>9826.2999999999993</v>
      </c>
      <c r="L6" s="208">
        <f t="shared" si="3"/>
        <v>9826.2999999999993</v>
      </c>
      <c r="M6" s="194">
        <v>0</v>
      </c>
      <c r="N6" s="67" t="s">
        <v>174</v>
      </c>
      <c r="O6" s="5"/>
    </row>
    <row r="7" spans="1:15">
      <c r="A7" s="6">
        <v>5</v>
      </c>
      <c r="B7" s="107" t="s">
        <v>153</v>
      </c>
      <c r="C7" s="6"/>
      <c r="D7" s="6"/>
      <c r="E7" s="90">
        <v>120</v>
      </c>
      <c r="F7" s="6">
        <v>89.33</v>
      </c>
      <c r="G7" s="91">
        <f t="shared" si="0"/>
        <v>10719.6</v>
      </c>
      <c r="H7" s="90">
        <v>0</v>
      </c>
      <c r="I7" s="6">
        <v>0</v>
      </c>
      <c r="J7" s="91">
        <f t="shared" si="1"/>
        <v>0</v>
      </c>
      <c r="K7" s="91">
        <f t="shared" si="2"/>
        <v>10719.6</v>
      </c>
      <c r="L7" s="208">
        <f t="shared" si="3"/>
        <v>10719.6</v>
      </c>
      <c r="M7" s="194">
        <v>0</v>
      </c>
      <c r="N7" s="67" t="s">
        <v>174</v>
      </c>
      <c r="O7" s="5"/>
    </row>
    <row r="8" spans="1:15">
      <c r="A8" s="6">
        <v>7</v>
      </c>
      <c r="B8" s="107" t="s">
        <v>154</v>
      </c>
      <c r="C8" s="6"/>
      <c r="D8" s="6"/>
      <c r="E8" s="90">
        <v>70</v>
      </c>
      <c r="F8" s="6">
        <v>89.33</v>
      </c>
      <c r="G8" s="91">
        <f t="shared" si="0"/>
        <v>6253.0999999999995</v>
      </c>
      <c r="H8" s="90">
        <v>0</v>
      </c>
      <c r="I8" s="6">
        <v>0</v>
      </c>
      <c r="J8" s="91">
        <f t="shared" si="1"/>
        <v>0</v>
      </c>
      <c r="K8" s="91">
        <f t="shared" si="2"/>
        <v>6253.0999999999995</v>
      </c>
      <c r="L8" s="208">
        <f t="shared" si="3"/>
        <v>6253.0999999999995</v>
      </c>
      <c r="M8" s="194">
        <v>0</v>
      </c>
      <c r="N8" s="67" t="s">
        <v>174</v>
      </c>
      <c r="O8" s="5"/>
    </row>
    <row r="9" spans="1:15">
      <c r="A9" s="6">
        <v>9</v>
      </c>
      <c r="B9" s="107" t="s">
        <v>155</v>
      </c>
      <c r="C9" s="6"/>
      <c r="D9" s="6"/>
      <c r="E9" s="90">
        <v>30</v>
      </c>
      <c r="F9" s="6">
        <v>89.33</v>
      </c>
      <c r="G9" s="91">
        <f t="shared" si="0"/>
        <v>2679.9</v>
      </c>
      <c r="H9" s="90">
        <v>0</v>
      </c>
      <c r="I9" s="6">
        <v>0</v>
      </c>
      <c r="J9" s="91">
        <f t="shared" si="1"/>
        <v>0</v>
      </c>
      <c r="K9" s="91">
        <f t="shared" si="2"/>
        <v>2679.9</v>
      </c>
      <c r="L9" s="208">
        <f t="shared" si="3"/>
        <v>2679.9</v>
      </c>
      <c r="M9" s="194">
        <v>0</v>
      </c>
      <c r="N9" s="67" t="s">
        <v>174</v>
      </c>
      <c r="O9" s="5"/>
    </row>
    <row r="10" spans="1:15">
      <c r="A10" s="6">
        <v>10</v>
      </c>
      <c r="B10" s="107" t="s">
        <v>156</v>
      </c>
      <c r="C10" s="6"/>
      <c r="D10" s="6"/>
      <c r="E10" s="90">
        <v>70</v>
      </c>
      <c r="F10" s="6">
        <v>89.33</v>
      </c>
      <c r="G10" s="91">
        <f t="shared" si="0"/>
        <v>6253.0999999999995</v>
      </c>
      <c r="H10" s="90">
        <v>4.84</v>
      </c>
      <c r="I10" s="6">
        <v>103.26</v>
      </c>
      <c r="J10" s="91">
        <f t="shared" si="1"/>
        <v>499.77840000000003</v>
      </c>
      <c r="K10" s="91">
        <f t="shared" si="2"/>
        <v>6752.8783999999996</v>
      </c>
      <c r="L10" s="208">
        <f t="shared" si="3"/>
        <v>6752.8783999999996</v>
      </c>
      <c r="M10" s="194">
        <v>0</v>
      </c>
      <c r="N10" s="67" t="s">
        <v>174</v>
      </c>
      <c r="O10" s="5"/>
    </row>
    <row r="11" spans="1:15">
      <c r="A11" s="6">
        <v>11</v>
      </c>
      <c r="B11" s="107" t="s">
        <v>157</v>
      </c>
      <c r="C11" s="6"/>
      <c r="D11" s="6"/>
      <c r="E11" s="90">
        <v>51.19</v>
      </c>
      <c r="F11" s="6">
        <v>89.33</v>
      </c>
      <c r="G11" s="91">
        <f t="shared" si="0"/>
        <v>4572.8026999999993</v>
      </c>
      <c r="H11" s="90">
        <v>0</v>
      </c>
      <c r="I11" s="6">
        <v>0</v>
      </c>
      <c r="J11" s="91">
        <f t="shared" si="1"/>
        <v>0</v>
      </c>
      <c r="K11" s="91">
        <f t="shared" si="2"/>
        <v>4572.8026999999993</v>
      </c>
      <c r="L11" s="208">
        <f t="shared" si="3"/>
        <v>4572.8026999999993</v>
      </c>
      <c r="M11" s="194">
        <v>0</v>
      </c>
      <c r="N11" s="67" t="s">
        <v>174</v>
      </c>
      <c r="O11" s="5"/>
    </row>
    <row r="12" spans="1:15">
      <c r="A12" s="6">
        <v>12</v>
      </c>
      <c r="B12" s="107" t="s">
        <v>158</v>
      </c>
      <c r="C12" s="6"/>
      <c r="D12" s="6"/>
      <c r="E12" s="90">
        <v>30</v>
      </c>
      <c r="F12" s="6">
        <v>89.33</v>
      </c>
      <c r="G12" s="91">
        <f t="shared" si="0"/>
        <v>2679.9</v>
      </c>
      <c r="H12" s="90">
        <v>5</v>
      </c>
      <c r="I12" s="6">
        <v>103.26</v>
      </c>
      <c r="J12" s="91">
        <f t="shared" si="1"/>
        <v>516.30000000000007</v>
      </c>
      <c r="K12" s="91">
        <f t="shared" si="2"/>
        <v>3196.2000000000003</v>
      </c>
      <c r="L12" s="208">
        <f t="shared" si="3"/>
        <v>3196.2000000000003</v>
      </c>
      <c r="M12" s="194">
        <v>0</v>
      </c>
      <c r="N12" s="67" t="s">
        <v>174</v>
      </c>
      <c r="O12" s="5"/>
    </row>
    <row r="13" spans="1:15">
      <c r="A13" s="6">
        <v>13</v>
      </c>
      <c r="B13" s="107" t="s">
        <v>179</v>
      </c>
      <c r="C13" s="6"/>
      <c r="D13" s="6"/>
      <c r="E13" s="90">
        <v>84</v>
      </c>
      <c r="F13" s="6">
        <v>89.33</v>
      </c>
      <c r="G13" s="91">
        <f t="shared" si="0"/>
        <v>7503.72</v>
      </c>
      <c r="H13" s="90"/>
      <c r="I13" s="6">
        <v>103.26</v>
      </c>
      <c r="J13" s="91">
        <f t="shared" si="1"/>
        <v>0</v>
      </c>
      <c r="K13" s="91">
        <f t="shared" si="2"/>
        <v>7503.72</v>
      </c>
      <c r="L13" s="208">
        <f t="shared" si="3"/>
        <v>7503.72</v>
      </c>
      <c r="M13" s="194">
        <v>0</v>
      </c>
      <c r="N13" s="67" t="s">
        <v>174</v>
      </c>
      <c r="O13" s="5"/>
    </row>
    <row r="14" spans="1:15">
      <c r="A14" s="6">
        <v>14</v>
      </c>
      <c r="B14" s="107" t="s">
        <v>161</v>
      </c>
      <c r="C14" s="6"/>
      <c r="D14" s="6"/>
      <c r="E14" s="90">
        <v>120</v>
      </c>
      <c r="F14" s="6">
        <v>89.33</v>
      </c>
      <c r="G14" s="91">
        <f t="shared" si="0"/>
        <v>10719.6</v>
      </c>
      <c r="H14" s="90">
        <v>4.84</v>
      </c>
      <c r="I14" s="6">
        <v>103.26</v>
      </c>
      <c r="J14" s="91">
        <f t="shared" si="1"/>
        <v>499.77840000000003</v>
      </c>
      <c r="K14" s="91">
        <f t="shared" si="2"/>
        <v>11219.3784</v>
      </c>
      <c r="L14" s="208">
        <f t="shared" si="3"/>
        <v>11219.3784</v>
      </c>
      <c r="M14" s="194">
        <v>0</v>
      </c>
      <c r="N14" s="67" t="s">
        <v>174</v>
      </c>
      <c r="O14" s="5"/>
    </row>
    <row r="15" spans="1:15">
      <c r="A15" s="6">
        <v>15</v>
      </c>
      <c r="B15" s="107" t="s">
        <v>162</v>
      </c>
      <c r="C15" s="6"/>
      <c r="D15" s="6"/>
      <c r="E15" s="90">
        <v>65</v>
      </c>
      <c r="F15" s="6">
        <v>89.33</v>
      </c>
      <c r="G15" s="91">
        <f t="shared" si="0"/>
        <v>5806.45</v>
      </c>
      <c r="H15" s="90"/>
      <c r="I15" s="6"/>
      <c r="J15" s="91">
        <f t="shared" si="1"/>
        <v>0</v>
      </c>
      <c r="K15" s="91">
        <f t="shared" si="2"/>
        <v>5806.45</v>
      </c>
      <c r="L15" s="208">
        <f t="shared" si="3"/>
        <v>5806.45</v>
      </c>
      <c r="M15" s="194">
        <v>0</v>
      </c>
      <c r="N15" s="67" t="s">
        <v>174</v>
      </c>
      <c r="O15" s="5"/>
    </row>
    <row r="16" spans="1:15">
      <c r="A16" s="6">
        <v>16</v>
      </c>
      <c r="B16" s="107" t="s">
        <v>163</v>
      </c>
      <c r="C16" s="6"/>
      <c r="D16" s="6"/>
      <c r="E16" s="90">
        <v>159.66999999999999</v>
      </c>
      <c r="F16" s="6">
        <v>89.33</v>
      </c>
      <c r="G16" s="91">
        <f t="shared" si="0"/>
        <v>14263.321099999999</v>
      </c>
      <c r="H16" s="90"/>
      <c r="I16" s="6"/>
      <c r="J16" s="91">
        <f t="shared" si="1"/>
        <v>0</v>
      </c>
      <c r="K16" s="91">
        <f t="shared" si="2"/>
        <v>14263.321099999999</v>
      </c>
      <c r="L16" s="208">
        <f t="shared" si="3"/>
        <v>14263.321099999999</v>
      </c>
      <c r="M16" s="194">
        <v>0</v>
      </c>
      <c r="N16" s="67" t="s">
        <v>174</v>
      </c>
      <c r="O16" s="5"/>
    </row>
    <row r="17" spans="1:15">
      <c r="A17" s="6">
        <v>17</v>
      </c>
      <c r="B17" s="107" t="s">
        <v>166</v>
      </c>
      <c r="C17" s="6"/>
      <c r="D17" s="6"/>
      <c r="E17" s="90">
        <v>70</v>
      </c>
      <c r="F17" s="6">
        <v>89.33</v>
      </c>
      <c r="G17" s="91">
        <f t="shared" si="0"/>
        <v>6253.0999999999995</v>
      </c>
      <c r="H17" s="90">
        <v>4.84</v>
      </c>
      <c r="I17" s="6">
        <v>103.28</v>
      </c>
      <c r="J17" s="91">
        <f t="shared" si="1"/>
        <v>499.87520000000001</v>
      </c>
      <c r="K17" s="91">
        <f t="shared" si="2"/>
        <v>6752.9751999999999</v>
      </c>
      <c r="L17" s="208">
        <f t="shared" si="3"/>
        <v>6752.9751999999999</v>
      </c>
      <c r="M17" s="194">
        <v>0</v>
      </c>
      <c r="N17" s="67" t="s">
        <v>174</v>
      </c>
      <c r="O17" s="5"/>
    </row>
    <row r="18" spans="1:15">
      <c r="A18" s="6">
        <v>18</v>
      </c>
      <c r="B18" s="107" t="s">
        <v>178</v>
      </c>
      <c r="C18" s="6"/>
      <c r="D18" s="6"/>
      <c r="E18" s="90">
        <v>70</v>
      </c>
      <c r="F18" s="6">
        <v>89.33</v>
      </c>
      <c r="G18" s="91">
        <f t="shared" si="0"/>
        <v>6253.0999999999995</v>
      </c>
      <c r="H18" s="90"/>
      <c r="I18" s="6">
        <v>103.28</v>
      </c>
      <c r="J18" s="91">
        <f t="shared" si="1"/>
        <v>0</v>
      </c>
      <c r="K18" s="91">
        <f t="shared" si="2"/>
        <v>6253.0999999999995</v>
      </c>
      <c r="L18" s="208">
        <f t="shared" si="3"/>
        <v>6253.0999999999995</v>
      </c>
      <c r="M18" s="194">
        <v>0</v>
      </c>
      <c r="N18" s="67" t="s">
        <v>174</v>
      </c>
      <c r="O18" s="5"/>
    </row>
    <row r="19" spans="1:15">
      <c r="A19" s="6">
        <v>19</v>
      </c>
      <c r="B19" s="107" t="s">
        <v>168</v>
      </c>
      <c r="C19" s="6"/>
      <c r="D19" s="6"/>
      <c r="E19" s="90">
        <v>60</v>
      </c>
      <c r="F19" s="6">
        <v>89.33</v>
      </c>
      <c r="G19" s="91">
        <f t="shared" si="0"/>
        <v>5359.8</v>
      </c>
      <c r="H19" s="90"/>
      <c r="I19" s="6">
        <v>103.28</v>
      </c>
      <c r="J19" s="91">
        <f t="shared" si="1"/>
        <v>0</v>
      </c>
      <c r="K19" s="91">
        <f t="shared" si="2"/>
        <v>5359.8</v>
      </c>
      <c r="L19" s="208">
        <f t="shared" si="3"/>
        <v>5359.8</v>
      </c>
      <c r="M19" s="194">
        <v>0</v>
      </c>
      <c r="N19" s="67" t="s">
        <v>174</v>
      </c>
      <c r="O19" s="5"/>
    </row>
    <row r="20" spans="1:15">
      <c r="A20" s="6">
        <v>20</v>
      </c>
      <c r="B20" s="107" t="s">
        <v>170</v>
      </c>
      <c r="C20" s="6"/>
      <c r="D20" s="6"/>
      <c r="E20" s="90">
        <v>30</v>
      </c>
      <c r="F20" s="6">
        <v>89.33</v>
      </c>
      <c r="G20" s="91">
        <f t="shared" si="0"/>
        <v>2679.9</v>
      </c>
      <c r="H20" s="90">
        <v>4.76</v>
      </c>
      <c r="I20" s="6">
        <v>103.28</v>
      </c>
      <c r="J20" s="91">
        <f t="shared" si="1"/>
        <v>491.61279999999999</v>
      </c>
      <c r="K20" s="91">
        <f t="shared" si="2"/>
        <v>3171.5128</v>
      </c>
      <c r="L20" s="208">
        <f t="shared" si="3"/>
        <v>3171.5128</v>
      </c>
      <c r="M20" s="194">
        <v>0</v>
      </c>
      <c r="N20" s="67" t="s">
        <v>174</v>
      </c>
      <c r="O20" s="5"/>
    </row>
    <row r="21" spans="1:15">
      <c r="A21" s="6">
        <v>21</v>
      </c>
      <c r="B21" s="107" t="s">
        <v>180</v>
      </c>
      <c r="C21" s="6"/>
      <c r="D21" s="6"/>
      <c r="E21" s="90">
        <v>50</v>
      </c>
      <c r="F21" s="6">
        <v>89.33</v>
      </c>
      <c r="G21" s="91">
        <f t="shared" si="0"/>
        <v>4466.5</v>
      </c>
      <c r="H21" s="90"/>
      <c r="I21" s="6"/>
      <c r="J21" s="91">
        <f t="shared" si="1"/>
        <v>0</v>
      </c>
      <c r="K21" s="91">
        <f t="shared" si="2"/>
        <v>4466.5</v>
      </c>
      <c r="L21" s="208">
        <f t="shared" si="3"/>
        <v>4466.5</v>
      </c>
      <c r="M21" s="194">
        <v>0</v>
      </c>
      <c r="N21" s="67" t="s">
        <v>174</v>
      </c>
      <c r="O21" s="5"/>
    </row>
    <row r="22" spans="1:15">
      <c r="A22" s="6">
        <v>22</v>
      </c>
      <c r="B22" s="107"/>
      <c r="C22" s="6"/>
      <c r="D22" s="6"/>
      <c r="E22" s="90">
        <v>0</v>
      </c>
      <c r="F22" s="6">
        <v>0</v>
      </c>
      <c r="G22" s="91">
        <f t="shared" si="0"/>
        <v>0</v>
      </c>
      <c r="H22" s="90"/>
      <c r="I22" s="6"/>
      <c r="J22" s="91">
        <f t="shared" si="1"/>
        <v>0</v>
      </c>
      <c r="K22" s="91">
        <f t="shared" si="2"/>
        <v>0</v>
      </c>
      <c r="L22" s="208">
        <f t="shared" si="3"/>
        <v>0</v>
      </c>
      <c r="M22" s="194">
        <v>0</v>
      </c>
      <c r="N22" s="67"/>
      <c r="O22" s="5"/>
    </row>
    <row r="23" spans="1:15">
      <c r="A23" s="6">
        <v>23</v>
      </c>
      <c r="B23" s="107"/>
      <c r="C23" s="6"/>
      <c r="D23" s="6"/>
      <c r="E23" s="90">
        <v>0</v>
      </c>
      <c r="F23" s="6">
        <v>0</v>
      </c>
      <c r="G23" s="91">
        <f t="shared" si="0"/>
        <v>0</v>
      </c>
      <c r="H23" s="90"/>
      <c r="I23" s="6"/>
      <c r="J23" s="91">
        <f t="shared" si="1"/>
        <v>0</v>
      </c>
      <c r="K23" s="91">
        <f t="shared" si="2"/>
        <v>0</v>
      </c>
      <c r="L23" s="208">
        <f t="shared" si="3"/>
        <v>0</v>
      </c>
      <c r="M23" s="194">
        <v>0</v>
      </c>
      <c r="N23" s="67"/>
      <c r="O23" s="5"/>
    </row>
    <row r="24" spans="1:15">
      <c r="A24" s="6">
        <v>24</v>
      </c>
      <c r="B24" s="107"/>
      <c r="C24" s="6"/>
      <c r="D24" s="6"/>
      <c r="E24" s="90">
        <v>0</v>
      </c>
      <c r="F24" s="6">
        <v>0</v>
      </c>
      <c r="G24" s="91">
        <f t="shared" si="0"/>
        <v>0</v>
      </c>
      <c r="H24" s="90"/>
      <c r="I24" s="6"/>
      <c r="J24" s="91">
        <f t="shared" si="1"/>
        <v>0</v>
      </c>
      <c r="K24" s="91">
        <f t="shared" si="2"/>
        <v>0</v>
      </c>
      <c r="L24" s="208">
        <f t="shared" si="3"/>
        <v>0</v>
      </c>
      <c r="M24" s="194">
        <v>0</v>
      </c>
      <c r="N24" s="67"/>
      <c r="O24" s="5"/>
    </row>
    <row r="25" spans="1:15">
      <c r="A25" s="6">
        <v>25</v>
      </c>
      <c r="B25" s="107"/>
      <c r="C25" s="6"/>
      <c r="D25" s="6"/>
      <c r="E25" s="90">
        <v>0</v>
      </c>
      <c r="F25" s="6">
        <v>0</v>
      </c>
      <c r="G25" s="91">
        <f t="shared" si="0"/>
        <v>0</v>
      </c>
      <c r="H25" s="90"/>
      <c r="I25" s="6"/>
      <c r="J25" s="91">
        <f t="shared" si="1"/>
        <v>0</v>
      </c>
      <c r="K25" s="91">
        <f t="shared" si="2"/>
        <v>0</v>
      </c>
      <c r="L25" s="208">
        <f t="shared" si="3"/>
        <v>0</v>
      </c>
      <c r="M25" s="194">
        <v>0</v>
      </c>
      <c r="N25" s="67"/>
      <c r="O25" s="5"/>
    </row>
    <row r="26" spans="1:15">
      <c r="A26" s="6">
        <v>26</v>
      </c>
      <c r="B26" s="107"/>
      <c r="C26" s="6"/>
      <c r="D26" s="6"/>
      <c r="E26" s="90">
        <v>0</v>
      </c>
      <c r="F26" s="6">
        <v>0</v>
      </c>
      <c r="G26" s="91">
        <f t="shared" si="0"/>
        <v>0</v>
      </c>
      <c r="H26" s="90"/>
      <c r="I26" s="6"/>
      <c r="J26" s="91">
        <f t="shared" si="1"/>
        <v>0</v>
      </c>
      <c r="K26" s="91">
        <f t="shared" si="2"/>
        <v>0</v>
      </c>
      <c r="L26" s="208">
        <f t="shared" si="3"/>
        <v>0</v>
      </c>
      <c r="M26" s="194">
        <v>0</v>
      </c>
      <c r="N26" s="6"/>
      <c r="O26" s="5"/>
    </row>
    <row r="27" spans="1:15">
      <c r="A27" s="6">
        <v>27</v>
      </c>
      <c r="B27" s="107"/>
      <c r="C27" s="6"/>
      <c r="D27" s="6"/>
      <c r="E27" s="90">
        <v>0</v>
      </c>
      <c r="F27" s="6">
        <v>0</v>
      </c>
      <c r="G27" s="91">
        <f t="shared" si="0"/>
        <v>0</v>
      </c>
      <c r="H27" s="90"/>
      <c r="I27" s="6"/>
      <c r="J27" s="91">
        <f t="shared" si="1"/>
        <v>0</v>
      </c>
      <c r="K27" s="91">
        <f t="shared" si="2"/>
        <v>0</v>
      </c>
      <c r="L27" s="208">
        <f t="shared" si="3"/>
        <v>0</v>
      </c>
      <c r="M27" s="194">
        <v>0</v>
      </c>
      <c r="N27" s="6"/>
      <c r="O27" s="5"/>
    </row>
    <row r="28" spans="1:15">
      <c r="A28" s="6">
        <v>28</v>
      </c>
      <c r="B28" s="107"/>
      <c r="C28" s="6"/>
      <c r="D28" s="6"/>
      <c r="E28" s="90">
        <v>0</v>
      </c>
      <c r="F28" s="6">
        <v>0</v>
      </c>
      <c r="G28" s="91">
        <f t="shared" si="0"/>
        <v>0</v>
      </c>
      <c r="H28" s="90"/>
      <c r="I28" s="6"/>
      <c r="J28" s="91">
        <f t="shared" si="1"/>
        <v>0</v>
      </c>
      <c r="K28" s="91">
        <f t="shared" si="2"/>
        <v>0</v>
      </c>
      <c r="L28" s="208">
        <f t="shared" si="3"/>
        <v>0</v>
      </c>
      <c r="M28" s="194">
        <v>0</v>
      </c>
      <c r="N28" s="6"/>
      <c r="O28" s="5"/>
    </row>
    <row r="29" spans="1:15">
      <c r="A29" s="6">
        <v>29</v>
      </c>
      <c r="B29" s="107"/>
      <c r="C29" s="6"/>
      <c r="D29" s="6"/>
      <c r="E29" s="90">
        <v>0</v>
      </c>
      <c r="F29" s="6">
        <v>0</v>
      </c>
      <c r="G29" s="91">
        <f t="shared" si="0"/>
        <v>0</v>
      </c>
      <c r="H29" s="90"/>
      <c r="I29" s="6"/>
      <c r="J29" s="91">
        <f t="shared" si="1"/>
        <v>0</v>
      </c>
      <c r="K29" s="91">
        <f t="shared" si="2"/>
        <v>0</v>
      </c>
      <c r="L29" s="208">
        <f t="shared" si="3"/>
        <v>0</v>
      </c>
      <c r="M29" s="194">
        <v>0</v>
      </c>
      <c r="N29" s="6"/>
      <c r="O29" s="5"/>
    </row>
    <row r="30" spans="1:15">
      <c r="A30" s="6">
        <v>30</v>
      </c>
      <c r="B30" s="107"/>
      <c r="C30" s="6"/>
      <c r="D30" s="6"/>
      <c r="E30" s="90">
        <v>0</v>
      </c>
      <c r="F30" s="6">
        <v>0</v>
      </c>
      <c r="G30" s="91">
        <f t="shared" si="0"/>
        <v>0</v>
      </c>
      <c r="H30" s="90"/>
      <c r="I30" s="6"/>
      <c r="J30" s="91">
        <f t="shared" si="1"/>
        <v>0</v>
      </c>
      <c r="K30" s="91">
        <f t="shared" si="2"/>
        <v>0</v>
      </c>
      <c r="L30" s="208">
        <f t="shared" si="3"/>
        <v>0</v>
      </c>
      <c r="M30" s="194">
        <v>0</v>
      </c>
      <c r="N30" s="6"/>
      <c r="O30" s="5"/>
    </row>
    <row r="31" spans="1:15">
      <c r="A31" s="6">
        <v>31</v>
      </c>
      <c r="B31" s="107"/>
      <c r="C31" s="6"/>
      <c r="D31" s="6"/>
      <c r="E31" s="90">
        <v>0</v>
      </c>
      <c r="F31" s="6">
        <v>0</v>
      </c>
      <c r="G31" s="91">
        <f t="shared" si="0"/>
        <v>0</v>
      </c>
      <c r="H31" s="90"/>
      <c r="I31" s="6"/>
      <c r="J31" s="91">
        <f t="shared" si="1"/>
        <v>0</v>
      </c>
      <c r="K31" s="91">
        <f t="shared" si="2"/>
        <v>0</v>
      </c>
      <c r="L31" s="208">
        <f t="shared" si="3"/>
        <v>0</v>
      </c>
      <c r="M31" s="194">
        <v>0</v>
      </c>
      <c r="N31" s="6"/>
      <c r="O31" s="5"/>
    </row>
    <row r="32" spans="1:15">
      <c r="A32" s="6">
        <v>32</v>
      </c>
      <c r="B32" s="107"/>
      <c r="C32" s="6"/>
      <c r="D32" s="6"/>
      <c r="E32" s="90">
        <v>0</v>
      </c>
      <c r="F32" s="6">
        <v>0</v>
      </c>
      <c r="G32" s="91">
        <f t="shared" si="0"/>
        <v>0</v>
      </c>
      <c r="H32" s="90"/>
      <c r="I32" s="6"/>
      <c r="J32" s="91">
        <f t="shared" si="1"/>
        <v>0</v>
      </c>
      <c r="K32" s="91">
        <f t="shared" si="2"/>
        <v>0</v>
      </c>
      <c r="L32" s="208">
        <f t="shared" si="3"/>
        <v>0</v>
      </c>
      <c r="M32" s="194">
        <v>0</v>
      </c>
      <c r="N32" s="6"/>
      <c r="O32" s="5"/>
    </row>
    <row r="33" spans="1:15">
      <c r="A33" s="6">
        <v>33</v>
      </c>
      <c r="B33" s="107"/>
      <c r="C33" s="6"/>
      <c r="D33" s="6"/>
      <c r="E33" s="90">
        <v>0</v>
      </c>
      <c r="F33" s="6">
        <v>0</v>
      </c>
      <c r="G33" s="91">
        <f t="shared" si="0"/>
        <v>0</v>
      </c>
      <c r="H33" s="90"/>
      <c r="I33" s="6"/>
      <c r="J33" s="91">
        <f t="shared" si="1"/>
        <v>0</v>
      </c>
      <c r="K33" s="91">
        <f t="shared" si="2"/>
        <v>0</v>
      </c>
      <c r="L33" s="208">
        <f t="shared" si="3"/>
        <v>0</v>
      </c>
      <c r="M33" s="194">
        <v>0</v>
      </c>
      <c r="N33" s="6"/>
      <c r="O33" s="5"/>
    </row>
    <row r="34" spans="1:15">
      <c r="A34" s="6">
        <v>34</v>
      </c>
      <c r="B34" s="107"/>
      <c r="C34" s="6"/>
      <c r="D34" s="6"/>
      <c r="E34" s="90">
        <v>0</v>
      </c>
      <c r="F34" s="6">
        <v>0</v>
      </c>
      <c r="G34" s="91">
        <f t="shared" si="0"/>
        <v>0</v>
      </c>
      <c r="H34" s="90"/>
      <c r="I34" s="6"/>
      <c r="J34" s="91">
        <f t="shared" si="1"/>
        <v>0</v>
      </c>
      <c r="K34" s="91">
        <f t="shared" si="2"/>
        <v>0</v>
      </c>
      <c r="L34" s="208">
        <f t="shared" si="3"/>
        <v>0</v>
      </c>
      <c r="M34" s="194">
        <v>0</v>
      </c>
      <c r="N34" s="6"/>
      <c r="O34" s="5"/>
    </row>
    <row r="35" spans="1:15">
      <c r="A35" s="6">
        <v>35</v>
      </c>
      <c r="B35" s="107"/>
      <c r="C35" s="6"/>
      <c r="D35" s="6"/>
      <c r="E35" s="90">
        <v>0</v>
      </c>
      <c r="F35" s="6">
        <v>0</v>
      </c>
      <c r="G35" s="91">
        <f t="shared" si="0"/>
        <v>0</v>
      </c>
      <c r="H35" s="90"/>
      <c r="I35" s="6"/>
      <c r="J35" s="91">
        <f t="shared" si="1"/>
        <v>0</v>
      </c>
      <c r="K35" s="91">
        <f t="shared" si="2"/>
        <v>0</v>
      </c>
      <c r="L35" s="208">
        <f t="shared" si="3"/>
        <v>0</v>
      </c>
      <c r="M35" s="194">
        <v>0</v>
      </c>
      <c r="N35" s="6"/>
      <c r="O35" s="5"/>
    </row>
    <row r="36" spans="1:15">
      <c r="A36" s="6">
        <v>36</v>
      </c>
      <c r="B36" s="107"/>
      <c r="C36" s="6"/>
      <c r="D36" s="6"/>
      <c r="E36" s="90">
        <v>0</v>
      </c>
      <c r="F36" s="6">
        <v>0</v>
      </c>
      <c r="G36" s="91">
        <f t="shared" si="0"/>
        <v>0</v>
      </c>
      <c r="H36" s="90"/>
      <c r="I36" s="6"/>
      <c r="J36" s="91">
        <f t="shared" si="1"/>
        <v>0</v>
      </c>
      <c r="K36" s="91">
        <f t="shared" si="2"/>
        <v>0</v>
      </c>
      <c r="L36" s="208">
        <f t="shared" si="3"/>
        <v>0</v>
      </c>
      <c r="M36" s="194">
        <v>0</v>
      </c>
      <c r="N36" s="6"/>
      <c r="O36" s="5"/>
    </row>
    <row r="37" spans="1:15">
      <c r="A37" s="6">
        <v>37</v>
      </c>
      <c r="B37" s="107"/>
      <c r="C37" s="6"/>
      <c r="D37" s="6"/>
      <c r="E37" s="90">
        <v>0</v>
      </c>
      <c r="F37" s="6">
        <v>0</v>
      </c>
      <c r="G37" s="91">
        <f t="shared" si="0"/>
        <v>0</v>
      </c>
      <c r="H37" s="90"/>
      <c r="I37" s="6"/>
      <c r="J37" s="91">
        <f t="shared" si="1"/>
        <v>0</v>
      </c>
      <c r="K37" s="91">
        <f t="shared" si="2"/>
        <v>0</v>
      </c>
      <c r="L37" s="208">
        <f t="shared" si="3"/>
        <v>0</v>
      </c>
      <c r="M37" s="194">
        <v>0</v>
      </c>
      <c r="N37" s="6"/>
      <c r="O37" s="5"/>
    </row>
    <row r="38" spans="1:15">
      <c r="A38" s="6">
        <v>38</v>
      </c>
      <c r="B38" s="107"/>
      <c r="C38" s="6"/>
      <c r="D38" s="6"/>
      <c r="E38" s="90">
        <v>0</v>
      </c>
      <c r="F38" s="6">
        <v>0</v>
      </c>
      <c r="G38" s="91">
        <f t="shared" si="0"/>
        <v>0</v>
      </c>
      <c r="H38" s="90"/>
      <c r="I38" s="6"/>
      <c r="J38" s="91">
        <f t="shared" si="1"/>
        <v>0</v>
      </c>
      <c r="K38" s="91">
        <f t="shared" si="2"/>
        <v>0</v>
      </c>
      <c r="L38" s="208">
        <f t="shared" si="3"/>
        <v>0</v>
      </c>
      <c r="M38" s="194">
        <v>0</v>
      </c>
      <c r="N38" s="6"/>
      <c r="O38" s="5"/>
    </row>
    <row r="39" spans="1:15">
      <c r="A39" s="222">
        <v>39</v>
      </c>
      <c r="B39" s="223"/>
      <c r="C39" s="222"/>
      <c r="D39" s="6"/>
      <c r="E39" s="90">
        <v>0</v>
      </c>
      <c r="F39" s="6">
        <v>0</v>
      </c>
      <c r="G39" s="91">
        <f t="shared" si="0"/>
        <v>0</v>
      </c>
      <c r="H39" s="90"/>
      <c r="I39" s="6"/>
      <c r="J39" s="91">
        <f t="shared" si="1"/>
        <v>0</v>
      </c>
      <c r="K39" s="225">
        <f t="shared" si="2"/>
        <v>0</v>
      </c>
      <c r="L39" s="208">
        <f t="shared" si="3"/>
        <v>0</v>
      </c>
      <c r="M39" s="227">
        <v>0</v>
      </c>
      <c r="N39" s="222"/>
      <c r="O39" s="5"/>
    </row>
    <row r="40" spans="1:15">
      <c r="A40" s="6">
        <v>40</v>
      </c>
      <c r="B40" s="6"/>
      <c r="C40" s="6"/>
      <c r="D40" s="6"/>
      <c r="E40" s="90">
        <v>0</v>
      </c>
      <c r="F40" s="6">
        <v>0</v>
      </c>
      <c r="G40" s="91">
        <f t="shared" si="0"/>
        <v>0</v>
      </c>
      <c r="H40" s="90"/>
      <c r="I40" s="6"/>
      <c r="J40" s="91">
        <f t="shared" si="1"/>
        <v>0</v>
      </c>
      <c r="K40" s="91">
        <f t="shared" si="2"/>
        <v>0</v>
      </c>
      <c r="L40" s="208">
        <f t="shared" si="3"/>
        <v>0</v>
      </c>
      <c r="M40" s="194">
        <v>0</v>
      </c>
      <c r="N40" s="6"/>
      <c r="O40" s="5"/>
    </row>
    <row r="41" spans="1:15">
      <c r="A41" s="222">
        <v>41</v>
      </c>
      <c r="B41" s="222"/>
      <c r="C41" s="222"/>
      <c r="D41" s="6"/>
      <c r="E41" s="90">
        <v>0</v>
      </c>
      <c r="F41" s="6">
        <v>0</v>
      </c>
      <c r="G41" s="91">
        <f t="shared" si="0"/>
        <v>0</v>
      </c>
      <c r="H41" s="90"/>
      <c r="I41" s="6"/>
      <c r="J41" s="91">
        <f t="shared" si="1"/>
        <v>0</v>
      </c>
      <c r="K41" s="225">
        <f t="shared" si="2"/>
        <v>0</v>
      </c>
      <c r="L41" s="208">
        <f t="shared" si="3"/>
        <v>0</v>
      </c>
      <c r="M41" s="227">
        <v>0</v>
      </c>
      <c r="N41" s="222"/>
      <c r="O41" s="5"/>
    </row>
    <row r="42" spans="1:15">
      <c r="A42" s="222">
        <v>42</v>
      </c>
      <c r="B42" s="222"/>
      <c r="C42" s="222"/>
      <c r="D42" s="6"/>
      <c r="E42" s="90">
        <v>0</v>
      </c>
      <c r="F42" s="6">
        <v>0</v>
      </c>
      <c r="G42" s="91">
        <f t="shared" si="0"/>
        <v>0</v>
      </c>
      <c r="H42" s="90"/>
      <c r="I42" s="6"/>
      <c r="J42" s="91">
        <f t="shared" si="1"/>
        <v>0</v>
      </c>
      <c r="K42" s="225">
        <f t="shared" si="2"/>
        <v>0</v>
      </c>
      <c r="L42" s="226">
        <f t="shared" si="3"/>
        <v>0</v>
      </c>
      <c r="M42" s="227">
        <v>0</v>
      </c>
      <c r="N42" s="222"/>
      <c r="O42" s="5"/>
    </row>
    <row r="43" spans="1:15">
      <c r="A43" s="87"/>
      <c r="B43" s="87"/>
      <c r="C43" s="87"/>
      <c r="D43" s="87"/>
      <c r="E43" s="88">
        <f>SUM(E4:E42)</f>
        <v>1519.8600000000001</v>
      </c>
      <c r="F43" s="88"/>
      <c r="G43" s="88">
        <f>SUM(G4:G42)</f>
        <v>135769.0938</v>
      </c>
      <c r="H43" s="88">
        <f>SUM(H4:H42)</f>
        <v>29.28</v>
      </c>
      <c r="I43" s="88"/>
      <c r="J43" s="88">
        <f>SUM(J4:J42)</f>
        <v>3023.6448</v>
      </c>
      <c r="K43" s="88">
        <f>SUM(K4:K42)</f>
        <v>138792.73859999998</v>
      </c>
      <c r="L43" s="88">
        <f>SUM(L4:L42)</f>
        <v>138792.73859999998</v>
      </c>
      <c r="M43" s="88"/>
      <c r="N43" s="88"/>
      <c r="O43" s="84"/>
    </row>
    <row r="44" spans="1:15">
      <c r="A44" s="5"/>
      <c r="B44" s="5"/>
      <c r="C44" s="5"/>
      <c r="D44" s="5"/>
      <c r="E44" s="5"/>
      <c r="F44" s="5"/>
      <c r="G44" s="134"/>
      <c r="H44" s="5"/>
      <c r="I44" s="5"/>
      <c r="J44" s="134"/>
      <c r="K44" s="5"/>
      <c r="L44" s="134"/>
      <c r="M44" s="134"/>
      <c r="N44" s="5"/>
      <c r="O44" s="5"/>
    </row>
    <row r="45" spans="1:15">
      <c r="A45" s="5"/>
      <c r="B45" s="5"/>
      <c r="C45" s="5"/>
      <c r="D45" s="5"/>
      <c r="E45" s="5"/>
      <c r="F45" s="5"/>
      <c r="G45" s="134"/>
      <c r="H45" s="5"/>
      <c r="I45" s="5"/>
      <c r="J45" s="134"/>
      <c r="K45" s="5"/>
      <c r="L45" s="134"/>
      <c r="M45" s="134"/>
      <c r="N45" s="5"/>
      <c r="O45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F7BF-4A84-4ADB-87E5-5334AC31BAFD}">
  <dimension ref="A1:N41"/>
  <sheetViews>
    <sheetView workbookViewId="0">
      <pane ySplit="2" topLeftCell="A3" activePane="bottomLeft" state="frozen"/>
      <selection pane="bottomLeft" activeCell="N42" sqref="N42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20.85546875" customWidth="1"/>
    <col min="5" max="5" width="10.7109375" bestFit="1" customWidth="1"/>
    <col min="6" max="6" width="11.8554687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3" width="15" customWidth="1"/>
    <col min="14" max="14" width="22.5703125" customWidth="1"/>
  </cols>
  <sheetData>
    <row r="1" spans="1:14" s="123" customFormat="1" ht="15.75" customHeight="1">
      <c r="A1" s="454" t="s">
        <v>99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>
      <c r="A2" s="89" t="s">
        <v>1</v>
      </c>
      <c r="B2" s="89" t="s">
        <v>2</v>
      </c>
      <c r="C2" s="89" t="s">
        <v>3</v>
      </c>
      <c r="D2" s="89" t="s">
        <v>4</v>
      </c>
      <c r="E2" s="122" t="s">
        <v>5</v>
      </c>
      <c r="F2" s="122" t="s">
        <v>6</v>
      </c>
      <c r="G2" s="122" t="s">
        <v>7</v>
      </c>
      <c r="H2" s="122" t="s">
        <v>8</v>
      </c>
      <c r="I2" s="122" t="s">
        <v>6</v>
      </c>
      <c r="J2" s="122" t="s">
        <v>7</v>
      </c>
      <c r="K2" s="122" t="s">
        <v>9</v>
      </c>
      <c r="L2" s="115" t="s">
        <v>10</v>
      </c>
      <c r="M2" s="115" t="s">
        <v>51</v>
      </c>
      <c r="N2" s="89" t="s">
        <v>12</v>
      </c>
    </row>
    <row r="3" spans="1:14">
      <c r="A3" s="19"/>
      <c r="B3" s="19"/>
      <c r="C3" s="19"/>
      <c r="D3" s="19" t="s">
        <v>13</v>
      </c>
      <c r="E3" s="19"/>
      <c r="F3" s="19"/>
      <c r="G3" s="19"/>
      <c r="H3" s="19"/>
      <c r="I3" s="19"/>
      <c r="J3" s="19"/>
      <c r="K3" s="53">
        <v>56200.690600000016</v>
      </c>
      <c r="L3" s="19"/>
      <c r="M3" s="53">
        <f>+K3</f>
        <v>56200.690600000016</v>
      </c>
      <c r="N3" s="19"/>
    </row>
    <row r="4" spans="1:14">
      <c r="A4" s="67">
        <v>1</v>
      </c>
      <c r="B4" s="314">
        <v>45689</v>
      </c>
      <c r="C4" s="19"/>
      <c r="D4" s="19"/>
      <c r="E4" s="65">
        <v>0</v>
      </c>
      <c r="F4" s="65">
        <v>0</v>
      </c>
      <c r="G4" s="53">
        <f>E4*F4</f>
        <v>0</v>
      </c>
      <c r="H4" s="65">
        <v>0</v>
      </c>
      <c r="I4" s="65">
        <v>0</v>
      </c>
      <c r="J4" s="53">
        <f>H4*I4</f>
        <v>0</v>
      </c>
      <c r="K4" s="53">
        <f>G4+J4</f>
        <v>0</v>
      </c>
      <c r="L4" s="19"/>
      <c r="M4" s="53">
        <f>M3+K4-L4</f>
        <v>56200.690600000016</v>
      </c>
      <c r="N4" s="19"/>
    </row>
    <row r="5" spans="1:14">
      <c r="A5" s="67">
        <v>2</v>
      </c>
      <c r="B5" s="314">
        <v>45690</v>
      </c>
      <c r="C5" s="19"/>
      <c r="D5" s="19"/>
      <c r="E5" s="65">
        <v>0</v>
      </c>
      <c r="F5" s="65">
        <v>0</v>
      </c>
      <c r="G5" s="53">
        <f t="shared" ref="G5:G6" si="0">E5*F5</f>
        <v>0</v>
      </c>
      <c r="H5" s="65">
        <v>0</v>
      </c>
      <c r="I5" s="65">
        <v>0</v>
      </c>
      <c r="J5" s="53">
        <f t="shared" ref="J5:J31" si="1">H5*I5</f>
        <v>0</v>
      </c>
      <c r="K5" s="53">
        <f>G5+J5</f>
        <v>0</v>
      </c>
      <c r="L5" s="19"/>
      <c r="M5" s="53">
        <f>M4+K5-L5</f>
        <v>56200.690600000016</v>
      </c>
      <c r="N5" s="19"/>
    </row>
    <row r="6" spans="1:14">
      <c r="A6" s="67">
        <v>3</v>
      </c>
      <c r="B6" s="314">
        <v>45691</v>
      </c>
      <c r="C6" s="19"/>
      <c r="D6" s="19"/>
      <c r="E6" s="65">
        <v>40</v>
      </c>
      <c r="F6" s="65">
        <v>89.26</v>
      </c>
      <c r="G6" s="53">
        <f t="shared" si="0"/>
        <v>3570.4</v>
      </c>
      <c r="H6" s="65">
        <v>6</v>
      </c>
      <c r="I6" s="65">
        <v>103.18</v>
      </c>
      <c r="J6" s="53">
        <f t="shared" si="1"/>
        <v>619.08000000000004</v>
      </c>
      <c r="K6" s="53">
        <f>G6+J6</f>
        <v>4189.4800000000005</v>
      </c>
      <c r="L6" s="19">
        <v>4189.4799999999996</v>
      </c>
      <c r="M6" s="53">
        <f>M5+K6-L6</f>
        <v>56200.690600000016</v>
      </c>
      <c r="N6" s="19"/>
    </row>
    <row r="7" spans="1:14">
      <c r="A7" s="67">
        <v>4</v>
      </c>
      <c r="B7" s="306">
        <v>45692</v>
      </c>
      <c r="C7" s="19"/>
      <c r="D7" s="19"/>
      <c r="E7" s="65">
        <v>65</v>
      </c>
      <c r="F7" s="65">
        <v>89.26</v>
      </c>
      <c r="G7" s="53">
        <f>E7*F7</f>
        <v>5801.9000000000005</v>
      </c>
      <c r="H7" s="65">
        <v>12</v>
      </c>
      <c r="I7" s="65">
        <v>103.18</v>
      </c>
      <c r="J7" s="53">
        <f t="shared" si="1"/>
        <v>1238.1600000000001</v>
      </c>
      <c r="K7" s="53">
        <f>G7+J7</f>
        <v>7040.06</v>
      </c>
      <c r="L7" s="19">
        <v>7040.06</v>
      </c>
      <c r="M7" s="53">
        <f>M6+K7-L7</f>
        <v>56200.690600000016</v>
      </c>
      <c r="N7" s="19"/>
    </row>
    <row r="8" spans="1:14">
      <c r="A8" s="67">
        <v>5</v>
      </c>
      <c r="B8" s="306">
        <v>45693</v>
      </c>
      <c r="C8" s="19"/>
      <c r="D8" s="19"/>
      <c r="E8" s="65">
        <v>70</v>
      </c>
      <c r="F8" s="65">
        <v>89.26</v>
      </c>
      <c r="G8" s="53">
        <f>E8*F8</f>
        <v>6248.2000000000007</v>
      </c>
      <c r="H8" s="65">
        <v>0</v>
      </c>
      <c r="I8" s="65">
        <v>0</v>
      </c>
      <c r="J8" s="53">
        <f t="shared" si="1"/>
        <v>0</v>
      </c>
      <c r="K8" s="53">
        <f>G8+J8</f>
        <v>6248.2000000000007</v>
      </c>
      <c r="L8" s="19">
        <v>6248.2</v>
      </c>
      <c r="M8" s="53">
        <f>M7+K8-L8</f>
        <v>56200.690600000016</v>
      </c>
      <c r="N8" s="19"/>
    </row>
    <row r="9" spans="1:14">
      <c r="A9" s="67">
        <v>6</v>
      </c>
      <c r="B9" s="306">
        <v>45694</v>
      </c>
      <c r="C9" s="19"/>
      <c r="D9" s="19"/>
      <c r="E9" s="65">
        <v>86</v>
      </c>
      <c r="F9" s="65">
        <v>89.26</v>
      </c>
      <c r="G9" s="53">
        <f>E9*F9</f>
        <v>7676.3600000000006</v>
      </c>
      <c r="H9" s="65">
        <v>0</v>
      </c>
      <c r="I9" s="65">
        <v>0</v>
      </c>
      <c r="J9" s="53">
        <f t="shared" si="1"/>
        <v>0</v>
      </c>
      <c r="K9" s="53">
        <f>G9+J9</f>
        <v>7676.3600000000006</v>
      </c>
      <c r="L9" s="19">
        <v>7676.36</v>
      </c>
      <c r="M9" s="53">
        <f>M8+K9-L9</f>
        <v>56200.690600000016</v>
      </c>
      <c r="N9" s="19"/>
    </row>
    <row r="10" spans="1:14">
      <c r="A10" s="67">
        <v>7</v>
      </c>
      <c r="B10" s="306">
        <v>45695</v>
      </c>
      <c r="C10" s="19"/>
      <c r="D10" s="19"/>
      <c r="E10" s="65">
        <v>125</v>
      </c>
      <c r="F10" s="65">
        <v>89.26</v>
      </c>
      <c r="G10" s="53">
        <f>E10*F10</f>
        <v>11157.5</v>
      </c>
      <c r="H10" s="65">
        <v>0</v>
      </c>
      <c r="I10" s="65">
        <v>0</v>
      </c>
      <c r="J10" s="53">
        <f t="shared" si="1"/>
        <v>0</v>
      </c>
      <c r="K10" s="53">
        <f>G10+J10</f>
        <v>11157.5</v>
      </c>
      <c r="L10" s="19">
        <v>11157.5</v>
      </c>
      <c r="M10" s="53">
        <f>M9+K10-L10</f>
        <v>56200.690600000016</v>
      </c>
      <c r="N10" s="19"/>
    </row>
    <row r="11" spans="1:14">
      <c r="A11" s="67">
        <v>8</v>
      </c>
      <c r="B11" s="306">
        <v>45696</v>
      </c>
      <c r="C11" s="19"/>
      <c r="D11" s="19"/>
      <c r="E11" s="65">
        <v>90</v>
      </c>
      <c r="F11" s="65">
        <v>89.26</v>
      </c>
      <c r="G11" s="53">
        <f>E11*F11</f>
        <v>8033.4000000000005</v>
      </c>
      <c r="H11" s="65">
        <v>0</v>
      </c>
      <c r="I11" s="65">
        <v>0</v>
      </c>
      <c r="J11" s="53">
        <f t="shared" si="1"/>
        <v>0</v>
      </c>
      <c r="K11" s="53">
        <f>G11+J11</f>
        <v>8033.4000000000005</v>
      </c>
      <c r="L11" s="19">
        <v>8033.4</v>
      </c>
      <c r="M11" s="53">
        <f>M10+K11-L11</f>
        <v>56200.690600000016</v>
      </c>
      <c r="N11" s="19"/>
    </row>
    <row r="12" spans="1:14">
      <c r="A12" s="67">
        <v>9</v>
      </c>
      <c r="B12" s="306">
        <v>45697</v>
      </c>
      <c r="C12" s="19"/>
      <c r="D12" s="19"/>
      <c r="E12" s="65">
        <v>60</v>
      </c>
      <c r="F12" s="65">
        <v>89.26</v>
      </c>
      <c r="G12" s="53">
        <f>E12*F12</f>
        <v>5355.6</v>
      </c>
      <c r="H12" s="65">
        <v>1</v>
      </c>
      <c r="I12" s="65">
        <v>103.18</v>
      </c>
      <c r="J12" s="53">
        <f t="shared" si="1"/>
        <v>103.18</v>
      </c>
      <c r="K12" s="53">
        <f>G12+J12</f>
        <v>5458.7800000000007</v>
      </c>
      <c r="L12" s="19">
        <v>5458.78</v>
      </c>
      <c r="M12" s="53">
        <f>M11+K12-L12</f>
        <v>56200.690600000016</v>
      </c>
      <c r="N12" s="19"/>
    </row>
    <row r="13" spans="1:14">
      <c r="A13" s="67">
        <v>10</v>
      </c>
      <c r="B13" s="306">
        <v>45698</v>
      </c>
      <c r="C13" s="19"/>
      <c r="D13" s="19"/>
      <c r="E13" s="65">
        <v>105</v>
      </c>
      <c r="F13" s="65">
        <v>89.26</v>
      </c>
      <c r="G13" s="53">
        <f>E13*F13</f>
        <v>9372.3000000000011</v>
      </c>
      <c r="H13" s="65">
        <v>12</v>
      </c>
      <c r="I13" s="65">
        <v>103.18</v>
      </c>
      <c r="J13" s="53">
        <f t="shared" si="1"/>
        <v>1238.1600000000001</v>
      </c>
      <c r="K13" s="53">
        <f>G13+J13</f>
        <v>10610.460000000001</v>
      </c>
      <c r="L13" s="19">
        <v>10610.46</v>
      </c>
      <c r="M13" s="53">
        <f>M12+K13-L13</f>
        <v>56200.690600000024</v>
      </c>
      <c r="N13" s="19"/>
    </row>
    <row r="14" spans="1:14">
      <c r="A14" s="67">
        <v>11</v>
      </c>
      <c r="B14" s="306">
        <v>45699</v>
      </c>
      <c r="C14" s="19"/>
      <c r="D14" s="19"/>
      <c r="E14" s="65">
        <v>260</v>
      </c>
      <c r="F14" s="65">
        <v>89.26</v>
      </c>
      <c r="G14" s="53">
        <f>E14*F14</f>
        <v>23207.600000000002</v>
      </c>
      <c r="H14" s="65">
        <v>6</v>
      </c>
      <c r="I14" s="65">
        <v>103.18</v>
      </c>
      <c r="J14" s="53">
        <f t="shared" si="1"/>
        <v>619.08000000000004</v>
      </c>
      <c r="K14" s="53">
        <f>G14+J14</f>
        <v>23826.680000000004</v>
      </c>
      <c r="L14" s="19">
        <v>23826.68</v>
      </c>
      <c r="M14" s="53">
        <f>M13+K14-L14</f>
        <v>56200.690600000024</v>
      </c>
      <c r="N14" s="19"/>
    </row>
    <row r="15" spans="1:14">
      <c r="A15" s="67">
        <v>12</v>
      </c>
      <c r="B15" s="306">
        <v>45700</v>
      </c>
      <c r="C15" s="19"/>
      <c r="D15" s="19"/>
      <c r="E15" s="65">
        <v>130</v>
      </c>
      <c r="F15" s="65">
        <v>89.26</v>
      </c>
      <c r="G15" s="53">
        <f>E15*F15</f>
        <v>11603.800000000001</v>
      </c>
      <c r="H15" s="65">
        <v>0</v>
      </c>
      <c r="I15" s="65">
        <v>0</v>
      </c>
      <c r="J15" s="53">
        <f t="shared" si="1"/>
        <v>0</v>
      </c>
      <c r="K15" s="53">
        <f>G15+J15</f>
        <v>11603.800000000001</v>
      </c>
      <c r="L15" s="53">
        <v>11603.8</v>
      </c>
      <c r="M15" s="53">
        <f>M14+K15-L15</f>
        <v>56200.690600000016</v>
      </c>
      <c r="N15" s="19"/>
    </row>
    <row r="16" spans="1:14">
      <c r="A16" s="67">
        <v>13</v>
      </c>
      <c r="B16" s="306">
        <v>45701</v>
      </c>
      <c r="C16" s="19"/>
      <c r="D16" s="19"/>
      <c r="E16" s="65">
        <v>105</v>
      </c>
      <c r="F16" s="65">
        <v>89.26</v>
      </c>
      <c r="G16" s="53">
        <f>E16*F16</f>
        <v>9372.3000000000011</v>
      </c>
      <c r="H16" s="65">
        <v>0</v>
      </c>
      <c r="I16" s="65">
        <v>0</v>
      </c>
      <c r="J16" s="53">
        <f t="shared" si="1"/>
        <v>0</v>
      </c>
      <c r="K16" s="53">
        <f>G16+J16</f>
        <v>9372.3000000000011</v>
      </c>
      <c r="L16" s="53">
        <v>9372.2999999999993</v>
      </c>
      <c r="M16" s="53">
        <f>M15+K16-L16</f>
        <v>56200.690600000016</v>
      </c>
      <c r="N16" s="19"/>
    </row>
    <row r="17" spans="1:14">
      <c r="A17" s="67">
        <v>14</v>
      </c>
      <c r="B17" s="306">
        <v>45702</v>
      </c>
      <c r="C17" s="19"/>
      <c r="D17" s="19"/>
      <c r="E17" s="65">
        <v>80</v>
      </c>
      <c r="F17" s="65">
        <v>89.26</v>
      </c>
      <c r="G17" s="53">
        <f>E17*F17</f>
        <v>7140.8</v>
      </c>
      <c r="H17" s="65">
        <v>4.3600000000000003</v>
      </c>
      <c r="I17" s="65">
        <v>103.18</v>
      </c>
      <c r="J17" s="53">
        <f t="shared" si="1"/>
        <v>449.86480000000006</v>
      </c>
      <c r="K17" s="53">
        <f>G17+J17</f>
        <v>7590.6648000000005</v>
      </c>
      <c r="L17" s="53">
        <v>7590.6</v>
      </c>
      <c r="M17" s="53">
        <f>M16+K17-L17</f>
        <v>56200.755400000016</v>
      </c>
      <c r="N17" s="19"/>
    </row>
    <row r="18" spans="1:14">
      <c r="A18" s="67">
        <v>15</v>
      </c>
      <c r="B18" s="306">
        <v>45703</v>
      </c>
      <c r="C18" s="19"/>
      <c r="D18" s="19"/>
      <c r="E18" s="65">
        <v>110</v>
      </c>
      <c r="F18" s="65">
        <v>89.26</v>
      </c>
      <c r="G18" s="53">
        <f>E18*F18</f>
        <v>9818.6</v>
      </c>
      <c r="H18" s="65">
        <v>4.3600000000000003</v>
      </c>
      <c r="I18" s="65">
        <v>103.18</v>
      </c>
      <c r="J18" s="53">
        <f t="shared" si="1"/>
        <v>449.86480000000006</v>
      </c>
      <c r="K18" s="53">
        <f>G18+J18</f>
        <v>10268.4648</v>
      </c>
      <c r="L18" s="53">
        <v>10268.459999999999</v>
      </c>
      <c r="M18" s="53">
        <f>M17+K18-L18</f>
        <v>56200.760200000012</v>
      </c>
      <c r="N18" s="19"/>
    </row>
    <row r="19" spans="1:14">
      <c r="A19" s="67">
        <v>16</v>
      </c>
      <c r="B19" s="306">
        <v>45704</v>
      </c>
      <c r="C19" s="19"/>
      <c r="D19" s="19"/>
      <c r="E19" s="65">
        <v>0</v>
      </c>
      <c r="F19" s="65">
        <v>89.26</v>
      </c>
      <c r="G19" s="53">
        <f>E19*F19</f>
        <v>0</v>
      </c>
      <c r="H19" s="65">
        <v>0</v>
      </c>
      <c r="I19" s="65">
        <v>0</v>
      </c>
      <c r="J19" s="53">
        <f t="shared" si="1"/>
        <v>0</v>
      </c>
      <c r="K19" s="53">
        <f>G19+J19</f>
        <v>0</v>
      </c>
      <c r="L19" s="53"/>
      <c r="M19" s="53">
        <f>M18+K19-L19</f>
        <v>56200.760200000012</v>
      </c>
      <c r="N19" s="19"/>
    </row>
    <row r="20" spans="1:14">
      <c r="A20" s="67">
        <v>17</v>
      </c>
      <c r="B20" s="306">
        <v>45705</v>
      </c>
      <c r="C20" s="19"/>
      <c r="D20" s="19"/>
      <c r="E20" s="65">
        <v>310</v>
      </c>
      <c r="F20" s="65">
        <v>89.26</v>
      </c>
      <c r="G20" s="53">
        <f>E20*F20</f>
        <v>27670.600000000002</v>
      </c>
      <c r="H20" s="65">
        <v>0</v>
      </c>
      <c r="I20" s="65">
        <v>0</v>
      </c>
      <c r="J20" s="53">
        <f t="shared" si="1"/>
        <v>0</v>
      </c>
      <c r="K20" s="53">
        <f>G20+J20</f>
        <v>27670.600000000002</v>
      </c>
      <c r="L20" s="53">
        <v>27670.6</v>
      </c>
      <c r="M20" s="53">
        <f>M19+K20-L20</f>
        <v>56200.760200000012</v>
      </c>
      <c r="N20" s="19"/>
    </row>
    <row r="21" spans="1:14">
      <c r="A21" s="67">
        <v>18</v>
      </c>
      <c r="B21" s="306">
        <v>45706</v>
      </c>
      <c r="C21" s="19"/>
      <c r="D21" s="19"/>
      <c r="E21" s="65">
        <v>80</v>
      </c>
      <c r="F21" s="65">
        <v>89.26</v>
      </c>
      <c r="G21" s="53">
        <f>E21*F21</f>
        <v>7140.8</v>
      </c>
      <c r="H21" s="65">
        <v>0</v>
      </c>
      <c r="I21" s="65">
        <v>0</v>
      </c>
      <c r="J21" s="53">
        <f t="shared" si="1"/>
        <v>0</v>
      </c>
      <c r="K21" s="53">
        <f>G21+J21</f>
        <v>7140.8</v>
      </c>
      <c r="L21" s="53">
        <v>7140.8</v>
      </c>
      <c r="M21" s="53">
        <f>M20+K21-L21</f>
        <v>56200.760200000012</v>
      </c>
      <c r="N21" s="19"/>
    </row>
    <row r="22" spans="1:14">
      <c r="A22" s="67">
        <v>19</v>
      </c>
      <c r="B22" s="306">
        <v>45707</v>
      </c>
      <c r="C22" s="19"/>
      <c r="D22" s="19"/>
      <c r="E22" s="65">
        <v>95</v>
      </c>
      <c r="F22" s="65">
        <v>89.26</v>
      </c>
      <c r="G22" s="53">
        <f>E22*F22</f>
        <v>8479.7000000000007</v>
      </c>
      <c r="H22" s="65">
        <v>0</v>
      </c>
      <c r="I22" s="65">
        <v>0</v>
      </c>
      <c r="J22" s="53">
        <f t="shared" si="1"/>
        <v>0</v>
      </c>
      <c r="K22" s="53">
        <f>G22+J22</f>
        <v>8479.7000000000007</v>
      </c>
      <c r="L22" s="53">
        <v>8479.7000000000007</v>
      </c>
      <c r="M22" s="53">
        <f>M21+K22-L22</f>
        <v>56200.760200000019</v>
      </c>
      <c r="N22" s="19"/>
    </row>
    <row r="23" spans="1:14">
      <c r="A23" s="67">
        <v>20</v>
      </c>
      <c r="B23" s="306">
        <v>45708</v>
      </c>
      <c r="C23" s="19"/>
      <c r="D23" s="19"/>
      <c r="E23" s="65">
        <v>80</v>
      </c>
      <c r="F23" s="65">
        <v>89.26</v>
      </c>
      <c r="G23" s="53">
        <f>E23*F23</f>
        <v>7140.8</v>
      </c>
      <c r="H23" s="65">
        <v>0</v>
      </c>
      <c r="I23" s="65">
        <v>0</v>
      </c>
      <c r="J23" s="53">
        <f t="shared" si="1"/>
        <v>0</v>
      </c>
      <c r="K23" s="53">
        <f>G23+J23</f>
        <v>7140.8</v>
      </c>
      <c r="L23" s="19">
        <v>7140.8</v>
      </c>
      <c r="M23" s="53">
        <f>M22+K23-L23</f>
        <v>56200.760200000019</v>
      </c>
      <c r="N23" s="19"/>
    </row>
    <row r="24" spans="1:14">
      <c r="A24" s="67">
        <v>21</v>
      </c>
      <c r="B24" s="306">
        <v>45709</v>
      </c>
      <c r="C24" s="19"/>
      <c r="D24" s="19"/>
      <c r="E24" s="65">
        <v>50</v>
      </c>
      <c r="F24" s="65">
        <v>89.26</v>
      </c>
      <c r="G24" s="53">
        <f>E24*F24</f>
        <v>4463</v>
      </c>
      <c r="H24" s="65">
        <v>0</v>
      </c>
      <c r="I24" s="65">
        <v>0</v>
      </c>
      <c r="J24" s="53">
        <f t="shared" si="1"/>
        <v>0</v>
      </c>
      <c r="K24" s="53">
        <f>G24+J24</f>
        <v>4463</v>
      </c>
      <c r="L24" s="19">
        <v>4463</v>
      </c>
      <c r="M24" s="53">
        <f>M23+K24-L24</f>
        <v>56200.760200000019</v>
      </c>
      <c r="N24" s="19"/>
    </row>
    <row r="25" spans="1:14">
      <c r="A25" s="67">
        <v>22</v>
      </c>
      <c r="B25" s="306">
        <v>45710</v>
      </c>
      <c r="C25" s="19"/>
      <c r="D25" s="19"/>
      <c r="E25" s="65">
        <v>5</v>
      </c>
      <c r="F25" s="65">
        <v>89.26</v>
      </c>
      <c r="G25" s="53">
        <f>E25*F25</f>
        <v>446.3</v>
      </c>
      <c r="H25" s="65">
        <v>0</v>
      </c>
      <c r="I25" s="65">
        <v>0</v>
      </c>
      <c r="J25" s="53">
        <f t="shared" si="1"/>
        <v>0</v>
      </c>
      <c r="K25" s="53">
        <f>G25+J25</f>
        <v>446.3</v>
      </c>
      <c r="L25" s="19">
        <v>446.3</v>
      </c>
      <c r="M25" s="53">
        <f>M24+K25-L25</f>
        <v>56200.760200000019</v>
      </c>
      <c r="N25" s="19"/>
    </row>
    <row r="26" spans="1:14">
      <c r="A26" s="67">
        <v>23</v>
      </c>
      <c r="B26" s="306">
        <v>45711</v>
      </c>
      <c r="C26" s="19"/>
      <c r="D26" s="19"/>
      <c r="E26" s="65">
        <v>40</v>
      </c>
      <c r="F26" s="65">
        <v>89.26</v>
      </c>
      <c r="G26" s="53">
        <f>E26*F26</f>
        <v>3570.4</v>
      </c>
      <c r="H26" s="65">
        <v>7.56</v>
      </c>
      <c r="I26" s="65">
        <v>103.18</v>
      </c>
      <c r="J26" s="53">
        <f t="shared" si="1"/>
        <v>780.04079999999999</v>
      </c>
      <c r="K26" s="53">
        <f>G26+J26</f>
        <v>4350.4408000000003</v>
      </c>
      <c r="L26" s="19">
        <v>4350.4399999999996</v>
      </c>
      <c r="M26" s="53">
        <f>M25+K26-L26</f>
        <v>56200.761000000013</v>
      </c>
      <c r="N26" s="19"/>
    </row>
    <row r="27" spans="1:14">
      <c r="A27" s="67">
        <v>24</v>
      </c>
      <c r="B27" s="306">
        <v>45712</v>
      </c>
      <c r="C27" s="19"/>
      <c r="D27" s="19"/>
      <c r="E27" s="65">
        <v>20</v>
      </c>
      <c r="F27" s="65">
        <v>89.26</v>
      </c>
      <c r="G27" s="53">
        <f t="shared" ref="G27:G31" si="2">E27*F27</f>
        <v>1785.2</v>
      </c>
      <c r="H27" s="65">
        <v>0</v>
      </c>
      <c r="I27" s="65">
        <v>0</v>
      </c>
      <c r="J27" s="53">
        <f t="shared" si="1"/>
        <v>0</v>
      </c>
      <c r="K27" s="53">
        <f t="shared" ref="K27:M29" si="3">G27+J27</f>
        <v>1785.2</v>
      </c>
      <c r="L27" s="19">
        <v>1785.2</v>
      </c>
      <c r="M27" s="53">
        <f>M26+K27-L27</f>
        <v>56200.761000000013</v>
      </c>
      <c r="N27" s="19"/>
    </row>
    <row r="28" spans="1:14">
      <c r="A28" s="67">
        <v>25</v>
      </c>
      <c r="B28" s="306">
        <v>45713</v>
      </c>
      <c r="C28" s="19"/>
      <c r="D28" s="19"/>
      <c r="E28" s="65">
        <v>115</v>
      </c>
      <c r="F28" s="65">
        <v>89.26</v>
      </c>
      <c r="G28" s="53">
        <f t="shared" si="2"/>
        <v>10264.900000000001</v>
      </c>
      <c r="H28" s="65">
        <v>0</v>
      </c>
      <c r="I28" s="65">
        <v>0</v>
      </c>
      <c r="J28" s="53">
        <f t="shared" si="1"/>
        <v>0</v>
      </c>
      <c r="K28" s="53">
        <f t="shared" si="3"/>
        <v>10264.900000000001</v>
      </c>
      <c r="L28" s="19">
        <v>10264.9</v>
      </c>
      <c r="M28" s="53">
        <f>M27+K28-L28</f>
        <v>56200.76100000002</v>
      </c>
      <c r="N28" s="19"/>
    </row>
    <row r="29" spans="1:14">
      <c r="A29" s="67">
        <v>26</v>
      </c>
      <c r="B29" s="306">
        <v>45714</v>
      </c>
      <c r="C29" s="19"/>
      <c r="D29" s="19"/>
      <c r="E29" s="65">
        <v>27</v>
      </c>
      <c r="F29" s="65">
        <v>89.26</v>
      </c>
      <c r="G29" s="53">
        <f t="shared" si="2"/>
        <v>2410.02</v>
      </c>
      <c r="H29" s="65">
        <v>0</v>
      </c>
      <c r="I29" s="65">
        <v>0</v>
      </c>
      <c r="J29" s="53">
        <f t="shared" si="1"/>
        <v>0</v>
      </c>
      <c r="K29" s="53">
        <f>G29+J29</f>
        <v>2410.02</v>
      </c>
      <c r="L29" s="53">
        <v>2410.02</v>
      </c>
      <c r="M29" s="53">
        <f>M28+K29-L29</f>
        <v>56200.76100000002</v>
      </c>
      <c r="N29" s="19"/>
    </row>
    <row r="30" spans="1:14">
      <c r="A30" s="67">
        <v>27</v>
      </c>
      <c r="B30" s="306">
        <v>45715</v>
      </c>
      <c r="C30" s="19"/>
      <c r="D30" s="19"/>
      <c r="E30" s="65">
        <v>79.989999999999995</v>
      </c>
      <c r="F30" s="65">
        <v>89.26</v>
      </c>
      <c r="G30" s="53">
        <f t="shared" si="2"/>
        <v>7139.9074000000001</v>
      </c>
      <c r="H30" s="65">
        <v>0</v>
      </c>
      <c r="I30" s="65">
        <v>0</v>
      </c>
      <c r="J30" s="53">
        <f t="shared" si="1"/>
        <v>0</v>
      </c>
      <c r="K30" s="53">
        <f>G30+J30</f>
        <v>7139.9074000000001</v>
      </c>
      <c r="L30" s="53">
        <v>7139.91</v>
      </c>
      <c r="M30" s="53">
        <f>M29+K30-L30</f>
        <v>56200.758400000021</v>
      </c>
      <c r="N30" s="19"/>
    </row>
    <row r="31" spans="1:14">
      <c r="A31" s="67">
        <v>28</v>
      </c>
      <c r="B31" s="306">
        <v>45716</v>
      </c>
      <c r="C31" s="19"/>
      <c r="D31" s="19"/>
      <c r="E31" s="65">
        <v>300</v>
      </c>
      <c r="F31" s="65">
        <v>89.26</v>
      </c>
      <c r="G31" s="53">
        <f t="shared" si="2"/>
        <v>26778</v>
      </c>
      <c r="H31" s="65">
        <v>5.82</v>
      </c>
      <c r="I31" s="65">
        <v>103.18</v>
      </c>
      <c r="J31" s="53">
        <f t="shared" si="1"/>
        <v>600.50760000000002</v>
      </c>
      <c r="K31" s="53">
        <f>G31+J31</f>
        <v>27378.507600000001</v>
      </c>
      <c r="L31" s="53">
        <v>27378.51</v>
      </c>
      <c r="M31" s="53">
        <f>M30+K31-L31</f>
        <v>56200.756000000023</v>
      </c>
      <c r="N31" s="19"/>
    </row>
    <row r="32" spans="1:14">
      <c r="A32" s="19"/>
      <c r="B32" s="116"/>
      <c r="C32" s="19"/>
      <c r="D32" s="19"/>
      <c r="E32" s="65"/>
      <c r="F32" s="65"/>
      <c r="G32" s="53"/>
      <c r="H32" s="65"/>
      <c r="I32" s="65"/>
      <c r="J32" s="53"/>
      <c r="K32" s="53"/>
      <c r="L32" s="19"/>
      <c r="M32" s="19"/>
      <c r="N32" s="19"/>
    </row>
    <row r="33" spans="1:14">
      <c r="A33" s="63"/>
      <c r="B33" s="63"/>
      <c r="C33" s="63"/>
      <c r="D33" s="63"/>
      <c r="E33" s="63">
        <f>SUM(E4:E32)</f>
        <v>2527.9899999999998</v>
      </c>
      <c r="F33" s="63"/>
      <c r="G33" s="63">
        <f>SUM(G4:G32)</f>
        <v>225648.38739999998</v>
      </c>
      <c r="H33" s="63">
        <f>SUM(H4:H32)</f>
        <v>59.1</v>
      </c>
      <c r="I33" s="63"/>
      <c r="J33" s="63">
        <f>SUM(J4:J32)</f>
        <v>6097.9380000000001</v>
      </c>
      <c r="K33" s="63">
        <f>SUM(K4:K32)</f>
        <v>231746.3254</v>
      </c>
      <c r="L33" s="63">
        <f>SUM(L4:L32)</f>
        <v>231746.26</v>
      </c>
      <c r="M33" s="63"/>
      <c r="N33" s="63"/>
    </row>
    <row r="35" spans="1:14">
      <c r="K35" s="401">
        <v>232524.1</v>
      </c>
    </row>
    <row r="36" spans="1:14">
      <c r="D36" s="455" t="s">
        <v>181</v>
      </c>
      <c r="E36" s="455"/>
      <c r="F36" s="455"/>
    </row>
    <row r="37" spans="1:14">
      <c r="D37" s="456" t="s">
        <v>99</v>
      </c>
      <c r="E37" s="457"/>
      <c r="F37" s="458"/>
      <c r="K37" s="24">
        <f>K35-K33</f>
        <v>777.77460000000428</v>
      </c>
    </row>
    <row r="38" spans="1:14">
      <c r="D38" s="459" t="s">
        <v>182</v>
      </c>
      <c r="E38" s="459"/>
      <c r="F38" s="44">
        <v>52894.39</v>
      </c>
    </row>
    <row r="39" spans="1:14">
      <c r="D39" s="459" t="s">
        <v>80</v>
      </c>
      <c r="E39" s="459"/>
      <c r="F39" s="44">
        <f>+K33</f>
        <v>231746.3254</v>
      </c>
    </row>
    <row r="40" spans="1:14">
      <c r="D40" s="459" t="s">
        <v>82</v>
      </c>
      <c r="E40" s="459"/>
      <c r="F40" s="44">
        <f>+L33</f>
        <v>231746.26</v>
      </c>
    </row>
    <row r="41" spans="1:14">
      <c r="D41" s="453" t="s">
        <v>183</v>
      </c>
      <c r="E41" s="453"/>
      <c r="F41" s="32">
        <f>F39+F38-F40</f>
        <v>52894.455399999977</v>
      </c>
      <c r="G41" t="s">
        <v>184</v>
      </c>
    </row>
  </sheetData>
  <mergeCells count="7">
    <mergeCell ref="D41:E41"/>
    <mergeCell ref="A1:N1"/>
    <mergeCell ref="D36:F36"/>
    <mergeCell ref="D37:F37"/>
    <mergeCell ref="D38:E38"/>
    <mergeCell ref="D39:E39"/>
    <mergeCell ref="D40:E4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P36"/>
  <sheetViews>
    <sheetView workbookViewId="0">
      <selection activeCell="R33" sqref="R33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</cols>
  <sheetData>
    <row r="1" spans="1:16" ht="15.75" customHeight="1">
      <c r="A1" s="454" t="s">
        <v>185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6">
      <c r="A2" s="160" t="s">
        <v>1</v>
      </c>
      <c r="B2" s="160" t="s">
        <v>2</v>
      </c>
      <c r="C2" s="160" t="s">
        <v>3</v>
      </c>
      <c r="D2" s="160" t="s">
        <v>4</v>
      </c>
      <c r="E2" s="234" t="s">
        <v>5</v>
      </c>
      <c r="F2" s="234" t="s">
        <v>6</v>
      </c>
      <c r="G2" s="234" t="s">
        <v>7</v>
      </c>
      <c r="H2" s="234" t="s">
        <v>8</v>
      </c>
      <c r="I2" s="234" t="s">
        <v>6</v>
      </c>
      <c r="J2" s="234" t="s">
        <v>7</v>
      </c>
      <c r="K2" s="234" t="s">
        <v>9</v>
      </c>
      <c r="L2" s="160" t="s">
        <v>82</v>
      </c>
      <c r="M2" s="163" t="s">
        <v>11</v>
      </c>
      <c r="N2" s="160" t="s">
        <v>12</v>
      </c>
    </row>
    <row r="3" spans="1:16">
      <c r="A3" s="19"/>
      <c r="B3" s="19"/>
      <c r="C3" s="19"/>
      <c r="D3" s="19" t="s">
        <v>13</v>
      </c>
      <c r="E3" s="19"/>
      <c r="F3" s="19"/>
      <c r="G3" s="19"/>
      <c r="H3" s="19"/>
      <c r="I3" s="19"/>
      <c r="J3" s="19"/>
      <c r="K3" s="19">
        <v>50338.907800000001</v>
      </c>
      <c r="L3" s="19"/>
      <c r="M3" s="19">
        <f>+K3</f>
        <v>50338.907800000001</v>
      </c>
      <c r="N3" s="19"/>
    </row>
    <row r="4" spans="1:16">
      <c r="A4" s="67">
        <v>1</v>
      </c>
      <c r="B4" s="314">
        <v>45689</v>
      </c>
      <c r="C4" s="176"/>
      <c r="D4" s="176"/>
      <c r="E4" s="124">
        <v>50</v>
      </c>
      <c r="F4" s="124">
        <v>88.89</v>
      </c>
      <c r="G4" s="248">
        <f>F4*E4</f>
        <v>4444.5</v>
      </c>
      <c r="H4" s="124">
        <v>0</v>
      </c>
      <c r="I4" s="124">
        <v>0</v>
      </c>
      <c r="J4" s="248">
        <f>H4*I4</f>
        <v>0</v>
      </c>
      <c r="K4" s="248">
        <f>G4+J4</f>
        <v>4444.5</v>
      </c>
      <c r="L4" s="176">
        <v>4444.5</v>
      </c>
      <c r="M4" s="248">
        <f>M3+K4-L4</f>
        <v>50338.907800000001</v>
      </c>
      <c r="N4" s="176"/>
    </row>
    <row r="5" spans="1:16">
      <c r="A5" s="67">
        <v>2</v>
      </c>
      <c r="B5" s="314">
        <v>45690</v>
      </c>
      <c r="C5" s="19"/>
      <c r="D5" s="19"/>
      <c r="E5" s="124">
        <v>0</v>
      </c>
      <c r="F5" s="124">
        <v>0</v>
      </c>
      <c r="G5" s="248">
        <f t="shared" ref="G5:G31" si="0">F5*E5</f>
        <v>0</v>
      </c>
      <c r="H5" s="124">
        <v>0</v>
      </c>
      <c r="I5" s="124">
        <v>0</v>
      </c>
      <c r="J5" s="248">
        <f t="shared" ref="J5:J31" si="1">H5*I5</f>
        <v>0</v>
      </c>
      <c r="K5" s="53">
        <f>G5+J5</f>
        <v>0</v>
      </c>
      <c r="L5" s="19"/>
      <c r="M5" s="248">
        <f t="shared" ref="M5:M31" si="2">M4+K5-L5</f>
        <v>50338.907800000001</v>
      </c>
      <c r="N5" s="19"/>
    </row>
    <row r="6" spans="1:16">
      <c r="A6" s="67">
        <v>3</v>
      </c>
      <c r="B6" s="314">
        <v>45691</v>
      </c>
      <c r="C6" s="19"/>
      <c r="D6" s="19"/>
      <c r="E6" s="124">
        <v>0</v>
      </c>
      <c r="F6" s="124">
        <v>0</v>
      </c>
      <c r="G6" s="248">
        <f t="shared" si="0"/>
        <v>0</v>
      </c>
      <c r="H6" s="124">
        <v>14.58</v>
      </c>
      <c r="I6" s="124">
        <v>102.77</v>
      </c>
      <c r="J6" s="248">
        <f t="shared" si="1"/>
        <v>1498.3866</v>
      </c>
      <c r="K6" s="53">
        <f>G6+J6</f>
        <v>1498.3866</v>
      </c>
      <c r="L6" s="19">
        <v>1498.39</v>
      </c>
      <c r="M6" s="248">
        <f t="shared" si="2"/>
        <v>50338.904399999999</v>
      </c>
      <c r="N6" s="19"/>
    </row>
    <row r="7" spans="1:16">
      <c r="A7" s="67">
        <v>4</v>
      </c>
      <c r="B7" s="306">
        <v>45692</v>
      </c>
      <c r="C7" s="19"/>
      <c r="D7" s="19"/>
      <c r="E7" s="124">
        <v>33.74</v>
      </c>
      <c r="F7" s="124">
        <v>88.89</v>
      </c>
      <c r="G7" s="248">
        <f t="shared" si="0"/>
        <v>2999.1486</v>
      </c>
      <c r="H7" s="124">
        <v>0</v>
      </c>
      <c r="I7" s="124">
        <v>0</v>
      </c>
      <c r="J7" s="248">
        <f t="shared" si="1"/>
        <v>0</v>
      </c>
      <c r="K7" s="53">
        <f>G7+J7</f>
        <v>2999.1486</v>
      </c>
      <c r="L7" s="19">
        <v>2999.15</v>
      </c>
      <c r="M7" s="248">
        <f t="shared" si="2"/>
        <v>50338.902999999998</v>
      </c>
      <c r="N7" s="19"/>
    </row>
    <row r="8" spans="1:16">
      <c r="A8" s="67">
        <v>5</v>
      </c>
      <c r="B8" s="306">
        <v>45693</v>
      </c>
      <c r="C8" s="19"/>
      <c r="D8" s="19"/>
      <c r="E8" s="124">
        <v>39.369999999999997</v>
      </c>
      <c r="F8" s="124">
        <v>88.89</v>
      </c>
      <c r="G8" s="248">
        <f t="shared" si="0"/>
        <v>3499.5992999999999</v>
      </c>
      <c r="H8" s="124">
        <v>0</v>
      </c>
      <c r="I8" s="124">
        <v>0</v>
      </c>
      <c r="J8" s="248">
        <f t="shared" si="1"/>
        <v>0</v>
      </c>
      <c r="K8" s="53">
        <f>G8+J8</f>
        <v>3499.5992999999999</v>
      </c>
      <c r="L8" s="19">
        <v>3499</v>
      </c>
      <c r="M8" s="248">
        <f t="shared" si="2"/>
        <v>50339.5023</v>
      </c>
      <c r="N8" s="19"/>
    </row>
    <row r="9" spans="1:16">
      <c r="A9" s="67">
        <v>6</v>
      </c>
      <c r="B9" s="306">
        <v>45694</v>
      </c>
      <c r="C9" s="19"/>
      <c r="D9" s="19"/>
      <c r="E9" s="137">
        <v>56.24</v>
      </c>
      <c r="F9" s="124">
        <v>88.89</v>
      </c>
      <c r="G9" s="248">
        <f t="shared" si="0"/>
        <v>4999.1736000000001</v>
      </c>
      <c r="H9" s="124">
        <v>0</v>
      </c>
      <c r="I9" s="124">
        <v>0</v>
      </c>
      <c r="J9" s="248">
        <f t="shared" si="1"/>
        <v>0</v>
      </c>
      <c r="K9" s="53">
        <f>G9+J9</f>
        <v>4999.1736000000001</v>
      </c>
      <c r="L9" s="19">
        <v>4999.17</v>
      </c>
      <c r="M9" s="248">
        <f t="shared" si="2"/>
        <v>50339.505900000004</v>
      </c>
      <c r="N9" s="19"/>
    </row>
    <row r="10" spans="1:16">
      <c r="A10" s="67">
        <v>7</v>
      </c>
      <c r="B10" s="306">
        <v>45695</v>
      </c>
      <c r="C10" s="19"/>
      <c r="D10" s="19"/>
      <c r="E10" s="137">
        <v>89.98</v>
      </c>
      <c r="F10" s="124">
        <v>88.89</v>
      </c>
      <c r="G10" s="248">
        <f t="shared" si="0"/>
        <v>7998.3222000000005</v>
      </c>
      <c r="H10" s="124">
        <v>0</v>
      </c>
      <c r="I10" s="124">
        <v>0</v>
      </c>
      <c r="J10" s="248">
        <f t="shared" si="1"/>
        <v>0</v>
      </c>
      <c r="K10" s="53">
        <f>G10+J10</f>
        <v>7998.3222000000005</v>
      </c>
      <c r="L10" s="19">
        <v>7998.32</v>
      </c>
      <c r="M10" s="248">
        <f t="shared" si="2"/>
        <v>50339.508100000006</v>
      </c>
      <c r="N10" s="19"/>
    </row>
    <row r="11" spans="1:16">
      <c r="A11" s="67">
        <v>8</v>
      </c>
      <c r="B11" s="306">
        <v>45696</v>
      </c>
      <c r="C11" s="19"/>
      <c r="D11" s="19"/>
      <c r="E11" s="124">
        <v>101.22</v>
      </c>
      <c r="F11" s="124">
        <v>88.89</v>
      </c>
      <c r="G11" s="248">
        <f t="shared" si="0"/>
        <v>8997.4457999999995</v>
      </c>
      <c r="H11" s="124">
        <v>0</v>
      </c>
      <c r="I11" s="124">
        <v>0</v>
      </c>
      <c r="J11" s="248">
        <f t="shared" si="1"/>
        <v>0</v>
      </c>
      <c r="K11" s="53">
        <f>G11+J11</f>
        <v>8997.4457999999995</v>
      </c>
      <c r="L11" s="19">
        <v>8997.4500000000007</v>
      </c>
      <c r="M11" s="248">
        <f t="shared" si="2"/>
        <v>50339.503900000011</v>
      </c>
      <c r="N11" s="19"/>
    </row>
    <row r="12" spans="1:16">
      <c r="A12" s="67">
        <v>9</v>
      </c>
      <c r="B12" s="306">
        <v>45697</v>
      </c>
      <c r="C12" s="19"/>
      <c r="D12" s="19"/>
      <c r="E12" s="124">
        <v>0</v>
      </c>
      <c r="F12" s="124">
        <v>88.89</v>
      </c>
      <c r="G12" s="248">
        <f t="shared" si="0"/>
        <v>0</v>
      </c>
      <c r="H12" s="124">
        <v>9.27</v>
      </c>
      <c r="I12" s="124">
        <v>102.77</v>
      </c>
      <c r="J12" s="248">
        <f t="shared" si="1"/>
        <v>952.67789999999991</v>
      </c>
      <c r="K12" s="53">
        <f>G12+J12</f>
        <v>952.67789999999991</v>
      </c>
      <c r="L12" s="19">
        <v>952.68</v>
      </c>
      <c r="M12" s="248">
        <f t="shared" si="2"/>
        <v>50339.501800000013</v>
      </c>
      <c r="N12" s="19"/>
      <c r="P12">
        <f>4999.17+50339.51</f>
        <v>55338.68</v>
      </c>
    </row>
    <row r="13" spans="1:16">
      <c r="A13" s="67">
        <v>10</v>
      </c>
      <c r="B13" s="306">
        <v>45698</v>
      </c>
      <c r="C13" s="19"/>
      <c r="D13" s="19"/>
      <c r="E13" s="124">
        <v>39.369999999999997</v>
      </c>
      <c r="F13" s="124">
        <v>88.89</v>
      </c>
      <c r="G13" s="248">
        <f t="shared" si="0"/>
        <v>3499.5992999999999</v>
      </c>
      <c r="H13" s="124">
        <v>0</v>
      </c>
      <c r="I13" s="124">
        <v>0</v>
      </c>
      <c r="J13" s="248">
        <f t="shared" si="1"/>
        <v>0</v>
      </c>
      <c r="K13" s="53">
        <f>G13+J13</f>
        <v>3499.5992999999999</v>
      </c>
      <c r="L13" s="19">
        <v>3499.6</v>
      </c>
      <c r="M13" s="248">
        <f t="shared" si="2"/>
        <v>50339.501100000016</v>
      </c>
      <c r="N13" s="19"/>
    </row>
    <row r="14" spans="1:16">
      <c r="A14" s="67">
        <v>11</v>
      </c>
      <c r="B14" s="306">
        <v>45699</v>
      </c>
      <c r="C14" s="19"/>
      <c r="D14" s="19"/>
      <c r="E14" s="124">
        <v>56.24</v>
      </c>
      <c r="F14" s="124">
        <v>88.89</v>
      </c>
      <c r="G14" s="248">
        <f t="shared" si="0"/>
        <v>4999.1736000000001</v>
      </c>
      <c r="H14" s="124">
        <v>0</v>
      </c>
      <c r="I14" s="124">
        <v>0</v>
      </c>
      <c r="J14" s="248">
        <f t="shared" si="1"/>
        <v>0</v>
      </c>
      <c r="K14" s="53">
        <f>G14+J14</f>
        <v>4999.1736000000001</v>
      </c>
      <c r="L14" s="19">
        <v>55338.68</v>
      </c>
      <c r="M14" s="248">
        <f>M13+K14-L14</f>
        <v>-5.2999999825260602E-3</v>
      </c>
      <c r="N14" s="19"/>
    </row>
    <row r="15" spans="1:16">
      <c r="A15" s="67">
        <v>12</v>
      </c>
      <c r="B15" s="306">
        <v>45700</v>
      </c>
      <c r="C15" s="19"/>
      <c r="D15" s="19"/>
      <c r="E15" s="124">
        <v>0</v>
      </c>
      <c r="F15" s="124">
        <v>88.89</v>
      </c>
      <c r="G15" s="248">
        <f t="shared" si="0"/>
        <v>0</v>
      </c>
      <c r="H15" s="124">
        <v>0</v>
      </c>
      <c r="I15" s="124">
        <v>0</v>
      </c>
      <c r="J15" s="248">
        <f t="shared" si="1"/>
        <v>0</v>
      </c>
      <c r="K15" s="53">
        <f>G15+J15</f>
        <v>0</v>
      </c>
      <c r="L15" s="125"/>
      <c r="M15" s="248">
        <f t="shared" si="2"/>
        <v>-5.2999999825260602E-3</v>
      </c>
      <c r="N15" s="19"/>
    </row>
    <row r="16" spans="1:16">
      <c r="A16" s="67">
        <v>13</v>
      </c>
      <c r="B16" s="306">
        <v>45701</v>
      </c>
      <c r="C16" s="19"/>
      <c r="D16" s="19"/>
      <c r="E16" s="124">
        <v>33.74</v>
      </c>
      <c r="F16" s="124">
        <v>88.89</v>
      </c>
      <c r="G16" s="248">
        <f t="shared" si="0"/>
        <v>2999.1486</v>
      </c>
      <c r="H16" s="124">
        <v>9.7200000000000006</v>
      </c>
      <c r="I16" s="124">
        <v>102.77</v>
      </c>
      <c r="J16" s="248">
        <f t="shared" si="1"/>
        <v>998.92439999999999</v>
      </c>
      <c r="K16" s="53">
        <f>G16+J16</f>
        <v>3998.0729999999999</v>
      </c>
      <c r="L16" s="19">
        <v>3998.07</v>
      </c>
      <c r="M16" s="248">
        <f t="shared" si="2"/>
        <v>-2.2999999828243745E-3</v>
      </c>
      <c r="N16" s="19"/>
    </row>
    <row r="17" spans="1:14">
      <c r="A17" s="67">
        <v>14</v>
      </c>
      <c r="B17" s="306">
        <v>45702</v>
      </c>
      <c r="C17" s="19"/>
      <c r="D17" s="19"/>
      <c r="E17" s="124">
        <v>112.48</v>
      </c>
      <c r="F17" s="124">
        <v>88.89</v>
      </c>
      <c r="G17" s="248">
        <f t="shared" si="0"/>
        <v>9998.3472000000002</v>
      </c>
      <c r="H17" s="124">
        <v>0</v>
      </c>
      <c r="I17" s="124">
        <v>0</v>
      </c>
      <c r="J17" s="248">
        <f t="shared" si="1"/>
        <v>0</v>
      </c>
      <c r="K17" s="53">
        <f>G17+J17</f>
        <v>9998.3472000000002</v>
      </c>
      <c r="L17" s="19">
        <v>9998.35</v>
      </c>
      <c r="M17" s="248">
        <f t="shared" si="2"/>
        <v>-5.099999982121517E-3</v>
      </c>
      <c r="N17" s="19"/>
    </row>
    <row r="18" spans="1:14">
      <c r="A18" s="67">
        <v>15</v>
      </c>
      <c r="B18" s="306">
        <v>45703</v>
      </c>
      <c r="C18" s="19"/>
      <c r="D18" s="19"/>
      <c r="E18" s="124">
        <v>0</v>
      </c>
      <c r="F18" s="124">
        <v>88.89</v>
      </c>
      <c r="G18" s="248">
        <f t="shared" si="0"/>
        <v>0</v>
      </c>
      <c r="H18" s="124">
        <v>0</v>
      </c>
      <c r="I18" s="124">
        <v>0</v>
      </c>
      <c r="J18" s="248">
        <f t="shared" si="1"/>
        <v>0</v>
      </c>
      <c r="K18" s="53">
        <f>G18+J18</f>
        <v>0</v>
      </c>
      <c r="L18" s="19"/>
      <c r="M18" s="248">
        <f t="shared" si="2"/>
        <v>-5.099999982121517E-3</v>
      </c>
      <c r="N18" s="19"/>
    </row>
    <row r="19" spans="1:14">
      <c r="A19" s="67">
        <v>16</v>
      </c>
      <c r="B19" s="306">
        <v>45704</v>
      </c>
      <c r="C19" s="19"/>
      <c r="D19" s="19"/>
      <c r="E19" s="124">
        <v>0</v>
      </c>
      <c r="F19" s="124">
        <v>88.89</v>
      </c>
      <c r="G19" s="248">
        <f t="shared" si="0"/>
        <v>0</v>
      </c>
      <c r="H19" s="124">
        <v>4.8600000000000003</v>
      </c>
      <c r="I19" s="124">
        <v>102.77</v>
      </c>
      <c r="J19" s="248">
        <f t="shared" si="1"/>
        <v>499.4622</v>
      </c>
      <c r="K19" s="53">
        <f>G19+J19</f>
        <v>499.4622</v>
      </c>
      <c r="L19" s="19">
        <v>499.46</v>
      </c>
      <c r="M19" s="248">
        <f t="shared" si="2"/>
        <v>-2.8999999821053279E-3</v>
      </c>
      <c r="N19" s="19"/>
    </row>
    <row r="20" spans="1:14">
      <c r="A20" s="67">
        <v>17</v>
      </c>
      <c r="B20" s="306">
        <v>45705</v>
      </c>
      <c r="C20" s="19"/>
      <c r="D20" s="19"/>
      <c r="E20" s="124">
        <v>33.74</v>
      </c>
      <c r="F20" s="124">
        <v>88.89</v>
      </c>
      <c r="G20" s="248">
        <f t="shared" si="0"/>
        <v>2999.1486</v>
      </c>
      <c r="H20" s="124">
        <v>4.8600000000000003</v>
      </c>
      <c r="I20" s="124">
        <v>102.77</v>
      </c>
      <c r="J20" s="248">
        <f t="shared" si="1"/>
        <v>499.4622</v>
      </c>
      <c r="K20" s="53">
        <f>G20+J20</f>
        <v>3498.6107999999999</v>
      </c>
      <c r="L20" s="19">
        <v>3498.61</v>
      </c>
      <c r="M20" s="248">
        <f t="shared" si="2"/>
        <v>-2.0999999824198312E-3</v>
      </c>
      <c r="N20" s="19"/>
    </row>
    <row r="21" spans="1:14">
      <c r="A21" s="67">
        <v>18</v>
      </c>
      <c r="B21" s="306">
        <v>45706</v>
      </c>
      <c r="C21" s="19"/>
      <c r="D21" s="19"/>
      <c r="E21" s="124">
        <v>67.489999999999995</v>
      </c>
      <c r="F21" s="124">
        <v>88.89</v>
      </c>
      <c r="G21" s="248">
        <f t="shared" si="0"/>
        <v>5999.1860999999999</v>
      </c>
      <c r="H21" s="124">
        <v>0</v>
      </c>
      <c r="I21" s="124">
        <v>0</v>
      </c>
      <c r="J21" s="248">
        <f t="shared" si="1"/>
        <v>0</v>
      </c>
      <c r="K21" s="53">
        <f>G21+J21</f>
        <v>5999.1860999999999</v>
      </c>
      <c r="L21" s="19">
        <v>5999.19</v>
      </c>
      <c r="M21" s="248">
        <f t="shared" si="2"/>
        <v>-5.9999999821229721E-3</v>
      </c>
      <c r="N21" s="19"/>
    </row>
    <row r="22" spans="1:14">
      <c r="A22" s="67">
        <v>19</v>
      </c>
      <c r="B22" s="306">
        <v>45707</v>
      </c>
      <c r="C22" s="19"/>
      <c r="D22" s="19"/>
      <c r="E22" s="124">
        <v>101.22</v>
      </c>
      <c r="F22" s="124">
        <v>88.89</v>
      </c>
      <c r="G22" s="248">
        <f t="shared" si="0"/>
        <v>8997.4457999999995</v>
      </c>
      <c r="H22" s="124">
        <v>0</v>
      </c>
      <c r="I22" s="124">
        <v>0</v>
      </c>
      <c r="J22" s="248">
        <f t="shared" si="1"/>
        <v>0</v>
      </c>
      <c r="K22" s="53">
        <f>G22+J22</f>
        <v>8997.4457999999995</v>
      </c>
      <c r="L22" s="53">
        <f>H22+K22</f>
        <v>8997.4457999999995</v>
      </c>
      <c r="M22" s="248">
        <f t="shared" si="2"/>
        <v>-5.9999999812134774E-3</v>
      </c>
      <c r="N22" s="19"/>
    </row>
    <row r="23" spans="1:14">
      <c r="A23" s="67">
        <v>20</v>
      </c>
      <c r="B23" s="306">
        <v>45708</v>
      </c>
      <c r="C23" s="19"/>
      <c r="D23" s="19"/>
      <c r="E23" s="124">
        <v>134.97</v>
      </c>
      <c r="F23" s="124">
        <v>88.89</v>
      </c>
      <c r="G23" s="248">
        <f t="shared" si="0"/>
        <v>11997.4833</v>
      </c>
      <c r="H23" s="124">
        <v>0</v>
      </c>
      <c r="I23" s="124">
        <v>0</v>
      </c>
      <c r="J23" s="248">
        <f t="shared" si="1"/>
        <v>0</v>
      </c>
      <c r="K23" s="53">
        <f>G23+J23</f>
        <v>11997.4833</v>
      </c>
      <c r="L23" s="19">
        <v>11997.48</v>
      </c>
      <c r="M23" s="248">
        <f t="shared" si="2"/>
        <v>-2.6999999809049768E-3</v>
      </c>
      <c r="N23" s="19"/>
    </row>
    <row r="24" spans="1:14">
      <c r="A24" s="67">
        <v>21</v>
      </c>
      <c r="B24" s="306">
        <v>45709</v>
      </c>
      <c r="C24" s="19"/>
      <c r="D24" s="19"/>
      <c r="E24" s="124">
        <v>0</v>
      </c>
      <c r="F24" s="124">
        <v>0</v>
      </c>
      <c r="G24" s="248">
        <f t="shared" si="0"/>
        <v>0</v>
      </c>
      <c r="H24" s="124">
        <v>4.8600000000000003</v>
      </c>
      <c r="I24" s="124">
        <v>102.77</v>
      </c>
      <c r="J24" s="248">
        <f t="shared" si="1"/>
        <v>499.4622</v>
      </c>
      <c r="K24" s="53">
        <f>G24+J24</f>
        <v>499.4622</v>
      </c>
      <c r="L24" s="19">
        <v>499.46</v>
      </c>
      <c r="M24" s="248">
        <f t="shared" si="2"/>
        <v>-4.9999998088878783E-4</v>
      </c>
      <c r="N24" s="19"/>
    </row>
    <row r="25" spans="1:14">
      <c r="A25" s="67">
        <v>22</v>
      </c>
      <c r="B25" s="306">
        <v>45710</v>
      </c>
      <c r="C25" s="19"/>
      <c r="D25" s="19"/>
      <c r="E25" s="124">
        <v>111.57</v>
      </c>
      <c r="F25" s="124">
        <v>88.89</v>
      </c>
      <c r="G25" s="248">
        <f t="shared" si="0"/>
        <v>9917.4573</v>
      </c>
      <c r="H25" s="124">
        <v>9.7200000000000006</v>
      </c>
      <c r="I25" s="124">
        <v>102.77</v>
      </c>
      <c r="J25" s="248">
        <f t="shared" si="1"/>
        <v>998.92439999999999</v>
      </c>
      <c r="K25" s="53">
        <f>G25+J25</f>
        <v>10916.3817</v>
      </c>
      <c r="L25" s="53">
        <v>10916.3817</v>
      </c>
      <c r="M25" s="248">
        <f t="shared" si="2"/>
        <v>-4.9999998009297997E-4</v>
      </c>
      <c r="N25" s="19"/>
    </row>
    <row r="26" spans="1:14">
      <c r="A26" s="67">
        <v>23</v>
      </c>
      <c r="B26" s="306">
        <v>45711</v>
      </c>
      <c r="C26" s="19"/>
      <c r="D26" s="19"/>
      <c r="E26" s="124">
        <v>0</v>
      </c>
      <c r="F26" s="124">
        <v>0</v>
      </c>
      <c r="G26" s="248">
        <f t="shared" si="0"/>
        <v>0</v>
      </c>
      <c r="H26" s="124">
        <v>0</v>
      </c>
      <c r="I26" s="124">
        <v>0</v>
      </c>
      <c r="J26" s="248">
        <f t="shared" si="1"/>
        <v>0</v>
      </c>
      <c r="K26" s="53">
        <f>G26+J26</f>
        <v>0</v>
      </c>
      <c r="L26" s="19"/>
      <c r="M26" s="248">
        <f t="shared" si="2"/>
        <v>-4.9999998009297997E-4</v>
      </c>
      <c r="N26" s="19"/>
    </row>
    <row r="27" spans="1:14">
      <c r="A27" s="67">
        <v>24</v>
      </c>
      <c r="B27" s="306">
        <v>45712</v>
      </c>
      <c r="C27" s="19"/>
      <c r="D27" s="19"/>
      <c r="E27" s="124">
        <v>33.74</v>
      </c>
      <c r="F27" s="124">
        <v>88.89</v>
      </c>
      <c r="G27" s="248">
        <f t="shared" si="0"/>
        <v>2999.1486</v>
      </c>
      <c r="H27" s="124">
        <v>0</v>
      </c>
      <c r="I27" s="124">
        <v>0</v>
      </c>
      <c r="J27" s="248">
        <f t="shared" si="1"/>
        <v>0</v>
      </c>
      <c r="K27" s="53">
        <f t="shared" ref="K27:K31" si="3">G27+J27</f>
        <v>2999.1486</v>
      </c>
      <c r="L27" s="19">
        <v>2999.15</v>
      </c>
      <c r="M27" s="248">
        <f t="shared" si="2"/>
        <v>-1.8999999801962986E-3</v>
      </c>
      <c r="N27" s="19"/>
    </row>
    <row r="28" spans="1:14">
      <c r="A28" s="67">
        <v>25</v>
      </c>
      <c r="B28" s="306">
        <v>45713</v>
      </c>
      <c r="C28" s="19"/>
      <c r="D28" s="19"/>
      <c r="E28" s="124">
        <v>67.48</v>
      </c>
      <c r="F28" s="124">
        <v>88.89</v>
      </c>
      <c r="G28" s="248">
        <f t="shared" si="0"/>
        <v>5998.2972</v>
      </c>
      <c r="H28" s="124">
        <v>0</v>
      </c>
      <c r="I28" s="124">
        <v>0</v>
      </c>
      <c r="J28" s="248">
        <f t="shared" si="1"/>
        <v>0</v>
      </c>
      <c r="K28" s="53">
        <f t="shared" si="3"/>
        <v>5998.2972</v>
      </c>
      <c r="L28" s="19">
        <v>5998.3</v>
      </c>
      <c r="M28" s="248">
        <f t="shared" si="2"/>
        <v>-4.6999999804029358E-3</v>
      </c>
      <c r="N28" s="19"/>
    </row>
    <row r="29" spans="1:14">
      <c r="A29" s="67">
        <v>26</v>
      </c>
      <c r="B29" s="306">
        <v>45714</v>
      </c>
      <c r="C29" s="19"/>
      <c r="D29" s="19"/>
      <c r="E29" s="124">
        <v>0</v>
      </c>
      <c r="F29" s="124">
        <v>0</v>
      </c>
      <c r="G29" s="248">
        <f t="shared" si="0"/>
        <v>0</v>
      </c>
      <c r="H29" s="124">
        <v>0</v>
      </c>
      <c r="I29" s="124">
        <v>0</v>
      </c>
      <c r="J29" s="248">
        <f t="shared" si="1"/>
        <v>0</v>
      </c>
      <c r="K29" s="53">
        <f t="shared" si="3"/>
        <v>0</v>
      </c>
      <c r="L29" s="19"/>
      <c r="M29" s="248">
        <f t="shared" si="2"/>
        <v>-4.6999999804029358E-3</v>
      </c>
      <c r="N29" s="19"/>
    </row>
    <row r="30" spans="1:14">
      <c r="A30" s="67">
        <v>27</v>
      </c>
      <c r="B30" s="306">
        <v>45715</v>
      </c>
      <c r="C30" s="19"/>
      <c r="D30" s="19"/>
      <c r="E30" s="124">
        <v>59.62</v>
      </c>
      <c r="F30" s="124">
        <v>88.89</v>
      </c>
      <c r="G30" s="248">
        <f t="shared" si="0"/>
        <v>5299.6217999999999</v>
      </c>
      <c r="H30" s="124">
        <v>4.87</v>
      </c>
      <c r="I30" s="124">
        <v>102.77</v>
      </c>
      <c r="J30" s="248">
        <f t="shared" si="1"/>
        <v>500.48989999999998</v>
      </c>
      <c r="K30" s="53">
        <f t="shared" si="3"/>
        <v>5800.1116999999995</v>
      </c>
      <c r="L30" s="19">
        <v>5800.11</v>
      </c>
      <c r="M30" s="248">
        <f t="shared" si="2"/>
        <v>-2.999999980602297E-3</v>
      </c>
      <c r="N30" s="19"/>
    </row>
    <row r="31" spans="1:14">
      <c r="A31" s="67">
        <v>28</v>
      </c>
      <c r="B31" s="306">
        <v>45716</v>
      </c>
      <c r="C31" s="19"/>
      <c r="D31" s="19"/>
      <c r="E31" s="124">
        <v>33.74</v>
      </c>
      <c r="F31" s="124">
        <v>88.89</v>
      </c>
      <c r="G31" s="248">
        <f t="shared" si="0"/>
        <v>2999.1486</v>
      </c>
      <c r="H31" s="124">
        <v>0</v>
      </c>
      <c r="I31" s="124">
        <v>0</v>
      </c>
      <c r="J31" s="248">
        <f t="shared" si="1"/>
        <v>0</v>
      </c>
      <c r="K31" s="53">
        <f t="shared" si="3"/>
        <v>2999.1486</v>
      </c>
      <c r="L31" s="19">
        <v>2999.15</v>
      </c>
      <c r="M31" s="248">
        <f t="shared" si="2"/>
        <v>-4.3999999807056156E-3</v>
      </c>
      <c r="N31" s="19"/>
    </row>
    <row r="32" spans="1:14">
      <c r="A32" s="63"/>
      <c r="B32" s="63"/>
      <c r="C32" s="63"/>
      <c r="D32" s="63"/>
      <c r="E32" s="63">
        <f>SUM(E4:E31)</f>
        <v>1255.95</v>
      </c>
      <c r="F32" s="63"/>
      <c r="G32" s="63">
        <f>SUM(G4:G31)</f>
        <v>111641.3955</v>
      </c>
      <c r="H32" s="63">
        <f>SUM(H4:H31)</f>
        <v>62.739999999999995</v>
      </c>
      <c r="I32" s="63"/>
      <c r="J32" s="63">
        <f>SUM(J4:J31)</f>
        <v>6447.7897999999996</v>
      </c>
      <c r="K32" s="63">
        <f>SUM(K4:K31)</f>
        <v>118089.18530000001</v>
      </c>
      <c r="L32" s="63">
        <f>SUM(L4:L31)</f>
        <v>168428.09749999997</v>
      </c>
      <c r="M32" s="63"/>
      <c r="N32" s="63"/>
    </row>
    <row r="35" spans="11:11">
      <c r="K35">
        <v>118162.8</v>
      </c>
    </row>
    <row r="36" spans="11:11">
      <c r="K36" s="24">
        <f>K35-K32</f>
        <v>73.614699999990989</v>
      </c>
    </row>
  </sheetData>
  <mergeCells count="1">
    <mergeCell ref="A1:N1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28F-3061-4216-B142-B3435378C836}">
  <sheetPr>
    <tabColor rgb="FF002060"/>
  </sheetPr>
  <dimension ref="A1:O49"/>
  <sheetViews>
    <sheetView workbookViewId="0">
      <pane ySplit="2" topLeftCell="A15" activePane="bottomLeft" state="frozen"/>
      <selection pane="bottomLeft" activeCell="P34" sqref="P34"/>
    </sheetView>
  </sheetViews>
  <sheetFormatPr defaultRowHeight="15"/>
  <cols>
    <col min="1" max="1" width="6.140625" bestFit="1" customWidth="1"/>
    <col min="2" max="2" width="11.85546875" style="106" bestFit="1" customWidth="1"/>
    <col min="3" max="3" width="8.140625" bestFit="1" customWidth="1"/>
    <col min="4" max="4" width="16" bestFit="1" customWidth="1"/>
    <col min="5" max="5" width="10.85546875" bestFit="1" customWidth="1"/>
    <col min="6" max="6" width="11.85546875" bestFit="1" customWidth="1"/>
    <col min="7" max="7" width="11.85546875" style="264" bestFit="1" customWidth="1"/>
    <col min="8" max="8" width="10.85546875" bestFit="1" customWidth="1"/>
    <col min="9" max="9" width="8.140625" bestFit="1" customWidth="1"/>
    <col min="10" max="10" width="10.85546875" style="264" bestFit="1" customWidth="1"/>
    <col min="11" max="11" width="13.85546875" style="106" bestFit="1" customWidth="1"/>
    <col min="12" max="12" width="12.7109375" style="106" bestFit="1" customWidth="1"/>
    <col min="13" max="13" width="12.7109375" style="106" customWidth="1"/>
    <col min="14" max="14" width="14.140625" bestFit="1" customWidth="1"/>
    <col min="15" max="15" width="10.42578125" customWidth="1"/>
    <col min="19" max="19" width="10" bestFit="1" customWidth="1"/>
  </cols>
  <sheetData>
    <row r="1" spans="1:15" ht="15.75">
      <c r="A1" s="420" t="s">
        <v>122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77"/>
    </row>
    <row r="2" spans="1:15">
      <c r="A2" s="78" t="s">
        <v>1</v>
      </c>
      <c r="B2" s="79" t="s">
        <v>2</v>
      </c>
      <c r="C2" s="79" t="s">
        <v>3</v>
      </c>
      <c r="D2" s="79" t="s">
        <v>4</v>
      </c>
      <c r="E2" s="131" t="s">
        <v>5</v>
      </c>
      <c r="F2" s="131" t="s">
        <v>6</v>
      </c>
      <c r="G2" s="257" t="s">
        <v>7</v>
      </c>
      <c r="H2" s="131" t="s">
        <v>8</v>
      </c>
      <c r="I2" s="131" t="s">
        <v>6</v>
      </c>
      <c r="J2" s="265" t="s">
        <v>7</v>
      </c>
      <c r="K2" s="132" t="s">
        <v>9</v>
      </c>
      <c r="L2" s="178" t="s">
        <v>10</v>
      </c>
      <c r="M2" s="183" t="s">
        <v>11</v>
      </c>
      <c r="N2" s="133" t="s">
        <v>12</v>
      </c>
      <c r="O2" s="84"/>
    </row>
    <row r="3" spans="1:15">
      <c r="A3" s="385"/>
      <c r="B3"/>
      <c r="D3" s="129" t="s">
        <v>13</v>
      </c>
      <c r="E3" s="19"/>
      <c r="F3" s="19"/>
      <c r="G3" s="258"/>
      <c r="H3" s="19"/>
      <c r="I3" s="19"/>
      <c r="J3" s="258"/>
      <c r="K3" s="13">
        <v>428494.06219999987</v>
      </c>
      <c r="L3" s="19"/>
      <c r="M3" s="141">
        <f>+K3</f>
        <v>428494.06219999987</v>
      </c>
      <c r="N3" s="19"/>
      <c r="O3" s="84"/>
    </row>
    <row r="4" spans="1:15">
      <c r="A4" s="67">
        <v>1</v>
      </c>
      <c r="B4" s="314">
        <v>45689</v>
      </c>
      <c r="C4" s="11"/>
      <c r="D4" s="12"/>
      <c r="E4" s="15">
        <v>30</v>
      </c>
      <c r="F4" s="15">
        <v>89.49</v>
      </c>
      <c r="G4" s="259">
        <f>E4*F4</f>
        <v>2684.7</v>
      </c>
      <c r="H4" s="180">
        <v>6</v>
      </c>
      <c r="I4" s="180">
        <v>103.42</v>
      </c>
      <c r="J4" s="266">
        <f>H4*I4</f>
        <v>620.52</v>
      </c>
      <c r="K4" s="22">
        <f>G4+J4</f>
        <v>3305.22</v>
      </c>
      <c r="L4" s="255">
        <v>0</v>
      </c>
      <c r="M4" s="181">
        <f>M3+K4-L4</f>
        <v>431799.28219999984</v>
      </c>
      <c r="N4" s="182"/>
      <c r="O4" s="96"/>
    </row>
    <row r="5" spans="1:15">
      <c r="A5" s="67">
        <v>2</v>
      </c>
      <c r="B5" s="314">
        <v>45690</v>
      </c>
      <c r="C5" s="333"/>
      <c r="D5" s="333"/>
      <c r="E5" s="15">
        <v>0</v>
      </c>
      <c r="F5" s="15">
        <v>89.49</v>
      </c>
      <c r="G5" s="259">
        <f t="shared" ref="G5:G32" si="0">E5*F5</f>
        <v>0</v>
      </c>
      <c r="H5" s="180">
        <v>0</v>
      </c>
      <c r="I5" s="180">
        <v>0</v>
      </c>
      <c r="J5" s="266">
        <f t="shared" ref="J5:J32" si="1">H5*I5</f>
        <v>0</v>
      </c>
      <c r="K5" s="330">
        <f t="shared" ref="K5:K32" si="2">G5+J5</f>
        <v>0</v>
      </c>
      <c r="L5" s="93"/>
      <c r="M5" s="331">
        <f>M4+K5-L5</f>
        <v>431799.28219999984</v>
      </c>
      <c r="N5" s="14"/>
      <c r="O5" s="96"/>
    </row>
    <row r="6" spans="1:15">
      <c r="A6" s="67">
        <v>3</v>
      </c>
      <c r="B6" s="314">
        <v>45691</v>
      </c>
      <c r="C6" s="92"/>
      <c r="D6" s="92"/>
      <c r="E6" s="242">
        <v>760.07</v>
      </c>
      <c r="F6" s="15">
        <v>89.49</v>
      </c>
      <c r="G6" s="259">
        <f t="shared" si="0"/>
        <v>68018.664300000004</v>
      </c>
      <c r="H6" s="180">
        <v>6</v>
      </c>
      <c r="I6" s="180">
        <v>103.42</v>
      </c>
      <c r="J6" s="266">
        <f t="shared" si="1"/>
        <v>620.52</v>
      </c>
      <c r="K6" s="330">
        <f>G6+J6</f>
        <v>68639.184300000008</v>
      </c>
      <c r="L6" s="93"/>
      <c r="M6" s="332">
        <f>M5+K6-L6</f>
        <v>500438.46649999986</v>
      </c>
      <c r="N6" s="55"/>
      <c r="O6" s="96"/>
    </row>
    <row r="7" spans="1:15">
      <c r="A7" s="67"/>
      <c r="B7" s="314">
        <v>45691</v>
      </c>
      <c r="C7" s="92"/>
      <c r="D7" s="92"/>
      <c r="E7" s="242">
        <v>0</v>
      </c>
      <c r="F7" s="15">
        <v>89.49</v>
      </c>
      <c r="G7" s="259">
        <f t="shared" si="0"/>
        <v>0</v>
      </c>
      <c r="H7" s="180">
        <v>5</v>
      </c>
      <c r="I7" s="180">
        <v>110.93</v>
      </c>
      <c r="J7" s="266">
        <f t="shared" si="1"/>
        <v>554.65000000000009</v>
      </c>
      <c r="K7" s="330">
        <f>G7+J7</f>
        <v>554.65000000000009</v>
      </c>
      <c r="L7" s="93"/>
      <c r="M7" s="332">
        <f t="shared" ref="M7:M32" si="3">M6+K7-L7</f>
        <v>500993.11649999989</v>
      </c>
      <c r="N7" s="55"/>
      <c r="O7" s="96"/>
    </row>
    <row r="8" spans="1:15">
      <c r="A8" s="67">
        <v>4</v>
      </c>
      <c r="B8" s="306">
        <v>45692</v>
      </c>
      <c r="C8" s="92"/>
      <c r="D8" s="99"/>
      <c r="E8" s="242">
        <v>130</v>
      </c>
      <c r="F8" s="15">
        <v>89.49</v>
      </c>
      <c r="G8" s="259">
        <f t="shared" si="0"/>
        <v>11633.699999999999</v>
      </c>
      <c r="H8" s="180">
        <v>11</v>
      </c>
      <c r="I8" s="180">
        <v>110.93</v>
      </c>
      <c r="J8" s="266">
        <f t="shared" si="1"/>
        <v>1220.23</v>
      </c>
      <c r="K8" s="330">
        <f>G8+J8</f>
        <v>12853.929999999998</v>
      </c>
      <c r="L8" s="8"/>
      <c r="M8" s="331">
        <f t="shared" si="3"/>
        <v>513847.04649999988</v>
      </c>
      <c r="N8" s="326"/>
      <c r="O8" s="96"/>
    </row>
    <row r="9" spans="1:15">
      <c r="A9" s="67">
        <v>5</v>
      </c>
      <c r="B9" s="306">
        <v>45693</v>
      </c>
      <c r="C9" s="334"/>
      <c r="D9" s="335"/>
      <c r="E9" s="15">
        <v>1015.24</v>
      </c>
      <c r="F9" s="15">
        <v>89.49</v>
      </c>
      <c r="G9" s="259">
        <f t="shared" si="0"/>
        <v>90853.82759999999</v>
      </c>
      <c r="H9" s="180">
        <v>11</v>
      </c>
      <c r="I9" s="180">
        <v>103.42</v>
      </c>
      <c r="J9" s="266">
        <f t="shared" si="1"/>
        <v>1137.6200000000001</v>
      </c>
      <c r="K9" s="330">
        <f t="shared" si="2"/>
        <v>91991.447599999985</v>
      </c>
      <c r="L9" s="8">
        <v>428494.06</v>
      </c>
      <c r="M9" s="331">
        <f t="shared" si="3"/>
        <v>177344.4340999999</v>
      </c>
      <c r="N9" s="55"/>
      <c r="O9" s="96"/>
    </row>
    <row r="10" spans="1:15">
      <c r="A10" s="67">
        <v>6</v>
      </c>
      <c r="B10" s="306">
        <v>45694</v>
      </c>
      <c r="C10" s="98"/>
      <c r="D10" s="99"/>
      <c r="E10" s="15">
        <v>777.93</v>
      </c>
      <c r="F10" s="15">
        <v>89.49</v>
      </c>
      <c r="G10" s="259">
        <f t="shared" si="0"/>
        <v>69616.955699999991</v>
      </c>
      <c r="H10" s="180">
        <v>5</v>
      </c>
      <c r="I10" s="180">
        <v>103.42</v>
      </c>
      <c r="J10" s="266">
        <f t="shared" si="1"/>
        <v>517.1</v>
      </c>
      <c r="K10" s="22">
        <f t="shared" si="2"/>
        <v>70134.055699999997</v>
      </c>
      <c r="L10" s="21"/>
      <c r="M10" s="181">
        <f t="shared" si="3"/>
        <v>247478.48979999989</v>
      </c>
      <c r="N10" s="55"/>
      <c r="O10" s="96"/>
    </row>
    <row r="11" spans="1:15">
      <c r="A11" s="67">
        <v>7</v>
      </c>
      <c r="B11" s="306">
        <v>45695</v>
      </c>
      <c r="C11" s="98"/>
      <c r="D11" s="99"/>
      <c r="E11" s="15">
        <v>200</v>
      </c>
      <c r="F11" s="15">
        <v>89.49</v>
      </c>
      <c r="G11" s="259">
        <f t="shared" si="0"/>
        <v>17898</v>
      </c>
      <c r="H11" s="180">
        <v>11</v>
      </c>
      <c r="I11" s="180">
        <v>103.42</v>
      </c>
      <c r="J11" s="266">
        <f t="shared" si="1"/>
        <v>1137.6200000000001</v>
      </c>
      <c r="K11" s="22">
        <f t="shared" si="2"/>
        <v>19035.62</v>
      </c>
      <c r="L11" s="8"/>
      <c r="M11" s="181">
        <f t="shared" si="3"/>
        <v>266514.10979999992</v>
      </c>
      <c r="N11" s="55"/>
      <c r="O11" s="96"/>
    </row>
    <row r="12" spans="1:15">
      <c r="A12" s="67">
        <v>8</v>
      </c>
      <c r="B12" s="306">
        <v>45696</v>
      </c>
      <c r="C12" s="98"/>
      <c r="D12" s="99"/>
      <c r="E12" s="15">
        <v>193.57</v>
      </c>
      <c r="F12" s="15">
        <v>89.49</v>
      </c>
      <c r="G12" s="259">
        <f t="shared" si="0"/>
        <v>17322.579299999998</v>
      </c>
      <c r="H12" s="180">
        <v>0</v>
      </c>
      <c r="I12" s="180">
        <v>103.42</v>
      </c>
      <c r="J12" s="266">
        <f t="shared" si="1"/>
        <v>0</v>
      </c>
      <c r="K12" s="22">
        <f t="shared" si="2"/>
        <v>17322.579299999998</v>
      </c>
      <c r="L12" s="8"/>
      <c r="M12" s="181">
        <f t="shared" si="3"/>
        <v>283836.6890999999</v>
      </c>
      <c r="N12" s="55"/>
      <c r="O12" s="96"/>
    </row>
    <row r="13" spans="1:15">
      <c r="A13" s="67">
        <v>9</v>
      </c>
      <c r="B13" s="306">
        <v>45697</v>
      </c>
      <c r="C13" s="98"/>
      <c r="D13" s="99"/>
      <c r="E13" s="15">
        <v>168.01</v>
      </c>
      <c r="F13" s="15">
        <v>89.49</v>
      </c>
      <c r="G13" s="259">
        <f t="shared" si="0"/>
        <v>15035.214899999999</v>
      </c>
      <c r="H13" s="180">
        <v>0</v>
      </c>
      <c r="I13" s="180">
        <v>103.42</v>
      </c>
      <c r="J13" s="266">
        <f t="shared" si="1"/>
        <v>0</v>
      </c>
      <c r="K13" s="22">
        <f t="shared" si="2"/>
        <v>15035.214899999999</v>
      </c>
      <c r="L13" s="8"/>
      <c r="M13" s="181">
        <f t="shared" si="3"/>
        <v>298871.90399999992</v>
      </c>
      <c r="N13" s="55"/>
      <c r="O13" s="96"/>
    </row>
    <row r="14" spans="1:15">
      <c r="A14" s="67">
        <v>10</v>
      </c>
      <c r="B14" s="306">
        <v>45698</v>
      </c>
      <c r="C14" s="98"/>
      <c r="D14" s="99"/>
      <c r="E14" s="15">
        <v>161.29</v>
      </c>
      <c r="F14" s="15">
        <v>89.49</v>
      </c>
      <c r="G14" s="259">
        <f t="shared" si="0"/>
        <v>14433.842099999998</v>
      </c>
      <c r="H14" s="180">
        <v>16</v>
      </c>
      <c r="I14" s="180">
        <v>103.42</v>
      </c>
      <c r="J14" s="266">
        <f t="shared" si="1"/>
        <v>1654.72</v>
      </c>
      <c r="K14" s="22">
        <f t="shared" si="2"/>
        <v>16088.562099999997</v>
      </c>
      <c r="L14" s="8"/>
      <c r="M14" s="181">
        <f t="shared" si="3"/>
        <v>314960.4660999999</v>
      </c>
      <c r="N14" s="55"/>
      <c r="O14" s="96"/>
    </row>
    <row r="15" spans="1:15">
      <c r="A15" s="67">
        <v>11</v>
      </c>
      <c r="B15" s="306">
        <v>45699</v>
      </c>
      <c r="C15" s="98"/>
      <c r="D15" s="99"/>
      <c r="E15" s="15">
        <v>506.26</v>
      </c>
      <c r="F15" s="15">
        <v>89.49</v>
      </c>
      <c r="G15" s="259">
        <f t="shared" si="0"/>
        <v>45305.207399999999</v>
      </c>
      <c r="H15" s="180">
        <v>5</v>
      </c>
      <c r="I15" s="180">
        <v>103.42</v>
      </c>
      <c r="J15" s="266">
        <f t="shared" si="1"/>
        <v>517.1</v>
      </c>
      <c r="K15" s="22">
        <f t="shared" si="2"/>
        <v>45822.307399999998</v>
      </c>
      <c r="L15" s="8"/>
      <c r="M15" s="181">
        <f t="shared" si="3"/>
        <v>360782.77349999989</v>
      </c>
      <c r="N15" s="55"/>
      <c r="O15" s="96"/>
    </row>
    <row r="16" spans="1:15">
      <c r="A16" s="67">
        <v>12</v>
      </c>
      <c r="B16" s="306">
        <v>45700</v>
      </c>
      <c r="C16" s="98"/>
      <c r="D16" s="99"/>
      <c r="E16" s="15">
        <v>0</v>
      </c>
      <c r="F16" s="15">
        <v>89.49</v>
      </c>
      <c r="G16" s="259">
        <f t="shared" si="0"/>
        <v>0</v>
      </c>
      <c r="H16" s="180">
        <v>10</v>
      </c>
      <c r="I16" s="180">
        <v>103.42</v>
      </c>
      <c r="J16" s="266">
        <f t="shared" si="1"/>
        <v>1034.2</v>
      </c>
      <c r="K16" s="22">
        <f t="shared" si="2"/>
        <v>1034.2</v>
      </c>
      <c r="L16" s="8"/>
      <c r="M16" s="181">
        <f t="shared" si="3"/>
        <v>361816.97349999991</v>
      </c>
      <c r="N16" s="55"/>
      <c r="O16" s="96"/>
    </row>
    <row r="17" spans="1:15">
      <c r="A17" s="67">
        <v>13</v>
      </c>
      <c r="B17" s="306">
        <v>45701</v>
      </c>
      <c r="C17" s="98"/>
      <c r="D17" s="99"/>
      <c r="E17" s="15">
        <v>424.44</v>
      </c>
      <c r="F17" s="15">
        <v>89.49</v>
      </c>
      <c r="G17" s="259">
        <f t="shared" si="0"/>
        <v>37983.135599999994</v>
      </c>
      <c r="H17" s="180">
        <v>5</v>
      </c>
      <c r="I17" s="180">
        <v>111.19</v>
      </c>
      <c r="J17" s="266">
        <f t="shared" si="1"/>
        <v>555.95000000000005</v>
      </c>
      <c r="K17" s="22">
        <f t="shared" si="2"/>
        <v>38539.085599999991</v>
      </c>
      <c r="L17" s="8"/>
      <c r="M17" s="181">
        <f t="shared" si="3"/>
        <v>400356.0590999999</v>
      </c>
      <c r="N17" s="55"/>
      <c r="O17" s="96"/>
    </row>
    <row r="18" spans="1:15">
      <c r="A18" s="67">
        <v>14</v>
      </c>
      <c r="B18" s="306">
        <v>45702</v>
      </c>
      <c r="C18" s="98"/>
      <c r="D18" s="99"/>
      <c r="E18" s="15">
        <v>0</v>
      </c>
      <c r="F18" s="15">
        <v>89.49</v>
      </c>
      <c r="G18" s="259">
        <f t="shared" si="0"/>
        <v>0</v>
      </c>
      <c r="H18" s="180">
        <v>0</v>
      </c>
      <c r="I18" s="180">
        <v>103.42</v>
      </c>
      <c r="J18" s="266">
        <f t="shared" si="1"/>
        <v>0</v>
      </c>
      <c r="K18" s="22">
        <f t="shared" si="2"/>
        <v>0</v>
      </c>
      <c r="L18" s="8"/>
      <c r="M18" s="181">
        <f t="shared" si="3"/>
        <v>400356.0590999999</v>
      </c>
      <c r="N18" s="55"/>
      <c r="O18" s="96"/>
    </row>
    <row r="19" spans="1:15">
      <c r="A19" s="67">
        <v>15</v>
      </c>
      <c r="B19" s="306">
        <v>45703</v>
      </c>
      <c r="C19" s="98"/>
      <c r="D19" s="99"/>
      <c r="E19" s="15">
        <v>515.6</v>
      </c>
      <c r="F19" s="15">
        <v>89.49</v>
      </c>
      <c r="G19" s="259">
        <f t="shared" si="0"/>
        <v>46141.044000000002</v>
      </c>
      <c r="H19" s="180">
        <v>5</v>
      </c>
      <c r="I19" s="180">
        <v>103.42</v>
      </c>
      <c r="J19" s="266">
        <f t="shared" si="1"/>
        <v>517.1</v>
      </c>
      <c r="K19" s="22">
        <f t="shared" si="2"/>
        <v>46658.144</v>
      </c>
      <c r="L19" s="8"/>
      <c r="M19" s="181">
        <f t="shared" si="3"/>
        <v>447014.20309999993</v>
      </c>
      <c r="N19" s="55"/>
      <c r="O19" s="96"/>
    </row>
    <row r="20" spans="1:15">
      <c r="A20" s="67">
        <v>16</v>
      </c>
      <c r="B20" s="306">
        <v>45704</v>
      </c>
      <c r="C20" s="98"/>
      <c r="D20" s="99"/>
      <c r="E20" s="15">
        <v>99.88</v>
      </c>
      <c r="F20" s="15">
        <v>89.49</v>
      </c>
      <c r="G20" s="259">
        <f t="shared" si="0"/>
        <v>8938.261199999999</v>
      </c>
      <c r="H20" s="180">
        <v>10</v>
      </c>
      <c r="I20" s="180">
        <v>103.42</v>
      </c>
      <c r="J20" s="266">
        <f t="shared" si="1"/>
        <v>1034.2</v>
      </c>
      <c r="K20" s="22">
        <f t="shared" si="2"/>
        <v>9972.4611999999997</v>
      </c>
      <c r="L20" s="8"/>
      <c r="M20" s="181">
        <f t="shared" si="3"/>
        <v>456986.66429999995</v>
      </c>
      <c r="N20" s="55"/>
      <c r="O20" s="96"/>
    </row>
    <row r="21" spans="1:15">
      <c r="A21" s="67">
        <v>17</v>
      </c>
      <c r="B21" s="306">
        <v>45705</v>
      </c>
      <c r="C21" s="98"/>
      <c r="D21" s="99"/>
      <c r="E21" s="15">
        <v>363.45</v>
      </c>
      <c r="F21" s="15">
        <v>89.49</v>
      </c>
      <c r="G21" s="259">
        <f t="shared" si="0"/>
        <v>32525.140499999998</v>
      </c>
      <c r="H21" s="180">
        <v>16</v>
      </c>
      <c r="I21" s="180">
        <v>103.42</v>
      </c>
      <c r="J21" s="266">
        <f t="shared" si="1"/>
        <v>1654.72</v>
      </c>
      <c r="K21" s="22">
        <f t="shared" si="2"/>
        <v>34179.860499999995</v>
      </c>
      <c r="L21" s="8"/>
      <c r="M21" s="181">
        <f t="shared" si="3"/>
        <v>491166.52479999996</v>
      </c>
      <c r="N21" s="55"/>
      <c r="O21" s="96"/>
    </row>
    <row r="22" spans="1:15">
      <c r="A22" s="67">
        <v>18</v>
      </c>
      <c r="B22" s="306">
        <v>45706</v>
      </c>
      <c r="C22" s="98"/>
      <c r="D22" s="99"/>
      <c r="E22" s="15">
        <v>88.01</v>
      </c>
      <c r="F22" s="15">
        <v>89.49</v>
      </c>
      <c r="G22" s="259">
        <f t="shared" si="0"/>
        <v>7876.0149000000001</v>
      </c>
      <c r="H22" s="180">
        <v>5</v>
      </c>
      <c r="I22" s="180">
        <v>103.42</v>
      </c>
      <c r="J22" s="266">
        <f t="shared" si="1"/>
        <v>517.1</v>
      </c>
      <c r="K22" s="22">
        <f t="shared" si="2"/>
        <v>8393.1149000000005</v>
      </c>
      <c r="L22" s="8"/>
      <c r="M22" s="181">
        <f t="shared" si="3"/>
        <v>499559.63969999994</v>
      </c>
      <c r="N22" s="55"/>
      <c r="O22" s="96"/>
    </row>
    <row r="23" spans="1:15">
      <c r="A23" s="67">
        <v>19</v>
      </c>
      <c r="B23" s="306">
        <v>45707</v>
      </c>
      <c r="C23" s="98"/>
      <c r="D23" s="99"/>
      <c r="E23" s="15">
        <v>1487.62</v>
      </c>
      <c r="F23" s="15">
        <v>89.49</v>
      </c>
      <c r="G23" s="259">
        <f t="shared" si="0"/>
        <v>133127.11379999999</v>
      </c>
      <c r="H23" s="180">
        <v>15</v>
      </c>
      <c r="I23" s="180">
        <v>103.42</v>
      </c>
      <c r="J23" s="266">
        <f t="shared" si="1"/>
        <v>1551.3</v>
      </c>
      <c r="K23" s="22">
        <f t="shared" si="2"/>
        <v>134678.41379999998</v>
      </c>
      <c r="L23" s="8"/>
      <c r="M23" s="181">
        <f t="shared" si="3"/>
        <v>634238.05349999992</v>
      </c>
      <c r="N23" s="55"/>
      <c r="O23" s="96"/>
    </row>
    <row r="24" spans="1:15">
      <c r="A24" s="67">
        <v>20</v>
      </c>
      <c r="B24" s="306">
        <v>45708</v>
      </c>
      <c r="C24" s="98"/>
      <c r="D24" s="99"/>
      <c r="E24" s="15">
        <v>977.67</v>
      </c>
      <c r="F24" s="15">
        <v>89.49</v>
      </c>
      <c r="G24" s="259">
        <f t="shared" si="0"/>
        <v>87491.688299999994</v>
      </c>
      <c r="H24" s="180">
        <v>6</v>
      </c>
      <c r="I24" s="180">
        <v>103.42</v>
      </c>
      <c r="J24" s="266">
        <f t="shared" si="1"/>
        <v>620.52</v>
      </c>
      <c r="K24" s="22">
        <f t="shared" si="2"/>
        <v>88112.208299999998</v>
      </c>
      <c r="L24" s="8"/>
      <c r="M24" s="181">
        <f t="shared" si="3"/>
        <v>722350.26179999998</v>
      </c>
      <c r="N24" s="55"/>
      <c r="O24" s="96"/>
    </row>
    <row r="25" spans="1:15">
      <c r="A25" s="67">
        <v>21</v>
      </c>
      <c r="B25" s="306">
        <v>45709</v>
      </c>
      <c r="C25" s="274"/>
      <c r="D25" s="275"/>
      <c r="E25" s="15">
        <v>350</v>
      </c>
      <c r="F25" s="15">
        <v>89.49</v>
      </c>
      <c r="G25" s="259">
        <f t="shared" si="0"/>
        <v>31321.5</v>
      </c>
      <c r="H25" s="180">
        <v>15</v>
      </c>
      <c r="I25" s="180">
        <v>103.42</v>
      </c>
      <c r="J25" s="266">
        <f t="shared" si="1"/>
        <v>1551.3</v>
      </c>
      <c r="K25" s="22">
        <f t="shared" si="2"/>
        <v>32872.800000000003</v>
      </c>
      <c r="L25" s="254"/>
      <c r="M25" s="181">
        <f t="shared" si="3"/>
        <v>755223.06180000002</v>
      </c>
      <c r="N25" s="55"/>
      <c r="O25" s="96"/>
    </row>
    <row r="26" spans="1:15">
      <c r="A26" s="67">
        <v>22</v>
      </c>
      <c r="B26" s="306">
        <v>45710</v>
      </c>
      <c r="C26" s="92"/>
      <c r="D26" s="99"/>
      <c r="E26" s="15">
        <v>691.86</v>
      </c>
      <c r="F26" s="15">
        <v>89.49</v>
      </c>
      <c r="G26" s="259">
        <f t="shared" si="0"/>
        <v>61914.551399999997</v>
      </c>
      <c r="H26" s="180">
        <v>15</v>
      </c>
      <c r="I26" s="180">
        <v>111.19</v>
      </c>
      <c r="J26" s="266">
        <f t="shared" si="1"/>
        <v>1667.85</v>
      </c>
      <c r="K26" s="22">
        <f t="shared" si="2"/>
        <v>63582.401399999995</v>
      </c>
      <c r="L26" s="8"/>
      <c r="M26" s="181">
        <f t="shared" si="3"/>
        <v>818805.4632</v>
      </c>
      <c r="N26" s="253"/>
      <c r="O26" s="96"/>
    </row>
    <row r="27" spans="1:15">
      <c r="A27" s="67">
        <v>23</v>
      </c>
      <c r="B27" s="306">
        <v>45710</v>
      </c>
      <c r="C27" s="92"/>
      <c r="D27" s="99"/>
      <c r="E27" s="15">
        <v>0</v>
      </c>
      <c r="F27" s="15">
        <v>0</v>
      </c>
      <c r="G27" s="259">
        <f t="shared" si="0"/>
        <v>0</v>
      </c>
      <c r="H27" s="180">
        <v>0</v>
      </c>
      <c r="I27" s="180">
        <v>0</v>
      </c>
      <c r="J27" s="266">
        <f t="shared" si="1"/>
        <v>0</v>
      </c>
      <c r="K27" s="22">
        <f t="shared" si="2"/>
        <v>0</v>
      </c>
      <c r="L27" s="8"/>
      <c r="M27" s="181">
        <f t="shared" si="3"/>
        <v>818805.4632</v>
      </c>
      <c r="N27" s="253"/>
      <c r="O27" s="96"/>
    </row>
    <row r="28" spans="1:15">
      <c r="A28" s="67">
        <v>24</v>
      </c>
      <c r="B28" s="306">
        <v>45711</v>
      </c>
      <c r="C28" s="92"/>
      <c r="D28" s="99"/>
      <c r="E28" s="15">
        <v>335.33</v>
      </c>
      <c r="F28" s="15">
        <v>89.49</v>
      </c>
      <c r="G28" s="259">
        <f t="shared" si="0"/>
        <v>30008.681699999997</v>
      </c>
      <c r="H28" s="180">
        <v>5</v>
      </c>
      <c r="I28" s="180">
        <v>103.42</v>
      </c>
      <c r="J28" s="266">
        <f t="shared" si="1"/>
        <v>517.1</v>
      </c>
      <c r="K28" s="22">
        <f t="shared" si="2"/>
        <v>30525.781699999996</v>
      </c>
      <c r="L28" s="8"/>
      <c r="M28" s="181">
        <f t="shared" si="3"/>
        <v>849331.24490000005</v>
      </c>
      <c r="N28" s="253"/>
      <c r="O28" s="96"/>
    </row>
    <row r="29" spans="1:15">
      <c r="A29" s="67">
        <v>25</v>
      </c>
      <c r="B29" s="306">
        <v>45712</v>
      </c>
      <c r="C29" s="92"/>
      <c r="D29" s="99"/>
      <c r="E29" s="15">
        <v>467.98</v>
      </c>
      <c r="F29" s="15">
        <v>89.49</v>
      </c>
      <c r="G29" s="259">
        <f t="shared" si="0"/>
        <v>41879.530200000001</v>
      </c>
      <c r="H29" s="180">
        <v>18.899999999999999</v>
      </c>
      <c r="I29" s="180">
        <v>103.42</v>
      </c>
      <c r="J29" s="266">
        <f t="shared" si="1"/>
        <v>1954.6379999999999</v>
      </c>
      <c r="K29" s="22">
        <f>G29+J29</f>
        <v>43834.1682</v>
      </c>
      <c r="L29" s="8"/>
      <c r="M29" s="181">
        <f t="shared" si="3"/>
        <v>893165.41310000001</v>
      </c>
      <c r="N29" s="253"/>
      <c r="O29" s="96"/>
    </row>
    <row r="30" spans="1:15">
      <c r="A30" s="67">
        <v>26</v>
      </c>
      <c r="B30" s="306">
        <v>45713</v>
      </c>
      <c r="C30" s="92"/>
      <c r="D30" s="99"/>
      <c r="E30" s="15">
        <v>0</v>
      </c>
      <c r="F30" s="15">
        <v>0</v>
      </c>
      <c r="G30" s="259">
        <f t="shared" si="0"/>
        <v>0</v>
      </c>
      <c r="H30" s="180">
        <v>0</v>
      </c>
      <c r="I30" s="180">
        <v>0</v>
      </c>
      <c r="J30" s="266">
        <f t="shared" si="1"/>
        <v>0</v>
      </c>
      <c r="K30" s="22">
        <f t="shared" si="2"/>
        <v>0</v>
      </c>
      <c r="L30" s="8"/>
      <c r="M30" s="181">
        <f t="shared" si="3"/>
        <v>893165.41310000001</v>
      </c>
      <c r="N30" s="253"/>
      <c r="O30" s="96"/>
    </row>
    <row r="31" spans="1:15">
      <c r="A31" s="67">
        <v>27</v>
      </c>
      <c r="B31" s="306">
        <v>45714</v>
      </c>
      <c r="C31" s="92"/>
      <c r="D31" s="99"/>
      <c r="E31" s="15">
        <v>0</v>
      </c>
      <c r="F31" s="15">
        <v>0</v>
      </c>
      <c r="G31" s="259">
        <f t="shared" si="0"/>
        <v>0</v>
      </c>
      <c r="H31" s="180">
        <v>0</v>
      </c>
      <c r="I31" s="180">
        <v>0</v>
      </c>
      <c r="J31" s="266">
        <f t="shared" si="1"/>
        <v>0</v>
      </c>
      <c r="K31" s="22">
        <f t="shared" si="2"/>
        <v>0</v>
      </c>
      <c r="L31" s="279"/>
      <c r="M31" s="181">
        <f t="shared" si="3"/>
        <v>893165.41310000001</v>
      </c>
      <c r="N31" s="253"/>
      <c r="O31" s="96"/>
    </row>
    <row r="32" spans="1:15">
      <c r="A32" s="67">
        <v>28</v>
      </c>
      <c r="B32" s="306">
        <v>45715</v>
      </c>
      <c r="C32" s="92"/>
      <c r="D32" s="99"/>
      <c r="E32" s="15">
        <v>0</v>
      </c>
      <c r="F32" s="15">
        <v>0</v>
      </c>
      <c r="G32" s="259">
        <f t="shared" si="0"/>
        <v>0</v>
      </c>
      <c r="H32" s="180">
        <v>0</v>
      </c>
      <c r="I32" s="180">
        <v>0</v>
      </c>
      <c r="J32" s="266">
        <f t="shared" si="1"/>
        <v>0</v>
      </c>
      <c r="K32" s="22">
        <f t="shared" si="2"/>
        <v>0</v>
      </c>
      <c r="L32" s="279"/>
      <c r="M32" s="181">
        <f t="shared" si="3"/>
        <v>893165.41310000001</v>
      </c>
      <c r="N32" s="253"/>
      <c r="O32" s="96"/>
    </row>
    <row r="33" spans="1:15">
      <c r="A33" s="112"/>
      <c r="B33" s="272"/>
      <c r="C33" s="92"/>
      <c r="D33" s="99"/>
      <c r="E33" s="8"/>
      <c r="F33" s="19"/>
      <c r="G33" s="260"/>
      <c r="H33" s="8"/>
      <c r="I33" s="8"/>
      <c r="J33" s="260"/>
      <c r="K33" s="21"/>
      <c r="L33" s="8"/>
      <c r="M33" s="93"/>
      <c r="N33" s="253"/>
      <c r="O33" s="96"/>
    </row>
    <row r="34" spans="1:15">
      <c r="A34" s="276"/>
      <c r="B34" s="276"/>
      <c r="C34" s="276"/>
      <c r="D34" s="276"/>
      <c r="E34" s="256">
        <f>SUM(E4:E33)</f>
        <v>9744.2100000000009</v>
      </c>
      <c r="F34" s="256"/>
      <c r="G34" s="256">
        <f>SUM(G4:G33)</f>
        <v>872009.35290000006</v>
      </c>
      <c r="H34" s="256">
        <f>SUM(H4:H33)</f>
        <v>201.9</v>
      </c>
      <c r="I34" s="256"/>
      <c r="J34" s="256">
        <f>SUM(J4:J33)</f>
        <v>21156.057999999997</v>
      </c>
      <c r="K34" s="256">
        <f>SUM(K4:K33)</f>
        <v>893165.41090000002</v>
      </c>
      <c r="L34" s="256">
        <f>SUM(L4:L33)</f>
        <v>428494.06</v>
      </c>
      <c r="M34" s="256"/>
      <c r="N34" s="100"/>
      <c r="O34" s="84"/>
    </row>
    <row r="35" spans="1:15">
      <c r="A35" s="101"/>
      <c r="B35" s="102"/>
      <c r="C35" s="101"/>
      <c r="D35" s="101"/>
      <c r="E35" s="103"/>
      <c r="F35" s="103"/>
      <c r="G35" s="261"/>
      <c r="H35" s="103"/>
      <c r="I35" s="103"/>
      <c r="J35" s="261"/>
      <c r="K35" s="104"/>
      <c r="L35" s="104"/>
      <c r="M35" s="104"/>
      <c r="N35" s="103"/>
      <c r="O35" s="96"/>
    </row>
    <row r="36" spans="1:15">
      <c r="A36" s="96"/>
      <c r="B36" s="84"/>
      <c r="C36" s="96"/>
      <c r="D36" s="96"/>
      <c r="E36" s="96"/>
      <c r="F36" s="96"/>
      <c r="G36" s="262"/>
      <c r="H36" s="96"/>
      <c r="I36" s="96"/>
      <c r="J36" s="263"/>
      <c r="K36" s="84"/>
      <c r="L36" s="84"/>
      <c r="M36" s="84"/>
      <c r="N36" s="96"/>
      <c r="O36" s="103"/>
    </row>
    <row r="37" spans="1:15">
      <c r="A37" s="96"/>
      <c r="B37" s="437"/>
      <c r="C37" s="437"/>
      <c r="D37" s="437"/>
      <c r="E37" s="437"/>
      <c r="F37" s="96"/>
      <c r="G37" s="263"/>
      <c r="H37" s="96"/>
      <c r="I37" s="437"/>
      <c r="J37" s="437"/>
      <c r="K37" s="437"/>
      <c r="L37" s="437"/>
      <c r="M37" s="437"/>
      <c r="N37" s="437"/>
      <c r="O37" s="103"/>
    </row>
    <row r="38" spans="1:15">
      <c r="A38" s="96"/>
      <c r="B38" s="84"/>
      <c r="C38" s="96"/>
      <c r="D38" s="96"/>
      <c r="E38" s="96"/>
      <c r="F38" s="96"/>
      <c r="G38" s="263"/>
      <c r="H38" s="96"/>
      <c r="I38" s="96"/>
      <c r="J38" s="263"/>
      <c r="K38" s="84"/>
      <c r="L38" s="84"/>
      <c r="M38" s="84"/>
      <c r="N38" s="96"/>
      <c r="O38" s="103"/>
    </row>
    <row r="46" spans="1:15">
      <c r="L46" s="106">
        <v>3010</v>
      </c>
    </row>
    <row r="47" spans="1:15">
      <c r="L47" s="106">
        <v>4900</v>
      </c>
    </row>
    <row r="48" spans="1:15">
      <c r="L48" s="106">
        <v>6953</v>
      </c>
    </row>
    <row r="49" spans="12:12">
      <c r="L49" s="106">
        <v>7527</v>
      </c>
    </row>
  </sheetData>
  <mergeCells count="3">
    <mergeCell ref="A1:N1"/>
    <mergeCell ref="B37:E37"/>
    <mergeCell ref="I37:N3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N31"/>
  <sheetViews>
    <sheetView workbookViewId="0">
      <selection activeCell="Q17" sqref="Q17"/>
    </sheetView>
  </sheetViews>
  <sheetFormatPr defaultColWidth="12.140625" defaultRowHeight="15"/>
  <cols>
    <col min="1" max="1" width="10.42578125" customWidth="1"/>
  </cols>
  <sheetData>
    <row r="1" spans="1:14" ht="15.75">
      <c r="A1" s="420" t="s">
        <v>124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</row>
    <row r="2" spans="1:14" ht="30.75">
      <c r="A2" s="130" t="s">
        <v>1</v>
      </c>
      <c r="B2" s="131" t="s">
        <v>2</v>
      </c>
      <c r="C2" s="131" t="s">
        <v>3</v>
      </c>
      <c r="D2" s="131" t="s">
        <v>4</v>
      </c>
      <c r="E2" s="131" t="s">
        <v>5</v>
      </c>
      <c r="F2" s="131" t="s">
        <v>6</v>
      </c>
      <c r="G2" s="257" t="s">
        <v>7</v>
      </c>
      <c r="H2" s="131" t="s">
        <v>8</v>
      </c>
      <c r="I2" s="131" t="s">
        <v>6</v>
      </c>
      <c r="J2" s="265" t="s">
        <v>7</v>
      </c>
      <c r="K2" s="132" t="s">
        <v>9</v>
      </c>
      <c r="L2" s="178" t="s">
        <v>10</v>
      </c>
      <c r="M2" s="183" t="s">
        <v>11</v>
      </c>
      <c r="N2" s="133" t="s">
        <v>12</v>
      </c>
    </row>
    <row r="3" spans="1:14">
      <c r="A3" s="67">
        <v>1</v>
      </c>
      <c r="B3" s="116">
        <v>45689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67">
        <v>2</v>
      </c>
      <c r="B4" s="116">
        <v>45690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>
      <c r="A5" s="67">
        <v>3</v>
      </c>
      <c r="B5" s="116">
        <v>45691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>
      <c r="A6" s="67">
        <v>4</v>
      </c>
      <c r="B6" s="29">
        <v>45692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>
      <c r="A7" s="67">
        <v>5</v>
      </c>
      <c r="B7" s="29">
        <v>45693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>
      <c r="A8" s="67">
        <v>6</v>
      </c>
      <c r="B8" s="29">
        <v>45694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>
      <c r="A9" s="67">
        <v>7</v>
      </c>
      <c r="B9" s="29">
        <v>45695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>
      <c r="A10" s="67">
        <v>8</v>
      </c>
      <c r="B10" s="29">
        <v>45696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>
      <c r="A11" s="67">
        <v>9</v>
      </c>
      <c r="B11" s="29">
        <v>45697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>
      <c r="A12" s="67">
        <v>10</v>
      </c>
      <c r="B12" s="29">
        <v>45698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>
      <c r="A13" s="67">
        <v>11</v>
      </c>
      <c r="B13" s="29">
        <v>45699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>
      <c r="A14" s="67">
        <v>12</v>
      </c>
      <c r="B14" s="29">
        <v>45700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>
      <c r="A15" s="67">
        <v>13</v>
      </c>
      <c r="B15" s="29">
        <v>45701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>
      <c r="A16" s="67">
        <v>14</v>
      </c>
      <c r="B16" s="29">
        <v>45702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>
      <c r="A17" s="67">
        <v>15</v>
      </c>
      <c r="B17" s="29">
        <v>45703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>
      <c r="A18" s="67">
        <v>16</v>
      </c>
      <c r="B18" s="29">
        <v>45704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>
      <c r="A19" s="67">
        <v>17</v>
      </c>
      <c r="B19" s="29">
        <v>45705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>
      <c r="A20" s="67">
        <v>18</v>
      </c>
      <c r="B20" s="29">
        <v>45706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>
      <c r="A21" s="67">
        <v>19</v>
      </c>
      <c r="B21" s="29">
        <v>45707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>
      <c r="A22" s="67">
        <v>20</v>
      </c>
      <c r="B22" s="29">
        <v>45708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>
      <c r="A23" s="67">
        <v>21</v>
      </c>
      <c r="B23" s="29">
        <v>45709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>
      <c r="A24" s="67">
        <v>22</v>
      </c>
      <c r="B24" s="29">
        <v>45710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>
      <c r="A25" s="67">
        <v>23</v>
      </c>
      <c r="B25" s="29">
        <v>45711</v>
      </c>
      <c r="C25" s="19"/>
      <c r="D25" s="53"/>
      <c r="E25" s="53">
        <v>337.39</v>
      </c>
      <c r="F25" s="53">
        <v>89.47</v>
      </c>
      <c r="G25" s="53">
        <f>E25*F25</f>
        <v>30186.283299999999</v>
      </c>
      <c r="H25" s="53"/>
      <c r="I25" s="53"/>
      <c r="J25" s="53">
        <f>H25*I25</f>
        <v>0</v>
      </c>
      <c r="K25" s="53">
        <f>G25+J25</f>
        <v>30186.283299999999</v>
      </c>
      <c r="L25" s="53">
        <v>0</v>
      </c>
      <c r="M25" s="53">
        <f>M24+K25-L25</f>
        <v>30186.283299999999</v>
      </c>
      <c r="N25" s="19"/>
    </row>
    <row r="26" spans="1:14">
      <c r="A26" s="67">
        <v>24</v>
      </c>
      <c r="B26" s="29">
        <v>45712</v>
      </c>
      <c r="C26" s="19"/>
      <c r="D26" s="53"/>
      <c r="E26" s="53">
        <v>0</v>
      </c>
      <c r="F26" s="53"/>
      <c r="G26" s="53">
        <f t="shared" ref="G26:G30" si="0">E26*F26</f>
        <v>0</v>
      </c>
      <c r="H26" s="53"/>
      <c r="I26" s="53"/>
      <c r="J26" s="53">
        <f t="shared" ref="J26:J30" si="1">H26*I26</f>
        <v>0</v>
      </c>
      <c r="K26" s="53">
        <f t="shared" ref="K26:K30" si="2">G26+J26</f>
        <v>0</v>
      </c>
      <c r="L26" s="53"/>
      <c r="M26" s="53">
        <f t="shared" ref="M26:M30" si="3">M25+K26-L26</f>
        <v>30186.283299999999</v>
      </c>
      <c r="N26" s="19"/>
    </row>
    <row r="27" spans="1:14">
      <c r="A27" s="67">
        <v>25</v>
      </c>
      <c r="B27" s="29">
        <v>45713</v>
      </c>
      <c r="C27" s="19"/>
      <c r="D27" s="53"/>
      <c r="E27" s="53">
        <v>490.04</v>
      </c>
      <c r="F27" s="53">
        <v>89.47</v>
      </c>
      <c r="G27" s="53">
        <f t="shared" si="0"/>
        <v>43843.878799999999</v>
      </c>
      <c r="H27" s="53">
        <v>6</v>
      </c>
      <c r="I27" s="53">
        <v>103.36</v>
      </c>
      <c r="J27" s="53">
        <f t="shared" si="1"/>
        <v>620.16</v>
      </c>
      <c r="K27" s="53">
        <f t="shared" si="2"/>
        <v>44464.038800000002</v>
      </c>
      <c r="L27" s="53"/>
      <c r="M27" s="53">
        <f t="shared" si="3"/>
        <v>74650.322100000005</v>
      </c>
      <c r="N27" s="19"/>
    </row>
    <row r="28" spans="1:14">
      <c r="A28" s="67">
        <v>26</v>
      </c>
      <c r="B28" s="29">
        <v>45714</v>
      </c>
      <c r="C28" s="19"/>
      <c r="D28" s="53"/>
      <c r="E28" s="53">
        <v>400</v>
      </c>
      <c r="F28" s="53">
        <v>89.47</v>
      </c>
      <c r="G28" s="53">
        <f t="shared" si="0"/>
        <v>35788</v>
      </c>
      <c r="H28" s="53"/>
      <c r="I28" s="53"/>
      <c r="J28" s="53">
        <f t="shared" si="1"/>
        <v>0</v>
      </c>
      <c r="K28" s="53">
        <f t="shared" si="2"/>
        <v>35788</v>
      </c>
      <c r="L28" s="53"/>
      <c r="M28" s="53">
        <f t="shared" si="3"/>
        <v>110438.3221</v>
      </c>
      <c r="N28" s="19"/>
    </row>
    <row r="29" spans="1:14">
      <c r="A29" s="67">
        <v>27</v>
      </c>
      <c r="B29" s="29">
        <v>45715</v>
      </c>
      <c r="C29" s="19"/>
      <c r="D29" s="53"/>
      <c r="E29" s="53">
        <v>445.68</v>
      </c>
      <c r="F29" s="53">
        <v>89.47</v>
      </c>
      <c r="G29" s="53">
        <f t="shared" si="0"/>
        <v>39874.989600000001</v>
      </c>
      <c r="H29" s="53">
        <v>10</v>
      </c>
      <c r="I29" s="53">
        <v>103.36</v>
      </c>
      <c r="J29" s="53">
        <f t="shared" si="1"/>
        <v>1033.5999999999999</v>
      </c>
      <c r="K29" s="53">
        <f t="shared" si="2"/>
        <v>40908.589599999999</v>
      </c>
      <c r="L29" s="53"/>
      <c r="M29" s="53">
        <f t="shared" si="3"/>
        <v>151346.9117</v>
      </c>
      <c r="N29" s="19"/>
    </row>
    <row r="30" spans="1:14">
      <c r="A30" s="67">
        <v>28</v>
      </c>
      <c r="B30" s="29">
        <v>45716</v>
      </c>
      <c r="C30" s="19"/>
      <c r="D30" s="53"/>
      <c r="E30" s="53">
        <v>398.97</v>
      </c>
      <c r="F30" s="53">
        <v>89.47</v>
      </c>
      <c r="G30" s="53">
        <f t="shared" si="0"/>
        <v>35695.8459</v>
      </c>
      <c r="H30" s="53">
        <v>6</v>
      </c>
      <c r="I30" s="53">
        <v>103.36</v>
      </c>
      <c r="J30" s="53">
        <f t="shared" si="1"/>
        <v>620.16</v>
      </c>
      <c r="K30" s="53">
        <f t="shared" si="2"/>
        <v>36316.005900000004</v>
      </c>
      <c r="L30" s="53"/>
      <c r="M30" s="53">
        <f t="shared" si="3"/>
        <v>187662.91759999999</v>
      </c>
      <c r="N30" s="19"/>
    </row>
    <row r="31" spans="1:14">
      <c r="A31" s="252"/>
      <c r="B31" s="252"/>
      <c r="C31" s="252"/>
      <c r="D31" s="252"/>
      <c r="E31" s="252">
        <f>SUM(E3:E30)</f>
        <v>2072.08</v>
      </c>
      <c r="F31" s="252"/>
      <c r="G31" s="252">
        <f>SUM(G3:G30)</f>
        <v>185388.9976</v>
      </c>
      <c r="H31" s="252">
        <f>SUM(H3:H30)</f>
        <v>22</v>
      </c>
      <c r="I31" s="252"/>
      <c r="J31" s="252">
        <f>SUM(J3:J30)</f>
        <v>2273.9199999999996</v>
      </c>
      <c r="K31" s="252">
        <f>SUM(K3:K30)</f>
        <v>187662.91759999999</v>
      </c>
      <c r="L31" s="252">
        <f>SUM(L3:L30)</f>
        <v>0</v>
      </c>
      <c r="M31" s="252"/>
      <c r="N31" s="252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8B2D-F4B4-4D9B-ADBF-B484D3DAD6F7}">
  <sheetPr>
    <tabColor rgb="FF002060"/>
  </sheetPr>
  <dimension ref="A1:O13"/>
  <sheetViews>
    <sheetView workbookViewId="0">
      <selection activeCell="J21" sqref="J21"/>
    </sheetView>
  </sheetViews>
  <sheetFormatPr defaultColWidth="12.42578125" defaultRowHeight="15"/>
  <cols>
    <col min="2" max="15" width="12.42578125" style="24"/>
  </cols>
  <sheetData>
    <row r="1" spans="1:14" ht="15.75">
      <c r="A1" s="460" t="s">
        <v>186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</row>
    <row r="2" spans="1:14" ht="30.75">
      <c r="A2" s="160" t="s">
        <v>1</v>
      </c>
      <c r="B2" s="386" t="s">
        <v>2</v>
      </c>
      <c r="C2" s="386" t="s">
        <v>3</v>
      </c>
      <c r="D2" s="386" t="s">
        <v>139</v>
      </c>
      <c r="E2" s="386" t="s">
        <v>5</v>
      </c>
      <c r="F2" s="386" t="s">
        <v>6</v>
      </c>
      <c r="G2" s="386" t="s">
        <v>7</v>
      </c>
      <c r="H2" s="386" t="s">
        <v>8</v>
      </c>
      <c r="I2" s="386" t="s">
        <v>6</v>
      </c>
      <c r="J2" s="386" t="s">
        <v>7</v>
      </c>
      <c r="K2" s="234" t="s">
        <v>9</v>
      </c>
      <c r="L2" s="234" t="s">
        <v>10</v>
      </c>
      <c r="M2" s="234" t="s">
        <v>11</v>
      </c>
      <c r="N2" s="386" t="s">
        <v>12</v>
      </c>
    </row>
    <row r="3" spans="1:14">
      <c r="A3" s="461" t="s">
        <v>13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 t="s">
        <v>173</v>
      </c>
      <c r="N3" s="461"/>
    </row>
    <row r="4" spans="1:14">
      <c r="A4" s="19">
        <v>1</v>
      </c>
      <c r="B4" s="417" t="s">
        <v>157</v>
      </c>
      <c r="C4" s="53"/>
      <c r="D4" s="53"/>
      <c r="E4" s="53">
        <v>28.05</v>
      </c>
      <c r="F4" s="53">
        <v>89.14</v>
      </c>
      <c r="G4" s="53">
        <f>E4*F4</f>
        <v>2500.377</v>
      </c>
      <c r="H4" s="53">
        <v>0</v>
      </c>
      <c r="I4" s="53">
        <v>0</v>
      </c>
      <c r="J4" s="53">
        <f>H4*I4</f>
        <v>0</v>
      </c>
      <c r="K4" s="53">
        <f>G4+J4</f>
        <v>2500.377</v>
      </c>
      <c r="L4" s="53">
        <f>+K4</f>
        <v>2500.377</v>
      </c>
      <c r="M4" s="53"/>
      <c r="N4" s="53"/>
    </row>
    <row r="5" spans="1:14">
      <c r="A5" s="19">
        <v>2</v>
      </c>
      <c r="B5" s="19" t="s">
        <v>159</v>
      </c>
      <c r="C5" s="53"/>
      <c r="D5" s="53"/>
      <c r="E5" s="53">
        <v>56.09</v>
      </c>
      <c r="F5" s="53">
        <v>89.14</v>
      </c>
      <c r="G5" s="53">
        <f>E5*F5</f>
        <v>4999.8626000000004</v>
      </c>
      <c r="H5" s="53">
        <v>5</v>
      </c>
      <c r="I5" s="53">
        <v>103.05</v>
      </c>
      <c r="J5" s="53">
        <f>H5*I5</f>
        <v>515.25</v>
      </c>
      <c r="K5" s="53">
        <f>G5+J5</f>
        <v>5515.1126000000004</v>
      </c>
      <c r="L5" s="53">
        <f>+K5</f>
        <v>5515.1126000000004</v>
      </c>
      <c r="M5" s="53"/>
      <c r="N5" s="53"/>
    </row>
    <row r="6" spans="1:14">
      <c r="A6" s="19">
        <v>3</v>
      </c>
      <c r="B6" s="417" t="s">
        <v>161</v>
      </c>
      <c r="C6" s="53"/>
      <c r="D6" s="53"/>
      <c r="E6" s="53">
        <v>78.53</v>
      </c>
      <c r="F6" s="53">
        <v>89.14</v>
      </c>
      <c r="G6" s="53">
        <f>E6*F6</f>
        <v>7000.1642000000002</v>
      </c>
      <c r="H6" s="53"/>
      <c r="I6" s="53">
        <v>103.05</v>
      </c>
      <c r="J6" s="53">
        <f t="shared" ref="J6:J9" si="0">H6*I6</f>
        <v>0</v>
      </c>
      <c r="K6" s="53">
        <f>G6+J6</f>
        <v>7000.1642000000002</v>
      </c>
      <c r="L6" s="53">
        <f>+K6</f>
        <v>7000.1642000000002</v>
      </c>
      <c r="M6" s="53"/>
      <c r="N6" s="53"/>
    </row>
    <row r="7" spans="1:14">
      <c r="A7" s="19">
        <v>4</v>
      </c>
      <c r="B7" s="417" t="s">
        <v>162</v>
      </c>
      <c r="C7" s="53"/>
      <c r="D7" s="53"/>
      <c r="E7" s="53">
        <v>0</v>
      </c>
      <c r="F7" s="53"/>
      <c r="G7" s="53">
        <f t="shared" ref="G7:G11" si="1">E7*F7</f>
        <v>0</v>
      </c>
      <c r="H7" s="53">
        <v>5</v>
      </c>
      <c r="I7" s="53">
        <v>103.05</v>
      </c>
      <c r="J7" s="53">
        <f t="shared" si="0"/>
        <v>515.25</v>
      </c>
      <c r="K7" s="53">
        <f>G7+J7</f>
        <v>515.25</v>
      </c>
      <c r="L7" s="53">
        <f>+K7</f>
        <v>515.25</v>
      </c>
      <c r="M7" s="53"/>
      <c r="N7" s="53"/>
    </row>
    <row r="8" spans="1:14">
      <c r="A8" s="19">
        <v>5</v>
      </c>
      <c r="B8" s="417" t="s">
        <v>163</v>
      </c>
      <c r="C8" s="53"/>
      <c r="D8" s="53"/>
      <c r="E8" s="53">
        <v>78.53</v>
      </c>
      <c r="F8" s="53">
        <v>89.14</v>
      </c>
      <c r="G8" s="53">
        <f t="shared" si="1"/>
        <v>7000.1642000000002</v>
      </c>
      <c r="H8" s="53">
        <v>14.56</v>
      </c>
      <c r="I8" s="53">
        <v>103.5</v>
      </c>
      <c r="J8" s="53">
        <f t="shared" si="0"/>
        <v>1506.96</v>
      </c>
      <c r="K8" s="53">
        <f>G8+J8</f>
        <v>8507.1242000000002</v>
      </c>
      <c r="L8" s="53">
        <f>+K8</f>
        <v>8507.1242000000002</v>
      </c>
      <c r="M8" s="53"/>
      <c r="N8" s="53"/>
    </row>
    <row r="9" spans="1:14">
      <c r="A9" s="19">
        <v>6</v>
      </c>
      <c r="B9" s="417" t="s">
        <v>165</v>
      </c>
      <c r="C9" s="53"/>
      <c r="D9" s="53"/>
      <c r="E9" s="53"/>
      <c r="F9" s="53"/>
      <c r="G9" s="53">
        <f t="shared" si="1"/>
        <v>0</v>
      </c>
      <c r="H9" s="53">
        <v>4.8499999999999996</v>
      </c>
      <c r="I9" s="53">
        <v>103.5</v>
      </c>
      <c r="J9" s="53">
        <f t="shared" si="0"/>
        <v>501.97499999999997</v>
      </c>
      <c r="K9" s="53">
        <f>G9+J9</f>
        <v>501.97499999999997</v>
      </c>
      <c r="L9" s="53">
        <f>+K9</f>
        <v>501.97499999999997</v>
      </c>
      <c r="M9" s="53"/>
      <c r="N9" s="53"/>
    </row>
    <row r="10" spans="1:14">
      <c r="A10" s="19">
        <v>7</v>
      </c>
      <c r="B10" s="417" t="s">
        <v>178</v>
      </c>
      <c r="C10" s="53"/>
      <c r="D10" s="53"/>
      <c r="E10" s="53">
        <v>89.74</v>
      </c>
      <c r="F10" s="53">
        <v>89.14</v>
      </c>
      <c r="G10" s="53">
        <f t="shared" si="1"/>
        <v>7999.4235999999992</v>
      </c>
      <c r="H10" s="53"/>
      <c r="I10" s="53">
        <v>103.5</v>
      </c>
      <c r="J10" s="53">
        <f t="shared" ref="J10:J12" si="2">H10*I10</f>
        <v>0</v>
      </c>
      <c r="K10" s="53">
        <f>G10+J10</f>
        <v>7999.4235999999992</v>
      </c>
      <c r="L10" s="53">
        <f>+K10</f>
        <v>7999.4235999999992</v>
      </c>
      <c r="M10" s="53"/>
      <c r="N10" s="53"/>
    </row>
    <row r="11" spans="1:14">
      <c r="A11" s="19">
        <v>8</v>
      </c>
      <c r="B11" s="417" t="s">
        <v>169</v>
      </c>
      <c r="C11" s="53"/>
      <c r="D11" s="53"/>
      <c r="E11" s="53">
        <v>10.1</v>
      </c>
      <c r="F11" s="53">
        <v>89.14</v>
      </c>
      <c r="G11" s="53">
        <f t="shared" si="1"/>
        <v>900.31399999999996</v>
      </c>
      <c r="H11" s="53">
        <v>5</v>
      </c>
      <c r="I11" s="53">
        <v>103.5</v>
      </c>
      <c r="J11" s="53">
        <f t="shared" si="2"/>
        <v>517.5</v>
      </c>
      <c r="K11" s="53">
        <f>G11+J11</f>
        <v>1417.8139999999999</v>
      </c>
      <c r="L11" s="53">
        <f>+K11</f>
        <v>1417.8139999999999</v>
      </c>
      <c r="M11" s="53"/>
      <c r="N11" s="53"/>
    </row>
    <row r="12" spans="1:14">
      <c r="A12" s="19">
        <v>9</v>
      </c>
      <c r="B12" s="417" t="s">
        <v>170</v>
      </c>
      <c r="C12" s="53"/>
      <c r="D12" s="53"/>
      <c r="E12" s="53"/>
      <c r="F12" s="53"/>
      <c r="G12" s="53"/>
      <c r="H12" s="53">
        <v>5</v>
      </c>
      <c r="I12" s="53">
        <v>103.5</v>
      </c>
      <c r="J12" s="53">
        <f t="shared" si="2"/>
        <v>517.5</v>
      </c>
      <c r="K12" s="53">
        <f>G12+J12</f>
        <v>517.5</v>
      </c>
      <c r="L12" s="53">
        <f>+K12</f>
        <v>517.5</v>
      </c>
      <c r="M12" s="53"/>
      <c r="N12" s="53"/>
    </row>
    <row r="13" spans="1:14">
      <c r="A13" s="252"/>
      <c r="B13" s="252"/>
      <c r="C13" s="252"/>
      <c r="D13" s="252"/>
      <c r="E13" s="252">
        <f>SUM(E4:E12)</f>
        <v>341.04</v>
      </c>
      <c r="F13" s="252"/>
      <c r="G13" s="252">
        <f>SUM(G4:G12)</f>
        <v>30400.305599999996</v>
      </c>
      <c r="H13" s="252">
        <f>SUM(H4:H12)</f>
        <v>39.410000000000004</v>
      </c>
      <c r="I13" s="252"/>
      <c r="J13" s="252">
        <f>SUM(J4:J12)</f>
        <v>4074.4349999999999</v>
      </c>
      <c r="K13" s="252">
        <f>SUM(K4:K12)</f>
        <v>34474.740599999997</v>
      </c>
      <c r="L13" s="252">
        <f>SUM(L4:L12)</f>
        <v>34474.740599999997</v>
      </c>
      <c r="M13" s="252"/>
      <c r="N13" s="252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2"/>
  <sheetViews>
    <sheetView workbookViewId="0">
      <pane ySplit="2" topLeftCell="A13" activePane="bottomLeft" state="frozen"/>
      <selection pane="bottomLeft" activeCell="H38" sqref="H38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62" t="s">
        <v>109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</row>
    <row r="2" spans="1:14">
      <c r="A2" s="89" t="s">
        <v>1</v>
      </c>
      <c r="B2" s="89" t="s">
        <v>2</v>
      </c>
      <c r="C2" s="89" t="s">
        <v>3</v>
      </c>
      <c r="D2" s="89" t="s">
        <v>4</v>
      </c>
      <c r="E2" s="122" t="s">
        <v>5</v>
      </c>
      <c r="F2" s="122" t="s">
        <v>6</v>
      </c>
      <c r="G2" s="122" t="s">
        <v>7</v>
      </c>
      <c r="H2" s="122" t="s">
        <v>8</v>
      </c>
      <c r="I2" s="122" t="s">
        <v>6</v>
      </c>
      <c r="J2" s="122" t="s">
        <v>7</v>
      </c>
      <c r="K2" s="122" t="s">
        <v>9</v>
      </c>
      <c r="L2" s="115" t="s">
        <v>10</v>
      </c>
      <c r="M2" s="115" t="s">
        <v>11</v>
      </c>
      <c r="N2" s="89" t="s">
        <v>12</v>
      </c>
    </row>
    <row r="3" spans="1:14">
      <c r="A3" s="463" t="s">
        <v>13</v>
      </c>
      <c r="B3" s="463"/>
      <c r="C3" s="463"/>
      <c r="D3" s="463"/>
      <c r="E3" s="463"/>
      <c r="F3" s="463"/>
      <c r="G3" s="463"/>
      <c r="H3" s="463"/>
      <c r="I3" s="463"/>
      <c r="J3" s="463"/>
      <c r="K3" s="238">
        <v>0</v>
      </c>
      <c r="L3" s="134"/>
      <c r="M3" s="134">
        <f>+K3</f>
        <v>0</v>
      </c>
    </row>
    <row r="4" spans="1:14">
      <c r="A4" s="67">
        <v>1</v>
      </c>
      <c r="B4" s="314">
        <v>45689</v>
      </c>
      <c r="C4" s="6"/>
      <c r="D4" s="6"/>
      <c r="E4" s="65">
        <v>100</v>
      </c>
      <c r="F4" s="65">
        <v>89.9</v>
      </c>
      <c r="G4" s="91">
        <f>E4*F4</f>
        <v>8990</v>
      </c>
      <c r="H4" s="65">
        <v>0</v>
      </c>
      <c r="I4" s="65">
        <v>0</v>
      </c>
      <c r="J4" s="91">
        <f>H4*I4</f>
        <v>0</v>
      </c>
      <c r="K4" s="91">
        <f>G4+J4</f>
        <v>8990</v>
      </c>
      <c r="L4" s="91">
        <f>+K4</f>
        <v>8990</v>
      </c>
      <c r="M4" s="91">
        <f>M3+K4-L4</f>
        <v>0</v>
      </c>
      <c r="N4" s="6" t="s">
        <v>174</v>
      </c>
    </row>
    <row r="5" spans="1:14">
      <c r="A5" s="67">
        <v>2</v>
      </c>
      <c r="B5" s="314">
        <v>45690</v>
      </c>
      <c r="C5" s="6"/>
      <c r="D5" s="6"/>
      <c r="E5" s="65">
        <v>0</v>
      </c>
      <c r="F5" s="65">
        <v>0</v>
      </c>
      <c r="G5" s="91">
        <f t="shared" ref="G5:G31" si="0">E5*F5</f>
        <v>0</v>
      </c>
      <c r="H5" s="65">
        <v>12.7</v>
      </c>
      <c r="I5" s="65">
        <v>103.96</v>
      </c>
      <c r="J5" s="91">
        <f t="shared" ref="J5:J31" si="1">H5*I5</f>
        <v>1320.2919999999999</v>
      </c>
      <c r="K5" s="91">
        <f>G5+J5</f>
        <v>1320.2919999999999</v>
      </c>
      <c r="L5" s="91">
        <f t="shared" ref="L5:L15" si="2">+K5</f>
        <v>1320.2919999999999</v>
      </c>
      <c r="M5" s="91">
        <f t="shared" ref="M5:M21" si="3">M4+K5-L5</f>
        <v>0</v>
      </c>
      <c r="N5" s="6"/>
    </row>
    <row r="6" spans="1:14">
      <c r="A6" s="67">
        <v>3</v>
      </c>
      <c r="B6" s="314">
        <v>45691</v>
      </c>
      <c r="C6" s="6"/>
      <c r="D6" s="6"/>
      <c r="E6" s="65">
        <v>0</v>
      </c>
      <c r="F6" s="65">
        <v>0</v>
      </c>
      <c r="G6" s="91">
        <f t="shared" si="0"/>
        <v>0</v>
      </c>
      <c r="H6" s="65">
        <v>0</v>
      </c>
      <c r="I6" s="65">
        <v>0</v>
      </c>
      <c r="J6" s="91">
        <f t="shared" si="1"/>
        <v>0</v>
      </c>
      <c r="K6" s="91">
        <f>G6+J6</f>
        <v>0</v>
      </c>
      <c r="L6" s="91">
        <f t="shared" si="2"/>
        <v>0</v>
      </c>
      <c r="M6" s="91">
        <f t="shared" si="3"/>
        <v>0</v>
      </c>
      <c r="N6" s="6"/>
    </row>
    <row r="7" spans="1:14">
      <c r="A7" s="67">
        <v>4</v>
      </c>
      <c r="B7" s="306">
        <v>45692</v>
      </c>
      <c r="C7" s="6"/>
      <c r="D7" s="6"/>
      <c r="E7" s="65">
        <v>0</v>
      </c>
      <c r="F7" s="65">
        <v>89.9</v>
      </c>
      <c r="G7" s="91">
        <f t="shared" si="0"/>
        <v>0</v>
      </c>
      <c r="H7" s="65">
        <v>0</v>
      </c>
      <c r="I7" s="65">
        <v>0</v>
      </c>
      <c r="J7" s="91">
        <f t="shared" si="1"/>
        <v>0</v>
      </c>
      <c r="K7" s="91">
        <f>G7+J7</f>
        <v>0</v>
      </c>
      <c r="L7" s="91">
        <f t="shared" si="2"/>
        <v>0</v>
      </c>
      <c r="M7" s="91">
        <f t="shared" si="3"/>
        <v>0</v>
      </c>
      <c r="N7" s="6"/>
    </row>
    <row r="8" spans="1:14">
      <c r="A8" s="67">
        <v>5</v>
      </c>
      <c r="B8" s="306">
        <v>45693</v>
      </c>
      <c r="C8" s="6"/>
      <c r="D8" s="6"/>
      <c r="E8" s="65">
        <v>50</v>
      </c>
      <c r="F8" s="65">
        <v>89.9</v>
      </c>
      <c r="G8" s="91">
        <f t="shared" si="0"/>
        <v>4495</v>
      </c>
      <c r="H8" s="65">
        <v>0</v>
      </c>
      <c r="I8" s="65">
        <v>0</v>
      </c>
      <c r="J8" s="91">
        <f t="shared" si="1"/>
        <v>0</v>
      </c>
      <c r="K8" s="91">
        <f>G8+J8</f>
        <v>4495</v>
      </c>
      <c r="L8" s="91">
        <f t="shared" si="2"/>
        <v>4495</v>
      </c>
      <c r="M8" s="91">
        <f t="shared" si="3"/>
        <v>0</v>
      </c>
      <c r="N8" s="6"/>
    </row>
    <row r="9" spans="1:14">
      <c r="A9" s="67">
        <v>6</v>
      </c>
      <c r="B9" s="306">
        <v>45694</v>
      </c>
      <c r="C9" s="6"/>
      <c r="D9" s="6"/>
      <c r="E9" s="65">
        <v>0</v>
      </c>
      <c r="F9" s="65">
        <v>0</v>
      </c>
      <c r="G9" s="91">
        <f t="shared" si="0"/>
        <v>0</v>
      </c>
      <c r="H9" s="65">
        <v>0</v>
      </c>
      <c r="I9" s="65">
        <v>0</v>
      </c>
      <c r="J9" s="91">
        <f t="shared" si="1"/>
        <v>0</v>
      </c>
      <c r="K9" s="91">
        <f>G9+J9</f>
        <v>0</v>
      </c>
      <c r="L9" s="91">
        <f t="shared" si="2"/>
        <v>0</v>
      </c>
      <c r="M9" s="91">
        <f t="shared" si="3"/>
        <v>0</v>
      </c>
      <c r="N9" s="6"/>
    </row>
    <row r="10" spans="1:14">
      <c r="A10" s="67">
        <v>7</v>
      </c>
      <c r="B10" s="306">
        <v>45695</v>
      </c>
      <c r="C10" s="6"/>
      <c r="D10" s="6"/>
      <c r="E10" s="65">
        <v>50</v>
      </c>
      <c r="F10" s="65">
        <v>89.9</v>
      </c>
      <c r="G10" s="91">
        <f t="shared" si="0"/>
        <v>4495</v>
      </c>
      <c r="H10" s="65">
        <v>0</v>
      </c>
      <c r="I10" s="65">
        <v>0</v>
      </c>
      <c r="J10" s="91">
        <f t="shared" si="1"/>
        <v>0</v>
      </c>
      <c r="K10" s="91">
        <f>G10+J10</f>
        <v>4495</v>
      </c>
      <c r="L10" s="91">
        <f t="shared" si="2"/>
        <v>4495</v>
      </c>
      <c r="M10" s="91">
        <f t="shared" si="3"/>
        <v>0</v>
      </c>
      <c r="N10" s="6"/>
    </row>
    <row r="11" spans="1:14">
      <c r="A11" s="67">
        <v>8</v>
      </c>
      <c r="B11" s="306">
        <v>45696</v>
      </c>
      <c r="C11" s="6"/>
      <c r="D11" s="6"/>
      <c r="E11" s="65">
        <v>60</v>
      </c>
      <c r="F11" s="65">
        <v>89.9</v>
      </c>
      <c r="G11" s="91">
        <f t="shared" si="0"/>
        <v>5394</v>
      </c>
      <c r="H11" s="65">
        <v>0</v>
      </c>
      <c r="I11" s="65">
        <v>0</v>
      </c>
      <c r="J11" s="91">
        <f t="shared" si="1"/>
        <v>0</v>
      </c>
      <c r="K11" s="91">
        <f>G11+J11</f>
        <v>5394</v>
      </c>
      <c r="L11" s="91">
        <f t="shared" si="2"/>
        <v>5394</v>
      </c>
      <c r="M11" s="91">
        <f t="shared" si="3"/>
        <v>0</v>
      </c>
      <c r="N11" s="6"/>
    </row>
    <row r="12" spans="1:14">
      <c r="A12" s="67">
        <v>9</v>
      </c>
      <c r="B12" s="306">
        <v>45697</v>
      </c>
      <c r="C12" s="6"/>
      <c r="D12" s="6"/>
      <c r="E12" s="65">
        <v>0</v>
      </c>
      <c r="F12" s="65">
        <v>89.9</v>
      </c>
      <c r="G12" s="91">
        <f t="shared" si="0"/>
        <v>0</v>
      </c>
      <c r="H12" s="65">
        <v>0</v>
      </c>
      <c r="I12" s="65">
        <v>0</v>
      </c>
      <c r="J12" s="91">
        <f t="shared" si="1"/>
        <v>0</v>
      </c>
      <c r="K12" s="91">
        <f>G12+J12</f>
        <v>0</v>
      </c>
      <c r="L12" s="91">
        <f t="shared" si="2"/>
        <v>0</v>
      </c>
      <c r="M12" s="91">
        <f t="shared" si="3"/>
        <v>0</v>
      </c>
      <c r="N12" s="6"/>
    </row>
    <row r="13" spans="1:14">
      <c r="A13" s="67">
        <v>10</v>
      </c>
      <c r="B13" s="306">
        <v>45698</v>
      </c>
      <c r="C13" s="6"/>
      <c r="D13" s="6"/>
      <c r="E13" s="65">
        <v>74</v>
      </c>
      <c r="F13" s="65">
        <v>89.9</v>
      </c>
      <c r="G13" s="91">
        <f t="shared" si="0"/>
        <v>6652.6</v>
      </c>
      <c r="H13" s="65">
        <v>13.39</v>
      </c>
      <c r="I13" s="65">
        <v>103.96</v>
      </c>
      <c r="J13" s="91">
        <f t="shared" si="1"/>
        <v>1392.0244</v>
      </c>
      <c r="K13" s="91">
        <f>G13+J13</f>
        <v>8044.6244000000006</v>
      </c>
      <c r="L13" s="91">
        <f>+K13</f>
        <v>8044.6244000000006</v>
      </c>
      <c r="M13" s="91">
        <f t="shared" si="3"/>
        <v>0</v>
      </c>
      <c r="N13" s="6"/>
    </row>
    <row r="14" spans="1:14">
      <c r="A14" s="67">
        <v>11</v>
      </c>
      <c r="B14" s="306">
        <v>45699</v>
      </c>
      <c r="C14" s="6"/>
      <c r="D14" s="6"/>
      <c r="E14" s="65">
        <v>96.28</v>
      </c>
      <c r="F14" s="65">
        <v>89.9</v>
      </c>
      <c r="G14" s="91">
        <f t="shared" si="0"/>
        <v>8655.5720000000001</v>
      </c>
      <c r="H14" s="65">
        <v>0</v>
      </c>
      <c r="I14" s="65">
        <v>0</v>
      </c>
      <c r="J14" s="91">
        <f t="shared" si="1"/>
        <v>0</v>
      </c>
      <c r="K14" s="91">
        <f>G14+J14</f>
        <v>8655.5720000000001</v>
      </c>
      <c r="L14" s="91">
        <f t="shared" si="2"/>
        <v>8655.5720000000001</v>
      </c>
      <c r="M14" s="91">
        <f t="shared" si="3"/>
        <v>0</v>
      </c>
      <c r="N14" s="6"/>
    </row>
    <row r="15" spans="1:14">
      <c r="A15" s="67">
        <v>12</v>
      </c>
      <c r="B15" s="306">
        <v>45700</v>
      </c>
      <c r="C15" s="6"/>
      <c r="D15" s="6"/>
      <c r="E15" s="65">
        <v>80</v>
      </c>
      <c r="F15" s="65">
        <v>89.9</v>
      </c>
      <c r="G15" s="91">
        <f t="shared" si="0"/>
        <v>7192</v>
      </c>
      <c r="H15" s="65">
        <v>0</v>
      </c>
      <c r="I15" s="65">
        <v>0</v>
      </c>
      <c r="J15" s="91">
        <f t="shared" si="1"/>
        <v>0</v>
      </c>
      <c r="K15" s="91">
        <f>G15+J15</f>
        <v>7192</v>
      </c>
      <c r="L15" s="91">
        <f t="shared" si="2"/>
        <v>7192</v>
      </c>
      <c r="M15" s="91">
        <f t="shared" si="3"/>
        <v>0</v>
      </c>
      <c r="N15" s="6"/>
    </row>
    <row r="16" spans="1:14">
      <c r="A16" s="67">
        <v>13</v>
      </c>
      <c r="B16" s="306">
        <v>45701</v>
      </c>
      <c r="C16" s="6"/>
      <c r="D16" s="6"/>
      <c r="E16" s="65">
        <v>0</v>
      </c>
      <c r="F16" s="65">
        <v>0</v>
      </c>
      <c r="G16" s="91">
        <f t="shared" si="0"/>
        <v>0</v>
      </c>
      <c r="H16" s="65">
        <v>0</v>
      </c>
      <c r="I16" s="65">
        <v>0</v>
      </c>
      <c r="J16" s="91">
        <f t="shared" si="1"/>
        <v>0</v>
      </c>
      <c r="K16" s="91">
        <f>G16+J16</f>
        <v>0</v>
      </c>
      <c r="L16" s="6"/>
      <c r="M16" s="91">
        <f t="shared" si="3"/>
        <v>0</v>
      </c>
      <c r="N16" s="6"/>
    </row>
    <row r="17" spans="1:14">
      <c r="A17" s="67">
        <v>14</v>
      </c>
      <c r="B17" s="306">
        <v>45702</v>
      </c>
      <c r="C17" s="236"/>
      <c r="D17" s="6"/>
      <c r="E17" s="65">
        <v>70</v>
      </c>
      <c r="F17" s="65">
        <v>89.9</v>
      </c>
      <c r="G17" s="91">
        <f t="shared" si="0"/>
        <v>6293</v>
      </c>
      <c r="H17" s="65">
        <v>4.87</v>
      </c>
      <c r="I17" s="65">
        <v>103.96</v>
      </c>
      <c r="J17" s="91">
        <f t="shared" si="1"/>
        <v>506.28519999999997</v>
      </c>
      <c r="K17" s="91">
        <f>G17+J17</f>
        <v>6799.2852000000003</v>
      </c>
      <c r="L17" s="6">
        <v>6799.29</v>
      </c>
      <c r="M17" s="91">
        <f t="shared" si="3"/>
        <v>-4.7999999997045961E-3</v>
      </c>
      <c r="N17" s="6"/>
    </row>
    <row r="18" spans="1:14">
      <c r="A18" s="67">
        <v>15</v>
      </c>
      <c r="B18" s="306">
        <v>45703</v>
      </c>
      <c r="C18" s="236"/>
      <c r="D18" s="6"/>
      <c r="E18" s="65">
        <v>60</v>
      </c>
      <c r="F18" s="65">
        <v>89.9</v>
      </c>
      <c r="G18" s="91">
        <f t="shared" si="0"/>
        <v>5394</v>
      </c>
      <c r="H18" s="65">
        <v>0</v>
      </c>
      <c r="I18" s="65">
        <v>0</v>
      </c>
      <c r="J18" s="91">
        <f t="shared" si="1"/>
        <v>0</v>
      </c>
      <c r="K18" s="91">
        <f>G18+J18</f>
        <v>5394</v>
      </c>
      <c r="L18" s="6">
        <v>5394</v>
      </c>
      <c r="M18" s="91">
        <f t="shared" si="3"/>
        <v>-4.7999999997045961E-3</v>
      </c>
      <c r="N18" s="6"/>
    </row>
    <row r="19" spans="1:14">
      <c r="A19" s="67">
        <v>16</v>
      </c>
      <c r="B19" s="306">
        <v>45704</v>
      </c>
      <c r="C19" s="236"/>
      <c r="D19" s="6"/>
      <c r="E19" s="65">
        <v>60</v>
      </c>
      <c r="F19" s="65">
        <v>89.9</v>
      </c>
      <c r="G19" s="91">
        <f t="shared" si="0"/>
        <v>5394</v>
      </c>
      <c r="H19" s="65">
        <v>6.74</v>
      </c>
      <c r="I19" s="65">
        <v>103.96</v>
      </c>
      <c r="J19" s="91">
        <f t="shared" si="1"/>
        <v>700.69039999999995</v>
      </c>
      <c r="K19" s="91">
        <f>G19+J19</f>
        <v>6094.6903999999995</v>
      </c>
      <c r="L19" s="6">
        <v>6094.69</v>
      </c>
      <c r="M19" s="91">
        <f t="shared" si="3"/>
        <v>-4.3999999998050043E-3</v>
      </c>
      <c r="N19" s="6"/>
    </row>
    <row r="20" spans="1:14">
      <c r="A20" s="67">
        <v>17</v>
      </c>
      <c r="B20" s="306">
        <v>45705</v>
      </c>
      <c r="C20" s="236"/>
      <c r="D20" s="6"/>
      <c r="E20" s="65">
        <v>0</v>
      </c>
      <c r="F20" s="65">
        <v>89.9</v>
      </c>
      <c r="G20" s="91">
        <f t="shared" si="0"/>
        <v>0</v>
      </c>
      <c r="H20" s="65">
        <v>0</v>
      </c>
      <c r="I20" s="65">
        <v>0</v>
      </c>
      <c r="J20" s="91">
        <f t="shared" si="1"/>
        <v>0</v>
      </c>
      <c r="K20" s="91">
        <f>G20+J20</f>
        <v>0</v>
      </c>
      <c r="L20" s="6"/>
      <c r="M20" s="91">
        <f t="shared" si="3"/>
        <v>-4.3999999998050043E-3</v>
      </c>
      <c r="N20" s="6"/>
    </row>
    <row r="21" spans="1:14">
      <c r="A21" s="67">
        <v>18</v>
      </c>
      <c r="B21" s="306">
        <v>45706</v>
      </c>
      <c r="C21" s="236"/>
      <c r="D21" s="6"/>
      <c r="E21" s="65">
        <v>60</v>
      </c>
      <c r="F21" s="65">
        <v>89.9</v>
      </c>
      <c r="G21" s="91">
        <f t="shared" si="0"/>
        <v>5394</v>
      </c>
      <c r="H21" s="65">
        <v>0</v>
      </c>
      <c r="I21" s="65">
        <v>0</v>
      </c>
      <c r="J21" s="91">
        <f t="shared" si="1"/>
        <v>0</v>
      </c>
      <c r="K21" s="91">
        <f>G21+J21</f>
        <v>5394</v>
      </c>
      <c r="L21" s="6">
        <v>5394</v>
      </c>
      <c r="M21" s="91">
        <f t="shared" si="3"/>
        <v>-4.3999999998050043E-3</v>
      </c>
      <c r="N21" s="6"/>
    </row>
    <row r="22" spans="1:14">
      <c r="A22" s="67">
        <v>19</v>
      </c>
      <c r="B22" s="306">
        <v>45707</v>
      </c>
      <c r="C22" s="236"/>
      <c r="D22" s="6"/>
      <c r="E22" s="65">
        <v>0</v>
      </c>
      <c r="F22" s="65">
        <v>0</v>
      </c>
      <c r="G22" s="91">
        <f t="shared" si="0"/>
        <v>0</v>
      </c>
      <c r="H22" s="65">
        <v>0</v>
      </c>
      <c r="I22" s="65">
        <v>0</v>
      </c>
      <c r="J22" s="91">
        <f t="shared" si="1"/>
        <v>0</v>
      </c>
      <c r="K22" s="91">
        <f>G22+J22</f>
        <v>0</v>
      </c>
      <c r="L22" s="6"/>
      <c r="M22" s="91">
        <f t="shared" ref="M22:M31" si="4">M21+K22-L22</f>
        <v>-4.3999999998050043E-3</v>
      </c>
      <c r="N22" s="6"/>
    </row>
    <row r="23" spans="1:14">
      <c r="A23" s="67">
        <v>20</v>
      </c>
      <c r="B23" s="306">
        <v>45708</v>
      </c>
      <c r="C23" s="236"/>
      <c r="D23" s="6"/>
      <c r="E23" s="65">
        <v>85</v>
      </c>
      <c r="F23" s="65">
        <v>89.9</v>
      </c>
      <c r="G23" s="91">
        <f t="shared" si="0"/>
        <v>7641.5000000000009</v>
      </c>
      <c r="H23" s="65">
        <v>6.26</v>
      </c>
      <c r="I23" s="65">
        <v>103.96</v>
      </c>
      <c r="J23" s="91">
        <f t="shared" si="1"/>
        <v>650.78959999999995</v>
      </c>
      <c r="K23" s="91">
        <f>G23+J23</f>
        <v>8292.2896000000001</v>
      </c>
      <c r="L23" s="6">
        <v>8292.2900000000009</v>
      </c>
      <c r="M23" s="91">
        <f t="shared" si="4"/>
        <v>-4.8000000006140908E-3</v>
      </c>
      <c r="N23" s="6"/>
    </row>
    <row r="24" spans="1:14">
      <c r="A24" s="67">
        <v>21</v>
      </c>
      <c r="B24" s="306">
        <v>45709</v>
      </c>
      <c r="C24" s="236"/>
      <c r="D24" s="6"/>
      <c r="E24" s="65">
        <v>22.91</v>
      </c>
      <c r="F24" s="65">
        <v>89.9</v>
      </c>
      <c r="G24" s="91">
        <f t="shared" si="0"/>
        <v>2059.6089999999999</v>
      </c>
      <c r="H24" s="65">
        <v>6.74</v>
      </c>
      <c r="I24" s="65">
        <v>103.96</v>
      </c>
      <c r="J24" s="91">
        <f t="shared" si="1"/>
        <v>700.69039999999995</v>
      </c>
      <c r="K24" s="91">
        <f>G24+J24</f>
        <v>2760.2993999999999</v>
      </c>
      <c r="L24" s="91">
        <v>2760.2993999999999</v>
      </c>
      <c r="M24" s="91">
        <f t="shared" si="4"/>
        <v>-4.8000000006140908E-3</v>
      </c>
      <c r="N24" s="6"/>
    </row>
    <row r="25" spans="1:14">
      <c r="A25" s="67">
        <v>22</v>
      </c>
      <c r="B25" s="306">
        <v>45710</v>
      </c>
      <c r="C25" s="236"/>
      <c r="D25" s="6"/>
      <c r="E25" s="65">
        <v>40</v>
      </c>
      <c r="F25" s="65">
        <v>89.9</v>
      </c>
      <c r="G25" s="91">
        <f t="shared" si="0"/>
        <v>3596</v>
      </c>
      <c r="H25" s="65">
        <v>0</v>
      </c>
      <c r="I25" s="65">
        <v>0</v>
      </c>
      <c r="J25" s="91">
        <f t="shared" si="1"/>
        <v>0</v>
      </c>
      <c r="K25" s="91">
        <f>G25+J25</f>
        <v>3596</v>
      </c>
      <c r="L25" s="6">
        <v>3596</v>
      </c>
      <c r="M25" s="91">
        <f t="shared" si="4"/>
        <v>-4.8000000006140908E-3</v>
      </c>
      <c r="N25" s="6"/>
    </row>
    <row r="26" spans="1:14">
      <c r="A26" s="67">
        <v>23</v>
      </c>
      <c r="B26" s="306">
        <v>45711</v>
      </c>
      <c r="C26" s="236"/>
      <c r="D26" s="6"/>
      <c r="E26" s="65">
        <v>0</v>
      </c>
      <c r="F26" s="65">
        <v>0</v>
      </c>
      <c r="G26" s="91">
        <f t="shared" si="0"/>
        <v>0</v>
      </c>
      <c r="H26" s="65">
        <v>0</v>
      </c>
      <c r="I26" s="65">
        <v>0</v>
      </c>
      <c r="J26" s="91">
        <f t="shared" si="1"/>
        <v>0</v>
      </c>
      <c r="K26" s="91">
        <f>G26+J26</f>
        <v>0</v>
      </c>
      <c r="L26" s="6"/>
      <c r="M26" s="91">
        <f t="shared" si="4"/>
        <v>-4.8000000006140908E-3</v>
      </c>
      <c r="N26" s="6"/>
    </row>
    <row r="27" spans="1:14">
      <c r="A27" s="67">
        <v>24</v>
      </c>
      <c r="B27" s="306">
        <v>45712</v>
      </c>
      <c r="C27" s="236"/>
      <c r="D27" s="6"/>
      <c r="E27" s="65">
        <v>0</v>
      </c>
      <c r="F27" s="65">
        <v>0</v>
      </c>
      <c r="G27" s="91">
        <f t="shared" si="0"/>
        <v>0</v>
      </c>
      <c r="H27" s="65">
        <v>0</v>
      </c>
      <c r="I27" s="65">
        <v>0</v>
      </c>
      <c r="J27" s="91">
        <f t="shared" si="1"/>
        <v>0</v>
      </c>
      <c r="K27" s="91">
        <f>G27+J27</f>
        <v>0</v>
      </c>
      <c r="L27" s="6"/>
      <c r="M27" s="91">
        <f t="shared" si="4"/>
        <v>-4.8000000006140908E-3</v>
      </c>
      <c r="N27" s="6"/>
    </row>
    <row r="28" spans="1:14">
      <c r="A28" s="67">
        <v>25</v>
      </c>
      <c r="B28" s="306">
        <v>45713</v>
      </c>
      <c r="C28" s="236"/>
      <c r="D28" s="6"/>
      <c r="E28" s="125">
        <v>98.68</v>
      </c>
      <c r="F28" s="65">
        <v>89.9</v>
      </c>
      <c r="G28" s="91">
        <f t="shared" si="0"/>
        <v>8871.3320000000003</v>
      </c>
      <c r="H28" s="65">
        <v>0</v>
      </c>
      <c r="I28" s="65">
        <v>0</v>
      </c>
      <c r="J28" s="91">
        <f t="shared" si="1"/>
        <v>0</v>
      </c>
      <c r="K28" s="91">
        <f>G28+J28</f>
        <v>8871.3320000000003</v>
      </c>
      <c r="L28" s="91">
        <f>+K28</f>
        <v>8871.3320000000003</v>
      </c>
      <c r="M28" s="91">
        <f t="shared" si="4"/>
        <v>-4.8000000006140908E-3</v>
      </c>
      <c r="N28" s="6"/>
    </row>
    <row r="29" spans="1:14">
      <c r="A29" s="67">
        <v>26</v>
      </c>
      <c r="B29" s="306">
        <v>45714</v>
      </c>
      <c r="C29" s="236"/>
      <c r="D29" s="6"/>
      <c r="E29" s="398">
        <v>85</v>
      </c>
      <c r="F29" s="65">
        <v>89.9</v>
      </c>
      <c r="G29" s="91">
        <f t="shared" si="0"/>
        <v>7641.5000000000009</v>
      </c>
      <c r="H29" s="65">
        <v>0</v>
      </c>
      <c r="I29" s="65">
        <v>0</v>
      </c>
      <c r="J29" s="91">
        <f t="shared" si="1"/>
        <v>0</v>
      </c>
      <c r="K29" s="91">
        <f>G29+J29</f>
        <v>7641.5000000000009</v>
      </c>
      <c r="L29" s="91">
        <f t="shared" ref="L29:L31" si="5">+K29</f>
        <v>7641.5000000000009</v>
      </c>
      <c r="M29" s="91">
        <f t="shared" si="4"/>
        <v>-4.8000000006140908E-3</v>
      </c>
      <c r="N29" s="6"/>
    </row>
    <row r="30" spans="1:14">
      <c r="A30" s="67">
        <v>27</v>
      </c>
      <c r="B30" s="306">
        <v>45715</v>
      </c>
      <c r="C30" s="236"/>
      <c r="D30" s="6"/>
      <c r="E30" s="65">
        <v>60</v>
      </c>
      <c r="F30" s="65">
        <v>89.9</v>
      </c>
      <c r="G30" s="91">
        <f t="shared" si="0"/>
        <v>5394</v>
      </c>
      <c r="H30" s="65">
        <v>5.77</v>
      </c>
      <c r="I30" s="65">
        <v>103.96</v>
      </c>
      <c r="J30" s="91">
        <f t="shared" si="1"/>
        <v>599.84919999999988</v>
      </c>
      <c r="K30" s="91">
        <f>G30+J30</f>
        <v>5993.8491999999997</v>
      </c>
      <c r="L30" s="91">
        <f t="shared" si="5"/>
        <v>5993.8491999999997</v>
      </c>
      <c r="M30" s="91">
        <f t="shared" si="4"/>
        <v>-4.8000000006140908E-3</v>
      </c>
      <c r="N30" s="6"/>
    </row>
    <row r="31" spans="1:14">
      <c r="A31" s="67">
        <v>28</v>
      </c>
      <c r="B31" s="306">
        <v>45716</v>
      </c>
      <c r="C31" s="236"/>
      <c r="D31" s="6"/>
      <c r="E31" s="65">
        <v>100</v>
      </c>
      <c r="F31" s="65">
        <v>89.9</v>
      </c>
      <c r="G31" s="91">
        <f t="shared" si="0"/>
        <v>8990</v>
      </c>
      <c r="H31" s="65">
        <v>7.53</v>
      </c>
      <c r="I31" s="65">
        <v>103.96</v>
      </c>
      <c r="J31" s="91">
        <f t="shared" si="1"/>
        <v>782.81880000000001</v>
      </c>
      <c r="K31" s="91">
        <f t="shared" ref="K30:K31" si="6">G31+J31</f>
        <v>9772.8188000000009</v>
      </c>
      <c r="L31" s="91">
        <f t="shared" si="5"/>
        <v>9772.8188000000009</v>
      </c>
      <c r="M31" s="91">
        <f t="shared" si="4"/>
        <v>-4.8000000006140908E-3</v>
      </c>
      <c r="N31" s="6"/>
    </row>
    <row r="32" spans="1:14">
      <c r="A32" s="63"/>
      <c r="B32" s="63"/>
      <c r="C32" s="63"/>
      <c r="D32" s="63"/>
      <c r="E32" s="63">
        <f>SUM(E4:E31)</f>
        <v>1251.8699999999999</v>
      </c>
      <c r="F32" s="63"/>
      <c r="G32" s="63">
        <f>SUM(G4:G31)</f>
        <v>112543.11299999998</v>
      </c>
      <c r="H32" s="63">
        <f>SUM(H4:H31)</f>
        <v>64</v>
      </c>
      <c r="I32" s="63"/>
      <c r="J32" s="63">
        <f>SUM(J4:J31)</f>
        <v>6653.4399999999987</v>
      </c>
      <c r="K32" s="63">
        <f>SUM(K4:K31)</f>
        <v>119196.55300000001</v>
      </c>
      <c r="L32" s="63">
        <f>SUM(L4:L31)</f>
        <v>119196.55779999998</v>
      </c>
      <c r="M32" s="63"/>
      <c r="N32" s="63"/>
    </row>
  </sheetData>
  <mergeCells count="2">
    <mergeCell ref="A1:N1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sheetPr>
    <tabColor theme="0"/>
  </sheetPr>
  <dimension ref="A1:U41"/>
  <sheetViews>
    <sheetView workbookViewId="0">
      <pane ySplit="2" topLeftCell="A3" activePane="bottomLeft" state="frozen"/>
      <selection pane="bottomLeft" activeCell="S15" sqref="S15"/>
    </sheetView>
  </sheetViews>
  <sheetFormatPr defaultRowHeight="15"/>
  <cols>
    <col min="1" max="1" width="5.140625" style="106" bestFit="1" customWidth="1"/>
    <col min="2" max="2" width="10.85546875" style="106" bestFit="1" customWidth="1"/>
    <col min="3" max="3" width="16" style="106" bestFit="1" customWidth="1"/>
    <col min="4" max="4" width="13.28515625" style="106" bestFit="1" customWidth="1"/>
    <col min="5" max="6" width="10.7109375" style="106" bestFit="1" customWidth="1"/>
    <col min="7" max="7" width="10.85546875" style="106" bestFit="1" customWidth="1"/>
    <col min="8" max="8" width="10.7109375" style="106" bestFit="1" customWidth="1"/>
    <col min="9" max="9" width="7.140625" style="106" bestFit="1" customWidth="1"/>
    <col min="10" max="10" width="9.7109375" style="106" bestFit="1" customWidth="1"/>
    <col min="11" max="12" width="13.5703125" style="106" bestFit="1" customWidth="1"/>
    <col min="13" max="13" width="15" style="106" customWidth="1"/>
    <col min="14" max="14" width="14.28515625" style="106" bestFit="1" customWidth="1"/>
    <col min="15" max="20" width="9.140625" style="106"/>
    <col min="21" max="21" width="11" style="106" bestFit="1" customWidth="1"/>
    <col min="22" max="16384" width="9.140625" style="106"/>
  </cols>
  <sheetData>
    <row r="1" spans="1:21" ht="15.75">
      <c r="A1" s="420" t="s">
        <v>107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77"/>
    </row>
    <row r="2" spans="1:21">
      <c r="A2" s="130" t="s">
        <v>1</v>
      </c>
      <c r="B2" s="131" t="s">
        <v>2</v>
      </c>
      <c r="C2" s="131" t="s">
        <v>3</v>
      </c>
      <c r="D2" s="131" t="s">
        <v>139</v>
      </c>
      <c r="E2" s="131" t="s">
        <v>5</v>
      </c>
      <c r="F2" s="131" t="s">
        <v>6</v>
      </c>
      <c r="G2" s="131" t="s">
        <v>7</v>
      </c>
      <c r="H2" s="131" t="s">
        <v>8</v>
      </c>
      <c r="I2" s="131" t="s">
        <v>6</v>
      </c>
      <c r="J2" s="177" t="s">
        <v>7</v>
      </c>
      <c r="K2" s="132" t="s">
        <v>9</v>
      </c>
      <c r="L2" s="178" t="s">
        <v>10</v>
      </c>
      <c r="M2" s="183" t="s">
        <v>11</v>
      </c>
      <c r="N2" s="133" t="s">
        <v>12</v>
      </c>
      <c r="O2" s="84"/>
    </row>
    <row r="3" spans="1:21">
      <c r="A3" s="465" t="s">
        <v>13</v>
      </c>
      <c r="B3" s="466"/>
      <c r="C3" s="466"/>
      <c r="D3" s="466"/>
      <c r="E3" s="466"/>
      <c r="F3" s="466"/>
      <c r="G3" s="466"/>
      <c r="H3" s="466"/>
      <c r="I3" s="466"/>
      <c r="J3" s="467"/>
      <c r="K3" s="323">
        <v>128790.07749999997</v>
      </c>
      <c r="L3" s="282"/>
      <c r="M3" s="194">
        <f>+K3</f>
        <v>128790.07749999997</v>
      </c>
      <c r="N3" s="202"/>
      <c r="O3" s="84"/>
    </row>
    <row r="4" spans="1:21">
      <c r="A4" s="67">
        <v>1</v>
      </c>
      <c r="B4" s="314">
        <v>45689</v>
      </c>
      <c r="C4" s="27"/>
      <c r="D4" s="20"/>
      <c r="E4" s="68">
        <v>30</v>
      </c>
      <c r="F4" s="68">
        <v>89.75</v>
      </c>
      <c r="G4" s="8">
        <f>E4*F4</f>
        <v>2692.5</v>
      </c>
      <c r="H4" s="68"/>
      <c r="I4" s="68"/>
      <c r="J4" s="8">
        <f>H4*I4</f>
        <v>0</v>
      </c>
      <c r="K4" s="8">
        <f>G4+J4</f>
        <v>2692.5</v>
      </c>
      <c r="L4" s="8"/>
      <c r="M4" s="8">
        <f>M3+K4-L4</f>
        <v>131482.57749999996</v>
      </c>
      <c r="N4" s="8"/>
      <c r="O4" s="84"/>
    </row>
    <row r="5" spans="1:21">
      <c r="A5" s="67">
        <v>2</v>
      </c>
      <c r="B5" s="314">
        <v>45690</v>
      </c>
      <c r="C5" s="27"/>
      <c r="D5" s="20"/>
      <c r="E5" s="68">
        <v>0</v>
      </c>
      <c r="F5" s="68">
        <v>0</v>
      </c>
      <c r="G5" s="8">
        <f t="shared" ref="G5:G31" si="0">E5*F5</f>
        <v>0</v>
      </c>
      <c r="H5" s="68"/>
      <c r="I5" s="68"/>
      <c r="J5" s="8">
        <f t="shared" ref="J5:J16" si="1">H5*I5</f>
        <v>0</v>
      </c>
      <c r="K5" s="8">
        <f>G5+J5</f>
        <v>0</v>
      </c>
      <c r="L5" s="8"/>
      <c r="M5" s="8">
        <f t="shared" ref="M5:M16" si="2">M4+K5-L5</f>
        <v>131482.57749999996</v>
      </c>
      <c r="N5" s="8"/>
      <c r="O5" s="84"/>
    </row>
    <row r="6" spans="1:21">
      <c r="A6" s="67">
        <v>3</v>
      </c>
      <c r="B6" s="314">
        <v>45691</v>
      </c>
      <c r="C6" s="27"/>
      <c r="D6" s="20"/>
      <c r="E6" s="68">
        <v>0</v>
      </c>
      <c r="F6" s="68">
        <v>0</v>
      </c>
      <c r="G6" s="8">
        <f t="shared" si="0"/>
        <v>0</v>
      </c>
      <c r="H6" s="68"/>
      <c r="I6" s="68"/>
      <c r="J6" s="8">
        <f t="shared" si="1"/>
        <v>0</v>
      </c>
      <c r="K6" s="8">
        <f>G6+J6</f>
        <v>0</v>
      </c>
      <c r="L6" s="8"/>
      <c r="M6" s="8">
        <f t="shared" si="2"/>
        <v>131482.57749999996</v>
      </c>
      <c r="N6" s="8"/>
      <c r="O6" s="84"/>
    </row>
    <row r="7" spans="1:21">
      <c r="A7" s="67">
        <v>4</v>
      </c>
      <c r="B7" s="306">
        <v>45692</v>
      </c>
      <c r="C7" s="27"/>
      <c r="D7" s="20"/>
      <c r="E7" s="68">
        <v>70</v>
      </c>
      <c r="F7" s="68">
        <v>89.75</v>
      </c>
      <c r="G7" s="8">
        <f t="shared" si="0"/>
        <v>6282.5</v>
      </c>
      <c r="H7" s="68">
        <v>10</v>
      </c>
      <c r="I7" s="68">
        <v>103.73</v>
      </c>
      <c r="J7" s="8">
        <f t="shared" si="1"/>
        <v>1037.3</v>
      </c>
      <c r="K7" s="8">
        <f>G7+J7</f>
        <v>7319.8</v>
      </c>
      <c r="L7" s="8"/>
      <c r="M7" s="8">
        <f t="shared" si="2"/>
        <v>138802.37749999994</v>
      </c>
      <c r="N7" s="8"/>
      <c r="O7" s="84"/>
    </row>
    <row r="8" spans="1:21">
      <c r="A8" s="67">
        <v>5</v>
      </c>
      <c r="B8" s="306">
        <v>45693</v>
      </c>
      <c r="C8" s="27"/>
      <c r="D8" s="20"/>
      <c r="E8" s="68">
        <v>35</v>
      </c>
      <c r="F8" s="68">
        <v>89.75</v>
      </c>
      <c r="G8" s="8">
        <f t="shared" si="0"/>
        <v>3141.25</v>
      </c>
      <c r="H8" s="68"/>
      <c r="I8" s="68"/>
      <c r="J8" s="8">
        <f t="shared" si="1"/>
        <v>0</v>
      </c>
      <c r="K8" s="8">
        <f>G8+J8</f>
        <v>3141.25</v>
      </c>
      <c r="L8" s="8">
        <v>130000</v>
      </c>
      <c r="M8" s="8">
        <f t="shared" si="2"/>
        <v>11943.627499999944</v>
      </c>
      <c r="N8" s="8"/>
      <c r="O8" s="84"/>
    </row>
    <row r="9" spans="1:21">
      <c r="A9" s="67">
        <v>6</v>
      </c>
      <c r="B9" s="306">
        <v>45694</v>
      </c>
      <c r="C9" s="27"/>
      <c r="D9" s="20"/>
      <c r="E9" s="68">
        <v>35</v>
      </c>
      <c r="F9" s="68">
        <v>89.75</v>
      </c>
      <c r="G9" s="8">
        <f t="shared" si="0"/>
        <v>3141.25</v>
      </c>
      <c r="H9" s="68"/>
      <c r="I9" s="68"/>
      <c r="J9" s="8">
        <f t="shared" si="1"/>
        <v>0</v>
      </c>
      <c r="K9" s="8">
        <f>G9+J9</f>
        <v>3141.25</v>
      </c>
      <c r="L9" s="8"/>
      <c r="M9" s="8">
        <f t="shared" si="2"/>
        <v>15084.877499999944</v>
      </c>
      <c r="N9" s="8"/>
      <c r="O9" s="84"/>
    </row>
    <row r="10" spans="1:21">
      <c r="A10" s="67">
        <v>7</v>
      </c>
      <c r="B10" s="306">
        <v>45695</v>
      </c>
      <c r="C10" s="27"/>
      <c r="D10" s="20"/>
      <c r="E10" s="68">
        <v>83.21</v>
      </c>
      <c r="F10" s="68">
        <v>89.75</v>
      </c>
      <c r="G10" s="8">
        <f t="shared" si="0"/>
        <v>7468.0974999999999</v>
      </c>
      <c r="H10" s="68">
        <v>5</v>
      </c>
      <c r="I10" s="68">
        <v>103.71</v>
      </c>
      <c r="J10" s="8">
        <f t="shared" si="1"/>
        <v>518.54999999999995</v>
      </c>
      <c r="K10" s="8">
        <f>G10+J10</f>
        <v>7986.6475</v>
      </c>
      <c r="L10" s="8"/>
      <c r="M10" s="8">
        <f t="shared" si="2"/>
        <v>23071.524999999943</v>
      </c>
      <c r="N10" s="8"/>
      <c r="O10" s="84"/>
    </row>
    <row r="11" spans="1:21">
      <c r="A11" s="67">
        <v>8</v>
      </c>
      <c r="B11" s="306">
        <v>45696</v>
      </c>
      <c r="C11" s="27"/>
      <c r="D11" s="20"/>
      <c r="E11" s="68">
        <v>50</v>
      </c>
      <c r="F11" s="68">
        <v>89.75</v>
      </c>
      <c r="G11" s="8">
        <f t="shared" si="0"/>
        <v>4487.5</v>
      </c>
      <c r="H11" s="68"/>
      <c r="I11" s="68"/>
      <c r="J11" s="8">
        <f t="shared" si="1"/>
        <v>0</v>
      </c>
      <c r="K11" s="8">
        <f>G11+J11</f>
        <v>4487.5</v>
      </c>
      <c r="L11" s="8"/>
      <c r="M11" s="8">
        <f t="shared" si="2"/>
        <v>27559.024999999943</v>
      </c>
      <c r="N11" s="8"/>
      <c r="O11" s="84"/>
    </row>
    <row r="12" spans="1:21">
      <c r="A12" s="67">
        <v>9</v>
      </c>
      <c r="B12" s="306">
        <v>45697</v>
      </c>
      <c r="C12" s="27"/>
      <c r="D12" s="20"/>
      <c r="E12" s="68">
        <v>0</v>
      </c>
      <c r="F12" s="68">
        <v>0</v>
      </c>
      <c r="G12" s="8">
        <f t="shared" si="0"/>
        <v>0</v>
      </c>
      <c r="H12" s="68">
        <v>0</v>
      </c>
      <c r="I12" s="68">
        <v>103.73</v>
      </c>
      <c r="J12" s="8">
        <f t="shared" si="1"/>
        <v>0</v>
      </c>
      <c r="K12" s="8">
        <f>G12+J12</f>
        <v>0</v>
      </c>
      <c r="L12" s="8"/>
      <c r="M12" s="8">
        <f t="shared" si="2"/>
        <v>27559.024999999943</v>
      </c>
      <c r="N12" s="8"/>
      <c r="O12" s="84"/>
    </row>
    <row r="13" spans="1:21">
      <c r="A13" s="67">
        <v>10</v>
      </c>
      <c r="B13" s="306">
        <v>45698</v>
      </c>
      <c r="C13" s="231"/>
      <c r="D13" s="186"/>
      <c r="E13" s="68">
        <v>0</v>
      </c>
      <c r="F13" s="68">
        <v>0</v>
      </c>
      <c r="G13" s="8">
        <f t="shared" si="0"/>
        <v>0</v>
      </c>
      <c r="H13" s="68">
        <v>5</v>
      </c>
      <c r="I13" s="68">
        <v>103.73</v>
      </c>
      <c r="J13" s="8">
        <f t="shared" si="1"/>
        <v>518.65</v>
      </c>
      <c r="K13" s="8">
        <f>G13+J13</f>
        <v>518.65</v>
      </c>
      <c r="L13" s="21"/>
      <c r="M13" s="8">
        <f t="shared" si="2"/>
        <v>28077.674999999945</v>
      </c>
      <c r="N13" s="21"/>
      <c r="O13" s="84"/>
    </row>
    <row r="14" spans="1:21">
      <c r="A14" s="67">
        <v>11</v>
      </c>
      <c r="B14" s="306">
        <v>45699</v>
      </c>
      <c r="C14" s="231"/>
      <c r="D14" s="186"/>
      <c r="E14" s="68">
        <v>0</v>
      </c>
      <c r="F14" s="68">
        <v>0</v>
      </c>
      <c r="G14" s="8">
        <f t="shared" si="0"/>
        <v>0</v>
      </c>
      <c r="H14" s="68"/>
      <c r="I14" s="68">
        <v>103.73</v>
      </c>
      <c r="J14" s="8">
        <f t="shared" si="1"/>
        <v>0</v>
      </c>
      <c r="K14" s="8">
        <f>G14+J14</f>
        <v>0</v>
      </c>
      <c r="L14" s="21"/>
      <c r="M14" s="8">
        <f t="shared" si="2"/>
        <v>28077.674999999945</v>
      </c>
      <c r="N14" s="21"/>
      <c r="O14" s="84"/>
      <c r="U14" s="418"/>
    </row>
    <row r="15" spans="1:21">
      <c r="A15" s="67">
        <v>12</v>
      </c>
      <c r="B15" s="306">
        <v>45700</v>
      </c>
      <c r="C15" s="231"/>
      <c r="D15" s="186"/>
      <c r="E15" s="68">
        <v>40</v>
      </c>
      <c r="F15" s="68">
        <v>89.75</v>
      </c>
      <c r="G15" s="8">
        <f t="shared" si="0"/>
        <v>3590</v>
      </c>
      <c r="H15" s="68"/>
      <c r="I15" s="68">
        <v>103.73</v>
      </c>
      <c r="J15" s="8">
        <f t="shared" si="1"/>
        <v>0</v>
      </c>
      <c r="K15" s="8">
        <f>G15+J15</f>
        <v>3590</v>
      </c>
      <c r="L15" s="21"/>
      <c r="M15" s="8">
        <f t="shared" si="2"/>
        <v>31667.674999999945</v>
      </c>
      <c r="N15" s="21"/>
      <c r="O15" s="84"/>
      <c r="U15" s="418"/>
    </row>
    <row r="16" spans="1:21">
      <c r="A16" s="67">
        <v>13</v>
      </c>
      <c r="B16" s="306">
        <v>45701</v>
      </c>
      <c r="C16" s="231"/>
      <c r="D16" s="186"/>
      <c r="E16" s="68">
        <v>0</v>
      </c>
      <c r="F16" s="68">
        <v>0</v>
      </c>
      <c r="G16" s="8">
        <f t="shared" si="0"/>
        <v>0</v>
      </c>
      <c r="H16" s="68">
        <v>10.78</v>
      </c>
      <c r="I16" s="68">
        <v>103.73</v>
      </c>
      <c r="J16" s="8">
        <f t="shared" si="1"/>
        <v>1118.2094</v>
      </c>
      <c r="K16" s="8">
        <f>G16+J16</f>
        <v>1118.2094</v>
      </c>
      <c r="L16" s="21"/>
      <c r="M16" s="8">
        <f>M15+K16-L16</f>
        <v>32785.884399999944</v>
      </c>
      <c r="N16" s="21"/>
      <c r="O16" s="84"/>
      <c r="U16" s="418"/>
    </row>
    <row r="17" spans="1:15">
      <c r="A17" s="67">
        <v>14</v>
      </c>
      <c r="B17" s="306">
        <v>45702</v>
      </c>
      <c r="C17" s="231"/>
      <c r="D17" s="186"/>
      <c r="E17" s="68">
        <v>0</v>
      </c>
      <c r="F17" s="68">
        <v>0</v>
      </c>
      <c r="G17" s="8">
        <f t="shared" si="0"/>
        <v>0</v>
      </c>
      <c r="H17" s="68"/>
      <c r="I17" s="68">
        <v>103.73</v>
      </c>
      <c r="J17" s="8">
        <f t="shared" ref="J17:J31" si="3">H17*I17</f>
        <v>0</v>
      </c>
      <c r="K17" s="8">
        <f t="shared" ref="K17:K31" si="4">G17+J17</f>
        <v>0</v>
      </c>
      <c r="L17" s="21"/>
      <c r="M17" s="8">
        <f>M16+K17-L17</f>
        <v>32785.884399999944</v>
      </c>
      <c r="N17" s="21"/>
      <c r="O17" s="84"/>
    </row>
    <row r="18" spans="1:15">
      <c r="A18" s="67">
        <v>15</v>
      </c>
      <c r="B18" s="306">
        <v>45703</v>
      </c>
      <c r="C18" s="231"/>
      <c r="D18" s="186"/>
      <c r="E18" s="68">
        <v>0</v>
      </c>
      <c r="F18" s="68">
        <v>0</v>
      </c>
      <c r="G18" s="8">
        <f t="shared" si="0"/>
        <v>0</v>
      </c>
      <c r="H18" s="68"/>
      <c r="I18" s="68">
        <v>103.73</v>
      </c>
      <c r="J18" s="8">
        <f t="shared" si="3"/>
        <v>0</v>
      </c>
      <c r="K18" s="8">
        <f t="shared" si="4"/>
        <v>0</v>
      </c>
      <c r="L18" s="21"/>
      <c r="M18" s="8">
        <f>M17+K18-L18</f>
        <v>32785.884399999944</v>
      </c>
      <c r="N18" s="21"/>
      <c r="O18" s="84"/>
    </row>
    <row r="19" spans="1:15">
      <c r="A19" s="67">
        <v>16</v>
      </c>
      <c r="B19" s="306">
        <v>45704</v>
      </c>
      <c r="C19" s="231"/>
      <c r="D19" s="186"/>
      <c r="E19" s="68">
        <v>0</v>
      </c>
      <c r="F19" s="68">
        <v>0</v>
      </c>
      <c r="G19" s="8">
        <f t="shared" si="0"/>
        <v>0</v>
      </c>
      <c r="H19" s="68"/>
      <c r="I19" s="68">
        <v>103.73</v>
      </c>
      <c r="J19" s="8">
        <f t="shared" si="3"/>
        <v>0</v>
      </c>
      <c r="K19" s="8">
        <f t="shared" si="4"/>
        <v>0</v>
      </c>
      <c r="L19" s="21"/>
      <c r="M19" s="8">
        <f>M18+K19-L19</f>
        <v>32785.884399999944</v>
      </c>
      <c r="N19" s="21"/>
      <c r="O19" s="84"/>
    </row>
    <row r="20" spans="1:15">
      <c r="A20" s="67">
        <v>17</v>
      </c>
      <c r="B20" s="306">
        <v>45705</v>
      </c>
      <c r="C20" s="231"/>
      <c r="D20" s="186"/>
      <c r="E20" s="68">
        <v>0</v>
      </c>
      <c r="F20" s="68">
        <v>0</v>
      </c>
      <c r="G20" s="8">
        <f t="shared" si="0"/>
        <v>0</v>
      </c>
      <c r="H20" s="68"/>
      <c r="I20" s="68">
        <v>103.73</v>
      </c>
      <c r="J20" s="8">
        <f t="shared" si="3"/>
        <v>0</v>
      </c>
      <c r="K20" s="8">
        <f t="shared" si="4"/>
        <v>0</v>
      </c>
      <c r="L20" s="21"/>
      <c r="M20" s="8">
        <f>M19+K20-L20</f>
        <v>32785.884399999944</v>
      </c>
      <c r="N20" s="21"/>
      <c r="O20" s="84"/>
    </row>
    <row r="21" spans="1:15">
      <c r="A21" s="67">
        <v>18</v>
      </c>
      <c r="B21" s="306">
        <v>45706</v>
      </c>
      <c r="C21" s="231"/>
      <c r="D21" s="186"/>
      <c r="E21" s="68">
        <v>0</v>
      </c>
      <c r="F21" s="68">
        <v>0</v>
      </c>
      <c r="G21" s="8">
        <f t="shared" si="0"/>
        <v>0</v>
      </c>
      <c r="H21" s="68">
        <v>4.2699999999999996</v>
      </c>
      <c r="I21" s="68">
        <v>103.73</v>
      </c>
      <c r="J21" s="8">
        <f t="shared" si="3"/>
        <v>442.9271</v>
      </c>
      <c r="K21" s="8">
        <f t="shared" si="4"/>
        <v>442.9271</v>
      </c>
      <c r="L21" s="21"/>
      <c r="M21" s="8">
        <f>M20+K21-L21</f>
        <v>33228.811499999945</v>
      </c>
      <c r="N21" s="21"/>
      <c r="O21" s="84"/>
    </row>
    <row r="22" spans="1:15">
      <c r="A22" s="67">
        <v>19</v>
      </c>
      <c r="B22" s="306">
        <v>45707</v>
      </c>
      <c r="C22" s="231"/>
      <c r="D22" s="186"/>
      <c r="E22" s="68">
        <v>0</v>
      </c>
      <c r="F22" s="68">
        <v>0</v>
      </c>
      <c r="G22" s="8">
        <f t="shared" si="0"/>
        <v>0</v>
      </c>
      <c r="H22" s="68"/>
      <c r="I22" s="68">
        <v>103.73</v>
      </c>
      <c r="J22" s="8">
        <f t="shared" si="3"/>
        <v>0</v>
      </c>
      <c r="K22" s="8">
        <f t="shared" si="4"/>
        <v>0</v>
      </c>
      <c r="L22" s="21"/>
      <c r="M22" s="8">
        <f>M21+K22-L22</f>
        <v>33228.811499999945</v>
      </c>
      <c r="N22" s="21"/>
      <c r="O22" s="84"/>
    </row>
    <row r="23" spans="1:15">
      <c r="A23" s="67">
        <v>20</v>
      </c>
      <c r="B23" s="306">
        <v>45708</v>
      </c>
      <c r="C23" s="231"/>
      <c r="D23" s="186"/>
      <c r="E23" s="68">
        <v>0</v>
      </c>
      <c r="F23" s="68">
        <v>0</v>
      </c>
      <c r="G23" s="8">
        <f t="shared" si="0"/>
        <v>0</v>
      </c>
      <c r="H23" s="68"/>
      <c r="I23" s="68">
        <v>103.73</v>
      </c>
      <c r="J23" s="8">
        <f t="shared" si="3"/>
        <v>0</v>
      </c>
      <c r="K23" s="8">
        <f t="shared" si="4"/>
        <v>0</v>
      </c>
      <c r="L23" s="21"/>
      <c r="M23" s="8">
        <f>M22+K23-L23</f>
        <v>33228.811499999945</v>
      </c>
      <c r="N23" s="21"/>
      <c r="O23" s="84"/>
    </row>
    <row r="24" spans="1:15">
      <c r="A24" s="67">
        <v>21</v>
      </c>
      <c r="B24" s="306">
        <v>45709</v>
      </c>
      <c r="C24" s="231"/>
      <c r="D24" s="186"/>
      <c r="E24" s="68">
        <v>0</v>
      </c>
      <c r="F24" s="68">
        <v>0</v>
      </c>
      <c r="G24" s="8">
        <f t="shared" si="0"/>
        <v>0</v>
      </c>
      <c r="H24" s="68"/>
      <c r="I24" s="68">
        <v>103.73</v>
      </c>
      <c r="J24" s="8">
        <f t="shared" si="3"/>
        <v>0</v>
      </c>
      <c r="K24" s="8">
        <f t="shared" si="4"/>
        <v>0</v>
      </c>
      <c r="L24" s="21"/>
      <c r="M24" s="8">
        <f>M23+K24-L24</f>
        <v>33228.811499999945</v>
      </c>
      <c r="N24" s="21"/>
      <c r="O24" s="84"/>
    </row>
    <row r="25" spans="1:15">
      <c r="A25" s="67">
        <v>22</v>
      </c>
      <c r="B25" s="306">
        <v>45710</v>
      </c>
      <c r="C25" s="231"/>
      <c r="D25" s="186"/>
      <c r="E25" s="68">
        <v>0</v>
      </c>
      <c r="F25" s="68">
        <v>0</v>
      </c>
      <c r="G25" s="8">
        <f t="shared" si="0"/>
        <v>0</v>
      </c>
      <c r="H25" s="108"/>
      <c r="I25" s="68">
        <v>103.73</v>
      </c>
      <c r="J25" s="8">
        <f t="shared" si="3"/>
        <v>0</v>
      </c>
      <c r="K25" s="8">
        <f t="shared" si="4"/>
        <v>0</v>
      </c>
      <c r="L25" s="21"/>
      <c r="M25" s="8">
        <f t="shared" ref="M25:M31" si="5">M24+K25-L25</f>
        <v>33228.811499999945</v>
      </c>
      <c r="N25" s="21"/>
      <c r="O25" s="84"/>
    </row>
    <row r="26" spans="1:15">
      <c r="A26" s="67">
        <v>23</v>
      </c>
      <c r="B26" s="306">
        <v>45711</v>
      </c>
      <c r="C26" s="231"/>
      <c r="D26" s="186"/>
      <c r="E26" s="68">
        <v>0</v>
      </c>
      <c r="F26" s="68">
        <v>0</v>
      </c>
      <c r="G26" s="8">
        <f t="shared" si="0"/>
        <v>0</v>
      </c>
      <c r="H26" s="108"/>
      <c r="I26" s="68">
        <v>103.73</v>
      </c>
      <c r="J26" s="8">
        <f t="shared" si="3"/>
        <v>0</v>
      </c>
      <c r="K26" s="8">
        <f t="shared" si="4"/>
        <v>0</v>
      </c>
      <c r="L26" s="21"/>
      <c r="M26" s="8">
        <f t="shared" si="5"/>
        <v>33228.811499999945</v>
      </c>
      <c r="N26" s="21"/>
      <c r="O26" s="84"/>
    </row>
    <row r="27" spans="1:15">
      <c r="A27" s="67">
        <v>24</v>
      </c>
      <c r="B27" s="306">
        <v>45712</v>
      </c>
      <c r="C27" s="231"/>
      <c r="D27" s="186"/>
      <c r="E27" s="68">
        <v>0</v>
      </c>
      <c r="F27" s="68">
        <v>0</v>
      </c>
      <c r="G27" s="8">
        <f t="shared" si="0"/>
        <v>0</v>
      </c>
      <c r="H27" s="108"/>
      <c r="I27" s="68">
        <v>103.73</v>
      </c>
      <c r="J27" s="8">
        <f t="shared" si="3"/>
        <v>0</v>
      </c>
      <c r="K27" s="8">
        <f t="shared" si="4"/>
        <v>0</v>
      </c>
      <c r="L27" s="21"/>
      <c r="M27" s="8">
        <f t="shared" si="5"/>
        <v>33228.811499999945</v>
      </c>
      <c r="N27" s="21"/>
      <c r="O27" s="84"/>
    </row>
    <row r="28" spans="1:15">
      <c r="A28" s="67">
        <v>25</v>
      </c>
      <c r="B28" s="306">
        <v>45713</v>
      </c>
      <c r="C28" s="231"/>
      <c r="D28" s="186"/>
      <c r="E28" s="68">
        <v>0</v>
      </c>
      <c r="F28" s="68">
        <v>0</v>
      </c>
      <c r="G28" s="8">
        <f t="shared" si="0"/>
        <v>0</v>
      </c>
      <c r="H28" s="108"/>
      <c r="I28" s="68">
        <v>103.73</v>
      </c>
      <c r="J28" s="8">
        <f t="shared" si="3"/>
        <v>0</v>
      </c>
      <c r="K28" s="8">
        <f t="shared" si="4"/>
        <v>0</v>
      </c>
      <c r="L28" s="21"/>
      <c r="M28" s="8">
        <f t="shared" si="5"/>
        <v>33228.811499999945</v>
      </c>
      <c r="N28" s="21"/>
      <c r="O28" s="84"/>
    </row>
    <row r="29" spans="1:15">
      <c r="A29" s="67">
        <v>26</v>
      </c>
      <c r="B29" s="306">
        <v>45714</v>
      </c>
      <c r="C29" s="231"/>
      <c r="D29" s="186"/>
      <c r="E29" s="68">
        <v>0</v>
      </c>
      <c r="F29" s="68">
        <v>0</v>
      </c>
      <c r="G29" s="8">
        <f t="shared" si="0"/>
        <v>0</v>
      </c>
      <c r="H29" s="108"/>
      <c r="I29" s="68">
        <v>103.73</v>
      </c>
      <c r="J29" s="8">
        <f t="shared" si="3"/>
        <v>0</v>
      </c>
      <c r="K29" s="8">
        <f t="shared" si="4"/>
        <v>0</v>
      </c>
      <c r="L29" s="21"/>
      <c r="M29" s="8">
        <f t="shared" si="5"/>
        <v>33228.811499999945</v>
      </c>
      <c r="N29" s="21"/>
      <c r="O29" s="84"/>
    </row>
    <row r="30" spans="1:15">
      <c r="A30" s="67">
        <v>27</v>
      </c>
      <c r="B30" s="306">
        <v>45715</v>
      </c>
      <c r="C30" s="231"/>
      <c r="D30" s="186"/>
      <c r="E30" s="68">
        <v>0</v>
      </c>
      <c r="F30" s="68">
        <v>0</v>
      </c>
      <c r="G30" s="8">
        <f t="shared" si="0"/>
        <v>0</v>
      </c>
      <c r="H30" s="108">
        <v>2</v>
      </c>
      <c r="I30" s="68">
        <v>103.73</v>
      </c>
      <c r="J30" s="8">
        <f t="shared" si="3"/>
        <v>207.46</v>
      </c>
      <c r="K30" s="8">
        <f t="shared" si="4"/>
        <v>207.46</v>
      </c>
      <c r="L30" s="21"/>
      <c r="M30" s="8">
        <f t="shared" si="5"/>
        <v>33436.271499999944</v>
      </c>
      <c r="N30" s="21"/>
      <c r="O30" s="84"/>
    </row>
    <row r="31" spans="1:15">
      <c r="A31" s="67">
        <v>28</v>
      </c>
      <c r="B31" s="306">
        <v>45716</v>
      </c>
      <c r="C31" s="231"/>
      <c r="D31" s="186"/>
      <c r="E31" s="68">
        <v>0</v>
      </c>
      <c r="F31" s="68">
        <v>0</v>
      </c>
      <c r="G31" s="8">
        <f t="shared" si="0"/>
        <v>0</v>
      </c>
      <c r="H31" s="108"/>
      <c r="I31" s="68">
        <v>103.73</v>
      </c>
      <c r="J31" s="8">
        <f t="shared" si="3"/>
        <v>0</v>
      </c>
      <c r="K31" s="8">
        <f t="shared" si="4"/>
        <v>0</v>
      </c>
      <c r="L31" s="21"/>
      <c r="M31" s="8">
        <f t="shared" si="5"/>
        <v>33436.271499999944</v>
      </c>
      <c r="N31" s="21"/>
      <c r="O31" s="84"/>
    </row>
    <row r="32" spans="1:15">
      <c r="A32" s="206"/>
      <c r="B32" s="206"/>
      <c r="C32" s="206"/>
      <c r="D32" s="206"/>
      <c r="E32" s="207">
        <f>SUM(E4:E31)</f>
        <v>343.21</v>
      </c>
      <c r="F32" s="207"/>
      <c r="G32" s="207">
        <f>SUM(G4:G31)</f>
        <v>30803.0975</v>
      </c>
      <c r="H32" s="207">
        <f>SUM(H4:H31)</f>
        <v>37.049999999999997</v>
      </c>
      <c r="I32" s="207"/>
      <c r="J32" s="207">
        <f>SUM(J4:J31)</f>
        <v>3843.0964999999997</v>
      </c>
      <c r="K32" s="207">
        <f>SUM(K4:K31)</f>
        <v>34646.194000000003</v>
      </c>
      <c r="L32" s="207">
        <f>SUM(L4:L31)</f>
        <v>130000</v>
      </c>
      <c r="M32" s="207"/>
      <c r="N32" s="207"/>
      <c r="O32" s="84"/>
    </row>
    <row r="33" spans="1:15">
      <c r="A33" s="102"/>
      <c r="B33" s="102"/>
      <c r="C33" s="102"/>
      <c r="D33" s="102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84"/>
    </row>
    <row r="34" spans="1:15">
      <c r="O34" s="84"/>
    </row>
    <row r="35" spans="1:15">
      <c r="O35" s="84"/>
    </row>
    <row r="36" spans="1:15">
      <c r="O36" s="84"/>
    </row>
    <row r="37" spans="1:15">
      <c r="O37" s="84"/>
    </row>
    <row r="38" spans="1:15">
      <c r="O38" s="84"/>
    </row>
    <row r="39" spans="1:15">
      <c r="A39" s="84"/>
      <c r="B39" s="84"/>
      <c r="C39" s="84"/>
      <c r="D39" s="84"/>
      <c r="E39" s="84"/>
      <c r="F39" s="84"/>
      <c r="G39" s="110"/>
      <c r="H39" s="84"/>
      <c r="I39" s="84"/>
      <c r="J39" s="84"/>
      <c r="K39" s="84"/>
      <c r="L39" s="84"/>
      <c r="M39" s="84"/>
      <c r="N39" s="84"/>
      <c r="O39" s="104"/>
    </row>
    <row r="40" spans="1:15">
      <c r="A40" s="84"/>
      <c r="B40" s="464"/>
      <c r="C40" s="464"/>
      <c r="D40" s="464"/>
      <c r="E40" s="464"/>
      <c r="F40" s="84"/>
      <c r="G40" s="84"/>
      <c r="H40" s="84"/>
      <c r="I40" s="464"/>
      <c r="J40" s="464"/>
      <c r="K40" s="464"/>
      <c r="L40" s="464"/>
      <c r="M40" s="464"/>
      <c r="N40" s="464"/>
      <c r="O40" s="104"/>
    </row>
    <row r="41" spans="1:15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104"/>
    </row>
  </sheetData>
  <mergeCells count="4">
    <mergeCell ref="A1:N1"/>
    <mergeCell ref="B40:E40"/>
    <mergeCell ref="I40:N40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O42"/>
  <sheetViews>
    <sheetView workbookViewId="0">
      <pane ySplit="2" topLeftCell="B17" activePane="bottomLeft" state="frozen"/>
      <selection pane="bottomLeft" activeCell="M32" sqref="M32"/>
    </sheetView>
  </sheetViews>
  <sheetFormatPr defaultRowHeight="15"/>
  <cols>
    <col min="1" max="1" width="5.140625" style="96" bestFit="1" customWidth="1"/>
    <col min="2" max="2" width="10.85546875" style="96" bestFit="1" customWidth="1"/>
    <col min="3" max="3" width="8" style="96" bestFit="1" customWidth="1"/>
    <col min="4" max="4" width="16" style="96" bestFit="1" customWidth="1"/>
    <col min="5" max="5" width="10.7109375" style="96" bestFit="1" customWidth="1"/>
    <col min="6" max="6" width="14.5703125" style="96" bestFit="1" customWidth="1"/>
    <col min="7" max="7" width="11.85546875" style="96" bestFit="1" customWidth="1"/>
    <col min="8" max="8" width="10.7109375" style="96" bestFit="1" customWidth="1"/>
    <col min="9" max="9" width="7.140625" style="96" bestFit="1" customWidth="1"/>
    <col min="10" max="10" width="10.85546875" style="96" bestFit="1" customWidth="1"/>
    <col min="11" max="12" width="13.5703125" style="96" bestFit="1" customWidth="1"/>
    <col min="13" max="13" width="13.5703125" style="96" customWidth="1"/>
    <col min="14" max="14" width="14.140625" style="96" bestFit="1" customWidth="1"/>
    <col min="15" max="15" width="11.28515625" style="96" customWidth="1"/>
    <col min="16" max="16" width="9.140625" style="96" customWidth="1"/>
    <col min="17" max="16384" width="9.140625" style="96"/>
  </cols>
  <sheetData>
    <row r="1" spans="1:15" ht="15.75">
      <c r="A1" s="429" t="s">
        <v>103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111"/>
    </row>
    <row r="2" spans="1:15">
      <c r="A2" s="89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6</v>
      </c>
      <c r="J2" s="114" t="s">
        <v>7</v>
      </c>
      <c r="K2" s="89" t="s">
        <v>9</v>
      </c>
      <c r="L2" s="115" t="s">
        <v>10</v>
      </c>
      <c r="M2" s="115" t="s">
        <v>11</v>
      </c>
      <c r="N2" s="113" t="s">
        <v>12</v>
      </c>
      <c r="O2" s="84"/>
    </row>
    <row r="3" spans="1:15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34"/>
      <c r="K3" s="209">
        <v>451551.43250000005</v>
      </c>
      <c r="L3" s="92"/>
      <c r="M3" s="205">
        <f>+K3</f>
        <v>451551.43250000005</v>
      </c>
      <c r="N3" s="92"/>
      <c r="O3" s="84"/>
    </row>
    <row r="4" spans="1:15">
      <c r="A4" s="67">
        <v>1</v>
      </c>
      <c r="B4" s="314">
        <v>45689</v>
      </c>
      <c r="C4" s="92"/>
      <c r="D4" s="205"/>
      <c r="E4" s="210">
        <v>35</v>
      </c>
      <c r="F4" s="210">
        <v>89.91</v>
      </c>
      <c r="G4" s="8">
        <f>E4*F4</f>
        <v>3146.85</v>
      </c>
      <c r="H4" s="210">
        <v>12</v>
      </c>
      <c r="I4" s="210">
        <v>103.89</v>
      </c>
      <c r="J4" s="8">
        <f>H4*I4</f>
        <v>1246.68</v>
      </c>
      <c r="K4" s="8">
        <f>G4+J4</f>
        <v>4393.53</v>
      </c>
      <c r="L4" s="211">
        <v>0</v>
      </c>
      <c r="M4" s="211">
        <f>M3+K4-L4</f>
        <v>455944.96250000008</v>
      </c>
      <c r="N4" s="55" t="s">
        <v>187</v>
      </c>
    </row>
    <row r="5" spans="1:15">
      <c r="A5" s="67">
        <v>2</v>
      </c>
      <c r="B5" s="314">
        <v>45690</v>
      </c>
      <c r="C5" s="92"/>
      <c r="D5" s="92"/>
      <c r="E5" s="210">
        <v>0</v>
      </c>
      <c r="F5" s="210">
        <v>0</v>
      </c>
      <c r="G5" s="8">
        <f t="shared" ref="G5:G31" si="0">E5*F5</f>
        <v>0</v>
      </c>
      <c r="H5" s="210">
        <v>0</v>
      </c>
      <c r="I5" s="210">
        <v>103.89</v>
      </c>
      <c r="J5" s="8">
        <f t="shared" ref="J5:J31" si="1">H5*I5</f>
        <v>0</v>
      </c>
      <c r="K5" s="8">
        <f>G5+J5</f>
        <v>0</v>
      </c>
      <c r="L5" s="8"/>
      <c r="M5" s="211">
        <f>M4+K5-L5</f>
        <v>455944.96250000008</v>
      </c>
      <c r="N5" s="55"/>
    </row>
    <row r="6" spans="1:15">
      <c r="A6" s="67">
        <v>3</v>
      </c>
      <c r="B6" s="314">
        <v>45691</v>
      </c>
      <c r="C6" s="92"/>
      <c r="D6" s="92"/>
      <c r="E6" s="210">
        <v>0</v>
      </c>
      <c r="F6" s="210">
        <v>0</v>
      </c>
      <c r="G6" s="8">
        <f t="shared" si="0"/>
        <v>0</v>
      </c>
      <c r="H6" s="210">
        <v>6</v>
      </c>
      <c r="I6" s="210">
        <v>103.89</v>
      </c>
      <c r="J6" s="8">
        <f t="shared" si="1"/>
        <v>623.34</v>
      </c>
      <c r="K6" s="8">
        <f>G6+J6</f>
        <v>623.34</v>
      </c>
      <c r="L6" s="8"/>
      <c r="M6" s="211">
        <f>M5+K6-L6</f>
        <v>456568.30250000011</v>
      </c>
      <c r="N6" s="55"/>
    </row>
    <row r="7" spans="1:15">
      <c r="A7" s="67">
        <v>4</v>
      </c>
      <c r="B7" s="306">
        <v>45692</v>
      </c>
      <c r="C7" s="92"/>
      <c r="D7" s="99"/>
      <c r="E7" s="210">
        <v>275</v>
      </c>
      <c r="F7" s="210">
        <v>89.91</v>
      </c>
      <c r="G7" s="8">
        <f t="shared" si="0"/>
        <v>24725.25</v>
      </c>
      <c r="H7" s="210">
        <v>6</v>
      </c>
      <c r="I7" s="210">
        <v>103.89</v>
      </c>
      <c r="J7" s="8">
        <f t="shared" si="1"/>
        <v>623.34</v>
      </c>
      <c r="K7" s="8">
        <f>G7+J7</f>
        <v>25348.59</v>
      </c>
      <c r="L7" s="8"/>
      <c r="M7" s="211">
        <f>M6+K7-L7</f>
        <v>481916.89250000013</v>
      </c>
      <c r="N7" s="55"/>
    </row>
    <row r="8" spans="1:15">
      <c r="A8" s="67">
        <v>5</v>
      </c>
      <c r="B8" s="306">
        <v>45693</v>
      </c>
      <c r="C8" s="92"/>
      <c r="D8" s="99"/>
      <c r="E8" s="210">
        <v>0</v>
      </c>
      <c r="F8" s="210">
        <v>89.91</v>
      </c>
      <c r="G8" s="8">
        <f t="shared" si="0"/>
        <v>0</v>
      </c>
      <c r="H8" s="210">
        <v>0</v>
      </c>
      <c r="I8" s="210">
        <v>103.89</v>
      </c>
      <c r="J8" s="8">
        <f t="shared" si="1"/>
        <v>0</v>
      </c>
      <c r="K8" s="8">
        <f>G8+J8</f>
        <v>0</v>
      </c>
      <c r="L8" s="8">
        <v>451551.43</v>
      </c>
      <c r="M8" s="211">
        <f>M7+K8-L8</f>
        <v>30365.46250000014</v>
      </c>
      <c r="N8" s="55"/>
    </row>
    <row r="9" spans="1:15">
      <c r="A9" s="67">
        <v>6</v>
      </c>
      <c r="B9" s="306">
        <v>45694</v>
      </c>
      <c r="C9" s="92"/>
      <c r="D9" s="99"/>
      <c r="E9" s="210">
        <v>0</v>
      </c>
      <c r="F9" s="210">
        <v>89.91</v>
      </c>
      <c r="G9" s="8">
        <f t="shared" si="0"/>
        <v>0</v>
      </c>
      <c r="H9" s="210">
        <v>0</v>
      </c>
      <c r="I9" s="210">
        <v>103.89</v>
      </c>
      <c r="J9" s="8">
        <f t="shared" si="1"/>
        <v>0</v>
      </c>
      <c r="K9" s="8">
        <f>G9+J9</f>
        <v>0</v>
      </c>
      <c r="L9" s="8"/>
      <c r="M9" s="211">
        <f>M8+K9-L9</f>
        <v>30365.46250000014</v>
      </c>
      <c r="N9" s="55"/>
    </row>
    <row r="10" spans="1:15">
      <c r="A10" s="67">
        <v>7</v>
      </c>
      <c r="B10" s="306">
        <v>45695</v>
      </c>
      <c r="C10" s="92"/>
      <c r="D10" s="99"/>
      <c r="E10" s="210">
        <v>66.36</v>
      </c>
      <c r="F10" s="210">
        <v>89.91</v>
      </c>
      <c r="G10" s="8">
        <f t="shared" si="0"/>
        <v>5966.4276</v>
      </c>
      <c r="H10" s="210">
        <v>5</v>
      </c>
      <c r="I10" s="210">
        <v>103.89</v>
      </c>
      <c r="J10" s="8">
        <f t="shared" si="1"/>
        <v>519.45000000000005</v>
      </c>
      <c r="K10" s="8">
        <f>G10+J10</f>
        <v>6485.8775999999998</v>
      </c>
      <c r="L10" s="8"/>
      <c r="M10" s="211">
        <f>M9+K10-L10</f>
        <v>36851.34010000014</v>
      </c>
      <c r="N10" s="55"/>
    </row>
    <row r="11" spans="1:15">
      <c r="A11" s="67">
        <v>8</v>
      </c>
      <c r="B11" s="306">
        <v>45696</v>
      </c>
      <c r="C11" s="92"/>
      <c r="D11" s="99"/>
      <c r="E11" s="210">
        <v>0</v>
      </c>
      <c r="F11" s="210">
        <v>89.91</v>
      </c>
      <c r="G11" s="8">
        <f t="shared" si="0"/>
        <v>0</v>
      </c>
      <c r="H11" s="210">
        <v>0</v>
      </c>
      <c r="I11" s="210">
        <v>103.89</v>
      </c>
      <c r="J11" s="8">
        <f t="shared" si="1"/>
        <v>0</v>
      </c>
      <c r="K11" s="8">
        <f>G11+J11</f>
        <v>0</v>
      </c>
      <c r="L11" s="8"/>
      <c r="M11" s="211">
        <f>M10+K11-L11</f>
        <v>36851.34010000014</v>
      </c>
      <c r="N11" s="55"/>
    </row>
    <row r="12" spans="1:15">
      <c r="A12" s="67">
        <v>9</v>
      </c>
      <c r="B12" s="306">
        <v>45697</v>
      </c>
      <c r="C12" s="92"/>
      <c r="D12" s="99"/>
      <c r="E12" s="210">
        <v>0</v>
      </c>
      <c r="F12" s="210">
        <v>89.91</v>
      </c>
      <c r="G12" s="8">
        <f t="shared" si="0"/>
        <v>0</v>
      </c>
      <c r="H12" s="210">
        <v>0</v>
      </c>
      <c r="I12" s="210">
        <v>103.89</v>
      </c>
      <c r="J12" s="8">
        <f t="shared" si="1"/>
        <v>0</v>
      </c>
      <c r="K12" s="8">
        <f>G12+J12</f>
        <v>0</v>
      </c>
      <c r="L12" s="8"/>
      <c r="M12" s="211">
        <f>M11+K12-L12</f>
        <v>36851.34010000014</v>
      </c>
      <c r="N12" s="55"/>
    </row>
    <row r="13" spans="1:15">
      <c r="A13" s="67">
        <v>10</v>
      </c>
      <c r="B13" s="306">
        <v>45698</v>
      </c>
      <c r="C13" s="92"/>
      <c r="D13" s="99"/>
      <c r="E13" s="210">
        <v>80</v>
      </c>
      <c r="F13" s="210">
        <v>89.91</v>
      </c>
      <c r="G13" s="8">
        <f t="shared" si="0"/>
        <v>7192.7999999999993</v>
      </c>
      <c r="H13" s="210">
        <v>15</v>
      </c>
      <c r="I13" s="210">
        <v>103.89</v>
      </c>
      <c r="J13" s="8">
        <f t="shared" si="1"/>
        <v>1558.35</v>
      </c>
      <c r="K13" s="8">
        <f>G13+J13</f>
        <v>8751.15</v>
      </c>
      <c r="L13" s="8"/>
      <c r="M13" s="211">
        <f>M12+K13-L13</f>
        <v>45602.490100000141</v>
      </c>
      <c r="N13" s="55"/>
    </row>
    <row r="14" spans="1:15">
      <c r="A14" s="67">
        <v>11</v>
      </c>
      <c r="B14" s="306">
        <v>45699</v>
      </c>
      <c r="C14" s="92"/>
      <c r="D14" s="99"/>
      <c r="E14" s="210">
        <v>230</v>
      </c>
      <c r="F14" s="210">
        <v>89.91</v>
      </c>
      <c r="G14" s="8">
        <f t="shared" si="0"/>
        <v>20679.3</v>
      </c>
      <c r="H14" s="210">
        <v>12</v>
      </c>
      <c r="I14" s="210">
        <v>103.89</v>
      </c>
      <c r="J14" s="8">
        <f t="shared" si="1"/>
        <v>1246.68</v>
      </c>
      <c r="K14" s="8">
        <f>G14+J14</f>
        <v>21925.98</v>
      </c>
      <c r="L14" s="8"/>
      <c r="M14" s="211">
        <f>M13+K14-L14</f>
        <v>67528.470100000137</v>
      </c>
      <c r="N14" s="55"/>
    </row>
    <row r="15" spans="1:15">
      <c r="A15" s="67">
        <v>12</v>
      </c>
      <c r="B15" s="306">
        <v>45700</v>
      </c>
      <c r="C15" s="92"/>
      <c r="D15" s="99"/>
      <c r="E15" s="210">
        <v>235</v>
      </c>
      <c r="F15" s="210">
        <v>89.91</v>
      </c>
      <c r="G15" s="8">
        <f t="shared" si="0"/>
        <v>21128.85</v>
      </c>
      <c r="H15" s="210">
        <v>10</v>
      </c>
      <c r="I15" s="210">
        <v>103.89</v>
      </c>
      <c r="J15" s="8">
        <f t="shared" si="1"/>
        <v>1038.9000000000001</v>
      </c>
      <c r="K15" s="8">
        <f>G15+J15</f>
        <v>22167.75</v>
      </c>
      <c r="L15" s="8"/>
      <c r="M15" s="211">
        <f>M14+K15-L15</f>
        <v>89696.220100000137</v>
      </c>
      <c r="N15" s="55"/>
    </row>
    <row r="16" spans="1:15">
      <c r="A16" s="67">
        <v>13</v>
      </c>
      <c r="B16" s="306">
        <v>45701</v>
      </c>
      <c r="C16" s="92"/>
      <c r="D16" s="99"/>
      <c r="E16" s="210">
        <v>370</v>
      </c>
      <c r="F16" s="210">
        <v>89.91</v>
      </c>
      <c r="G16" s="8">
        <f t="shared" si="0"/>
        <v>33266.699999999997</v>
      </c>
      <c r="H16" s="210">
        <v>0</v>
      </c>
      <c r="I16" s="210">
        <v>0</v>
      </c>
      <c r="J16" s="8">
        <f t="shared" si="1"/>
        <v>0</v>
      </c>
      <c r="K16" s="8">
        <f>G16+J16</f>
        <v>33266.699999999997</v>
      </c>
      <c r="L16" s="8"/>
      <c r="M16" s="211">
        <f>M15+K16-L16</f>
        <v>122962.92010000013</v>
      </c>
      <c r="N16" s="55"/>
    </row>
    <row r="17" spans="1:14">
      <c r="A17" s="67">
        <v>14</v>
      </c>
      <c r="B17" s="306">
        <v>45702</v>
      </c>
      <c r="C17" s="92"/>
      <c r="D17" s="99"/>
      <c r="E17" s="210">
        <v>89.39</v>
      </c>
      <c r="F17" s="210">
        <v>89.91</v>
      </c>
      <c r="G17" s="8">
        <f t="shared" si="0"/>
        <v>8037.0549000000001</v>
      </c>
      <c r="H17" s="210">
        <v>0</v>
      </c>
      <c r="I17" s="210">
        <v>0</v>
      </c>
      <c r="J17" s="8">
        <f t="shared" si="1"/>
        <v>0</v>
      </c>
      <c r="K17" s="8">
        <f>G17+J17</f>
        <v>8037.0549000000001</v>
      </c>
      <c r="L17" s="8"/>
      <c r="M17" s="211">
        <f>M16+K17-L17</f>
        <v>130999.97500000014</v>
      </c>
      <c r="N17" s="55"/>
    </row>
    <row r="18" spans="1:14">
      <c r="A18" s="67">
        <v>15</v>
      </c>
      <c r="B18" s="306">
        <v>45703</v>
      </c>
      <c r="C18" s="92"/>
      <c r="D18" s="99"/>
      <c r="E18" s="210">
        <v>55</v>
      </c>
      <c r="F18" s="210">
        <v>89.91</v>
      </c>
      <c r="G18" s="8">
        <f t="shared" si="0"/>
        <v>4945.05</v>
      </c>
      <c r="H18" s="210">
        <v>22</v>
      </c>
      <c r="I18" s="210">
        <v>103.89</v>
      </c>
      <c r="J18" s="8">
        <f t="shared" si="1"/>
        <v>2285.58</v>
      </c>
      <c r="K18" s="8">
        <f>G18+J18</f>
        <v>7230.63</v>
      </c>
      <c r="L18" s="8"/>
      <c r="M18" s="211">
        <f>M17+K18-L18</f>
        <v>138230.60500000013</v>
      </c>
      <c r="N18" s="55"/>
    </row>
    <row r="19" spans="1:14">
      <c r="A19" s="67">
        <v>16</v>
      </c>
      <c r="B19" s="306">
        <v>45704</v>
      </c>
      <c r="C19" s="92"/>
      <c r="D19" s="99"/>
      <c r="E19" s="210">
        <v>0</v>
      </c>
      <c r="F19" s="210">
        <v>0</v>
      </c>
      <c r="G19" s="8">
        <f t="shared" si="0"/>
        <v>0</v>
      </c>
      <c r="H19" s="210">
        <v>0</v>
      </c>
      <c r="I19" s="210">
        <v>0</v>
      </c>
      <c r="J19" s="8">
        <f t="shared" si="1"/>
        <v>0</v>
      </c>
      <c r="K19" s="8">
        <f>G19+J19</f>
        <v>0</v>
      </c>
      <c r="L19" s="8"/>
      <c r="M19" s="211">
        <f>M18+K19-L19</f>
        <v>138230.60500000013</v>
      </c>
      <c r="N19" s="55"/>
    </row>
    <row r="20" spans="1:14">
      <c r="A20" s="67">
        <v>17</v>
      </c>
      <c r="B20" s="306">
        <v>45705</v>
      </c>
      <c r="C20" s="92"/>
      <c r="D20" s="99"/>
      <c r="E20" s="210">
        <v>178.52</v>
      </c>
      <c r="F20" s="210">
        <v>89.91</v>
      </c>
      <c r="G20" s="8">
        <f t="shared" si="0"/>
        <v>16050.733200000001</v>
      </c>
      <c r="H20" s="210">
        <v>16</v>
      </c>
      <c r="I20" s="210">
        <v>103.89</v>
      </c>
      <c r="J20" s="8">
        <f t="shared" si="1"/>
        <v>1662.24</v>
      </c>
      <c r="K20" s="8">
        <f>G20+J20</f>
        <v>17712.9732</v>
      </c>
      <c r="L20" s="8"/>
      <c r="M20" s="211">
        <f t="shared" ref="M20:M30" si="2">M19+K20-L20</f>
        <v>155943.57820000013</v>
      </c>
      <c r="N20" s="55"/>
    </row>
    <row r="21" spans="1:14">
      <c r="A21" s="67">
        <v>18</v>
      </c>
      <c r="B21" s="306">
        <v>45706</v>
      </c>
      <c r="C21" s="92"/>
      <c r="D21" s="99"/>
      <c r="E21" s="210">
        <v>0</v>
      </c>
      <c r="F21" s="210">
        <v>0</v>
      </c>
      <c r="G21" s="8">
        <f t="shared" si="0"/>
        <v>0</v>
      </c>
      <c r="H21" s="210">
        <v>0</v>
      </c>
      <c r="I21" s="210">
        <v>0</v>
      </c>
      <c r="J21" s="8">
        <f t="shared" si="1"/>
        <v>0</v>
      </c>
      <c r="K21" s="8">
        <f>G21+J21</f>
        <v>0</v>
      </c>
      <c r="L21" s="8"/>
      <c r="M21" s="211">
        <f t="shared" si="2"/>
        <v>155943.57820000013</v>
      </c>
      <c r="N21" s="55"/>
    </row>
    <row r="22" spans="1:14">
      <c r="A22" s="67">
        <v>19</v>
      </c>
      <c r="B22" s="306">
        <v>45707</v>
      </c>
      <c r="C22" s="92"/>
      <c r="D22" s="99"/>
      <c r="E22" s="210">
        <v>40</v>
      </c>
      <c r="F22" s="210">
        <v>89.91</v>
      </c>
      <c r="G22" s="8">
        <f t="shared" si="0"/>
        <v>3596.3999999999996</v>
      </c>
      <c r="H22" s="210">
        <v>16</v>
      </c>
      <c r="I22" s="210">
        <v>103.89</v>
      </c>
      <c r="J22" s="8">
        <f t="shared" si="1"/>
        <v>1662.24</v>
      </c>
      <c r="K22" s="8">
        <f>G22+J22</f>
        <v>5258.6399999999994</v>
      </c>
      <c r="L22" s="8"/>
      <c r="M22" s="211">
        <f t="shared" si="2"/>
        <v>161202.21820000012</v>
      </c>
      <c r="N22" s="55"/>
    </row>
    <row r="23" spans="1:14">
      <c r="A23" s="67">
        <v>20</v>
      </c>
      <c r="B23" s="306">
        <v>45708</v>
      </c>
      <c r="C23" s="92"/>
      <c r="D23" s="99"/>
      <c r="E23" s="210">
        <v>90.11</v>
      </c>
      <c r="F23" s="210">
        <v>89.91</v>
      </c>
      <c r="G23" s="8">
        <f t="shared" si="0"/>
        <v>8101.7900999999993</v>
      </c>
      <c r="H23" s="210">
        <v>0</v>
      </c>
      <c r="I23" s="210">
        <v>0</v>
      </c>
      <c r="J23" s="8">
        <f t="shared" si="1"/>
        <v>0</v>
      </c>
      <c r="K23" s="8">
        <f>G23+J23</f>
        <v>8101.7900999999993</v>
      </c>
      <c r="L23" s="8"/>
      <c r="M23" s="211">
        <f t="shared" si="2"/>
        <v>169304.00830000013</v>
      </c>
      <c r="N23" s="55"/>
    </row>
    <row r="24" spans="1:14">
      <c r="A24" s="67">
        <v>21</v>
      </c>
      <c r="B24" s="306">
        <v>45709</v>
      </c>
      <c r="C24" s="92"/>
      <c r="D24" s="99"/>
      <c r="E24" s="210">
        <v>70</v>
      </c>
      <c r="F24" s="210">
        <v>89.91</v>
      </c>
      <c r="G24" s="8">
        <f t="shared" si="0"/>
        <v>6293.7</v>
      </c>
      <c r="H24" s="210">
        <v>0</v>
      </c>
      <c r="I24" s="210">
        <v>0</v>
      </c>
      <c r="J24" s="8">
        <f t="shared" si="1"/>
        <v>0</v>
      </c>
      <c r="K24" s="8">
        <f>G24+J24</f>
        <v>6293.7</v>
      </c>
      <c r="L24" s="8"/>
      <c r="M24" s="211">
        <f t="shared" si="2"/>
        <v>175597.70830000014</v>
      </c>
      <c r="N24" s="55"/>
    </row>
    <row r="25" spans="1:14">
      <c r="A25" s="67">
        <v>22</v>
      </c>
      <c r="B25" s="306">
        <v>45710</v>
      </c>
      <c r="C25" s="92"/>
      <c r="D25" s="99"/>
      <c r="E25" s="210">
        <v>200</v>
      </c>
      <c r="F25" s="210">
        <v>89.91</v>
      </c>
      <c r="G25" s="8">
        <f t="shared" si="0"/>
        <v>17982</v>
      </c>
      <c r="H25" s="210">
        <v>11</v>
      </c>
      <c r="I25" s="210">
        <v>103.89</v>
      </c>
      <c r="J25" s="8">
        <f t="shared" si="1"/>
        <v>1142.79</v>
      </c>
      <c r="K25" s="8">
        <f>G25+J25</f>
        <v>19124.79</v>
      </c>
      <c r="L25" s="8"/>
      <c r="M25" s="211">
        <f t="shared" si="2"/>
        <v>194722.49830000015</v>
      </c>
      <c r="N25" s="55"/>
    </row>
    <row r="26" spans="1:14">
      <c r="A26" s="67">
        <v>23</v>
      </c>
      <c r="B26" s="306">
        <v>45711</v>
      </c>
      <c r="C26" s="92"/>
      <c r="D26" s="99"/>
      <c r="E26" s="210">
        <v>80</v>
      </c>
      <c r="F26" s="210">
        <v>89.91</v>
      </c>
      <c r="G26" s="8">
        <f t="shared" si="0"/>
        <v>7192.7999999999993</v>
      </c>
      <c r="H26" s="210">
        <v>0</v>
      </c>
      <c r="I26" s="210">
        <v>0</v>
      </c>
      <c r="J26" s="8">
        <f t="shared" si="1"/>
        <v>0</v>
      </c>
      <c r="K26" s="8">
        <f>G26+J26</f>
        <v>7192.7999999999993</v>
      </c>
      <c r="L26" s="8"/>
      <c r="M26" s="211">
        <f t="shared" si="2"/>
        <v>201915.29830000014</v>
      </c>
      <c r="N26" s="55"/>
    </row>
    <row r="27" spans="1:14">
      <c r="A27" s="67">
        <v>24</v>
      </c>
      <c r="B27" s="306">
        <v>45712</v>
      </c>
      <c r="C27" s="92"/>
      <c r="D27" s="99"/>
      <c r="E27" s="210">
        <v>206.61</v>
      </c>
      <c r="F27" s="210">
        <v>89.91</v>
      </c>
      <c r="G27" s="8">
        <f t="shared" si="0"/>
        <v>18576.305100000001</v>
      </c>
      <c r="H27" s="210">
        <v>22</v>
      </c>
      <c r="I27" s="210">
        <v>103.89</v>
      </c>
      <c r="J27" s="8">
        <f t="shared" si="1"/>
        <v>2285.58</v>
      </c>
      <c r="K27" s="8">
        <f>G27+J27</f>
        <v>20861.8851</v>
      </c>
      <c r="L27" s="8">
        <v>0</v>
      </c>
      <c r="M27" s="211">
        <f t="shared" si="2"/>
        <v>222777.18340000015</v>
      </c>
      <c r="N27" s="55"/>
    </row>
    <row r="28" spans="1:14">
      <c r="A28" s="67">
        <v>25</v>
      </c>
      <c r="B28" s="306">
        <v>45713</v>
      </c>
      <c r="C28" s="92"/>
      <c r="D28" s="99"/>
      <c r="E28" s="210">
        <v>75</v>
      </c>
      <c r="F28" s="210">
        <v>89.91</v>
      </c>
      <c r="G28" s="8">
        <f t="shared" si="0"/>
        <v>6743.25</v>
      </c>
      <c r="H28" s="210">
        <v>0</v>
      </c>
      <c r="I28" s="210">
        <v>0</v>
      </c>
      <c r="J28" s="8">
        <f t="shared" si="1"/>
        <v>0</v>
      </c>
      <c r="K28" s="8">
        <f>G28+J28</f>
        <v>6743.25</v>
      </c>
      <c r="L28" s="8"/>
      <c r="M28" s="211">
        <f t="shared" si="2"/>
        <v>229520.43340000015</v>
      </c>
      <c r="N28" s="55"/>
    </row>
    <row r="29" spans="1:14">
      <c r="A29" s="67">
        <v>26</v>
      </c>
      <c r="B29" s="306">
        <v>45714</v>
      </c>
      <c r="C29" s="92"/>
      <c r="D29" s="99"/>
      <c r="E29" s="210">
        <v>0</v>
      </c>
      <c r="F29" s="210">
        <v>0</v>
      </c>
      <c r="G29" s="8">
        <f t="shared" si="0"/>
        <v>0</v>
      </c>
      <c r="H29" s="210">
        <v>0</v>
      </c>
      <c r="I29" s="210">
        <v>0</v>
      </c>
      <c r="J29" s="8">
        <f t="shared" si="1"/>
        <v>0</v>
      </c>
      <c r="K29" s="8">
        <f t="shared" ref="K29:K31" si="3">G29+J29</f>
        <v>0</v>
      </c>
      <c r="L29" s="8"/>
      <c r="M29" s="211">
        <f t="shared" si="2"/>
        <v>229520.43340000015</v>
      </c>
      <c r="N29" s="55"/>
    </row>
    <row r="30" spans="1:14">
      <c r="A30" s="67">
        <v>27</v>
      </c>
      <c r="B30" s="306">
        <v>45715</v>
      </c>
      <c r="C30" s="92"/>
      <c r="D30" s="99"/>
      <c r="E30" s="210">
        <v>100</v>
      </c>
      <c r="F30" s="210">
        <v>89.91</v>
      </c>
      <c r="G30" s="8">
        <f t="shared" si="0"/>
        <v>8991</v>
      </c>
      <c r="H30" s="210">
        <v>5</v>
      </c>
      <c r="I30" s="210">
        <v>103.89</v>
      </c>
      <c r="J30" s="8">
        <f t="shared" si="1"/>
        <v>519.45000000000005</v>
      </c>
      <c r="K30" s="8">
        <f t="shared" si="3"/>
        <v>9510.4500000000007</v>
      </c>
      <c r="L30" s="8"/>
      <c r="M30" s="211">
        <f t="shared" si="2"/>
        <v>239030.88340000017</v>
      </c>
      <c r="N30" s="55"/>
    </row>
    <row r="31" spans="1:14">
      <c r="A31" s="67">
        <v>28</v>
      </c>
      <c r="B31" s="306">
        <v>45716</v>
      </c>
      <c r="C31" s="297"/>
      <c r="D31" s="275"/>
      <c r="E31" s="210">
        <v>5</v>
      </c>
      <c r="F31" s="210">
        <v>89.91</v>
      </c>
      <c r="G31" s="8">
        <f t="shared" si="0"/>
        <v>449.54999999999995</v>
      </c>
      <c r="H31" s="210">
        <v>0</v>
      </c>
      <c r="I31" s="210">
        <v>0</v>
      </c>
      <c r="J31" s="8">
        <f t="shared" si="1"/>
        <v>0</v>
      </c>
      <c r="K31" s="8">
        <f t="shared" si="3"/>
        <v>449.54999999999995</v>
      </c>
      <c r="L31" s="8"/>
      <c r="M31" s="211">
        <f>M30+K31-L31</f>
        <v>239480.43340000015</v>
      </c>
      <c r="N31" s="55"/>
    </row>
    <row r="32" spans="1:14">
      <c r="A32" s="301"/>
      <c r="B32" s="413"/>
      <c r="C32" s="414"/>
      <c r="D32" s="415"/>
      <c r="E32" s="416"/>
      <c r="F32" s="416"/>
      <c r="G32" s="21"/>
      <c r="H32" s="416"/>
      <c r="I32" s="210"/>
      <c r="J32" s="21"/>
      <c r="K32" s="21"/>
      <c r="L32" s="21"/>
      <c r="M32" s="211">
        <f>M31+K32-L32</f>
        <v>239480.43340000015</v>
      </c>
      <c r="N32" s="55"/>
    </row>
    <row r="33" spans="1:15">
      <c r="A33" s="206"/>
      <c r="B33" s="206"/>
      <c r="C33" s="206"/>
      <c r="D33" s="206"/>
      <c r="E33" s="207">
        <f>SUM(E4:E31)</f>
        <v>2480.9900000000002</v>
      </c>
      <c r="F33" s="207"/>
      <c r="G33" s="207">
        <f>SUM(G4:G31)</f>
        <v>223065.81090000001</v>
      </c>
      <c r="H33" s="207">
        <f>SUM(H4:H31)</f>
        <v>158</v>
      </c>
      <c r="I33" s="88"/>
      <c r="J33" s="207">
        <f>SUM(J4:J31)</f>
        <v>16414.62</v>
      </c>
      <c r="K33" s="207">
        <f>SUM(K4:K31)</f>
        <v>239480.43090000004</v>
      </c>
      <c r="L33" s="207">
        <f>SUM(L4:L31)</f>
        <v>451551.43</v>
      </c>
      <c r="M33" s="88"/>
      <c r="N33" s="88"/>
      <c r="O33" s="84"/>
    </row>
    <row r="34" spans="1:15">
      <c r="A34" s="101"/>
      <c r="B34" s="102"/>
      <c r="C34" s="101"/>
      <c r="D34" s="101"/>
      <c r="E34" s="103"/>
      <c r="F34" s="103"/>
      <c r="G34" s="103"/>
      <c r="H34" s="103"/>
      <c r="I34" s="103"/>
      <c r="J34" s="104"/>
      <c r="K34" s="104"/>
      <c r="L34" s="104"/>
      <c r="M34" s="104"/>
      <c r="N34" s="103"/>
    </row>
    <row r="36" spans="1:15">
      <c r="O36" s="96">
        <v>239030.88</v>
      </c>
    </row>
    <row r="37" spans="1:15">
      <c r="O37" s="96">
        <f>239480.43</f>
        <v>239480.43</v>
      </c>
    </row>
    <row r="38" spans="1:15">
      <c r="O38" s="96">
        <f>O37-O36</f>
        <v>449.54999999998836</v>
      </c>
    </row>
    <row r="40" spans="1:15">
      <c r="B40" s="84"/>
      <c r="G40" s="105"/>
      <c r="J40" s="84"/>
      <c r="K40" s="84"/>
      <c r="L40" s="84"/>
      <c r="M40" s="84"/>
      <c r="O40" s="103"/>
    </row>
    <row r="41" spans="1:15">
      <c r="B41" s="437"/>
      <c r="C41" s="437"/>
      <c r="D41" s="437"/>
      <c r="E41" s="437"/>
      <c r="I41" s="437"/>
      <c r="J41" s="437"/>
      <c r="K41" s="437"/>
      <c r="L41" s="437"/>
      <c r="M41" s="437"/>
      <c r="N41" s="437"/>
      <c r="O41" s="103"/>
    </row>
    <row r="42" spans="1:15">
      <c r="B42" s="84"/>
      <c r="J42" s="84"/>
      <c r="K42" s="84"/>
      <c r="L42" s="84"/>
      <c r="M42" s="84"/>
      <c r="O42" s="103"/>
    </row>
  </sheetData>
  <mergeCells count="4">
    <mergeCell ref="A1:N1"/>
    <mergeCell ref="B41:E41"/>
    <mergeCell ref="I41:N41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N32"/>
  <sheetViews>
    <sheetView workbookViewId="0">
      <selection activeCell="S37" sqref="S37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customWidth="1"/>
    <col min="8" max="8" width="12" customWidth="1"/>
    <col min="10" max="10" width="11.140625" customWidth="1"/>
    <col min="11" max="11" width="12" customWidth="1"/>
    <col min="12" max="12" width="11.85546875" customWidth="1"/>
    <col min="13" max="13" width="13.85546875" customWidth="1"/>
  </cols>
  <sheetData>
    <row r="1" spans="1:14" ht="15.75">
      <c r="A1" s="420" t="s">
        <v>105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</row>
    <row r="2" spans="1:14" ht="30.75">
      <c r="A2" s="130" t="s">
        <v>1</v>
      </c>
      <c r="B2" s="131" t="s">
        <v>2</v>
      </c>
      <c r="C2" s="131" t="s">
        <v>3</v>
      </c>
      <c r="D2" s="131" t="s">
        <v>139</v>
      </c>
      <c r="E2" s="131" t="s">
        <v>5</v>
      </c>
      <c r="F2" s="131" t="s">
        <v>6</v>
      </c>
      <c r="G2" s="131" t="s">
        <v>7</v>
      </c>
      <c r="H2" s="131" t="s">
        <v>8</v>
      </c>
      <c r="I2" s="131" t="s">
        <v>6</v>
      </c>
      <c r="J2" s="177" t="s">
        <v>7</v>
      </c>
      <c r="K2" s="132" t="s">
        <v>9</v>
      </c>
      <c r="L2" s="178" t="s">
        <v>10</v>
      </c>
      <c r="M2" s="183" t="s">
        <v>11</v>
      </c>
      <c r="N2" s="133" t="s">
        <v>12</v>
      </c>
    </row>
    <row r="3" spans="1:14">
      <c r="A3" s="468" t="s">
        <v>13</v>
      </c>
      <c r="B3" s="469"/>
      <c r="C3" s="469"/>
      <c r="D3" s="469"/>
      <c r="E3" s="469"/>
      <c r="F3" s="469"/>
      <c r="G3" s="469"/>
      <c r="H3" s="469"/>
      <c r="I3" s="469"/>
      <c r="J3" s="470"/>
      <c r="K3" s="396">
        <v>0</v>
      </c>
      <c r="L3" s="298"/>
      <c r="M3" s="227">
        <f>+K3</f>
        <v>0</v>
      </c>
      <c r="N3" s="397"/>
    </row>
    <row r="4" spans="1:14">
      <c r="A4" s="67">
        <v>1</v>
      </c>
      <c r="B4" s="116">
        <v>45689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>
      <c r="A5" s="67">
        <v>2</v>
      </c>
      <c r="B5" s="116">
        <v>45690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>
      <c r="A6" s="67">
        <v>3</v>
      </c>
      <c r="B6" s="116">
        <v>45691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>
      <c r="A7" s="67">
        <v>4</v>
      </c>
      <c r="B7" s="29">
        <v>45692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>
      <c r="A8" s="67">
        <v>5</v>
      </c>
      <c r="B8" s="29">
        <v>45693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>
      <c r="A9" s="67">
        <v>6</v>
      </c>
      <c r="B9" s="29">
        <v>45694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>
      <c r="A10" s="67">
        <v>7</v>
      </c>
      <c r="B10" s="29">
        <v>45695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>
      <c r="A11" s="67">
        <v>8</v>
      </c>
      <c r="B11" s="29">
        <v>45696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>
      <c r="A12" s="67">
        <v>9</v>
      </c>
      <c r="B12" s="29">
        <v>45697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>
      <c r="A13" s="67">
        <v>10</v>
      </c>
      <c r="B13" s="29">
        <v>45698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>
      <c r="A14" s="67">
        <v>11</v>
      </c>
      <c r="B14" s="29">
        <v>45699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>
      <c r="A15" s="67">
        <v>12</v>
      </c>
      <c r="B15" s="29">
        <v>45700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>
      <c r="A16" s="67">
        <v>13</v>
      </c>
      <c r="B16" s="29">
        <v>45701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>
      <c r="A17" s="67">
        <v>14</v>
      </c>
      <c r="B17" s="29">
        <v>45702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>
      <c r="A18" s="67">
        <v>15</v>
      </c>
      <c r="B18" s="29">
        <v>45703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>
      <c r="A19" s="67">
        <v>16</v>
      </c>
      <c r="B19" s="29">
        <v>45704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>
      <c r="A20" s="67">
        <v>17</v>
      </c>
      <c r="B20" s="29">
        <v>45705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>
      <c r="A21" s="67">
        <v>18</v>
      </c>
      <c r="B21" s="29">
        <v>45706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>
      <c r="A22" s="67">
        <v>19</v>
      </c>
      <c r="B22" s="29">
        <v>45707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>
      <c r="A23" s="67">
        <v>20</v>
      </c>
      <c r="B23" s="29">
        <v>45708</v>
      </c>
      <c r="C23" s="19"/>
      <c r="D23" s="19"/>
      <c r="E23" s="19">
        <v>60</v>
      </c>
      <c r="F23" s="19">
        <v>89.58</v>
      </c>
      <c r="G23" s="19">
        <f>E23*F23</f>
        <v>5374.8</v>
      </c>
      <c r="H23" s="19"/>
      <c r="I23" s="19"/>
      <c r="J23" s="19">
        <f>H23*I23</f>
        <v>0</v>
      </c>
      <c r="K23" s="19">
        <f>G23+J23</f>
        <v>5374.8</v>
      </c>
      <c r="L23" s="19">
        <f>+K23</f>
        <v>5374.8</v>
      </c>
      <c r="M23" s="19">
        <f>M22+K23-L23</f>
        <v>0</v>
      </c>
      <c r="N23" s="19"/>
    </row>
    <row r="24" spans="1:14">
      <c r="A24" s="67">
        <v>21</v>
      </c>
      <c r="B24" s="29">
        <v>45709</v>
      </c>
      <c r="C24" s="19"/>
      <c r="D24" s="19"/>
      <c r="E24" s="19"/>
      <c r="F24" s="19"/>
      <c r="G24" s="19">
        <f t="shared" ref="G24:G31" si="0">E24*F24</f>
        <v>0</v>
      </c>
      <c r="H24" s="19">
        <v>5.0199999999999996</v>
      </c>
      <c r="I24" s="19">
        <v>103.53</v>
      </c>
      <c r="J24" s="19">
        <f t="shared" ref="J24:J31" si="1">H24*I24</f>
        <v>519.72059999999999</v>
      </c>
      <c r="K24" s="19">
        <f t="shared" ref="K24:K31" si="2">G24+J24</f>
        <v>519.72059999999999</v>
      </c>
      <c r="L24" s="19">
        <f t="shared" ref="L24:L31" si="3">+K24</f>
        <v>519.72059999999999</v>
      </c>
      <c r="M24" s="19">
        <f t="shared" ref="M24:M31" si="4">M23+K24-L24</f>
        <v>0</v>
      </c>
      <c r="N24" s="19"/>
    </row>
    <row r="25" spans="1:14">
      <c r="A25" s="67">
        <v>22</v>
      </c>
      <c r="B25" s="29">
        <v>45710</v>
      </c>
      <c r="C25" s="19"/>
      <c r="D25" s="19"/>
      <c r="E25" s="19">
        <v>80</v>
      </c>
      <c r="F25" s="19">
        <v>89.58</v>
      </c>
      <c r="G25" s="19">
        <f t="shared" si="0"/>
        <v>7166.4</v>
      </c>
      <c r="H25" s="19"/>
      <c r="I25" s="19"/>
      <c r="J25" s="19">
        <f t="shared" si="1"/>
        <v>0</v>
      </c>
      <c r="K25" s="19">
        <f t="shared" si="2"/>
        <v>7166.4</v>
      </c>
      <c r="L25" s="19">
        <f t="shared" si="3"/>
        <v>7166.4</v>
      </c>
      <c r="M25" s="19">
        <f t="shared" si="4"/>
        <v>0</v>
      </c>
      <c r="N25" s="19"/>
    </row>
    <row r="26" spans="1:14">
      <c r="A26" s="67">
        <v>23</v>
      </c>
      <c r="B26" s="29">
        <v>45711</v>
      </c>
      <c r="C26" s="19"/>
      <c r="D26" s="19"/>
      <c r="E26" s="19"/>
      <c r="F26" s="19"/>
      <c r="G26" s="19">
        <f t="shared" si="0"/>
        <v>0</v>
      </c>
      <c r="H26" s="19"/>
      <c r="I26" s="19"/>
      <c r="J26" s="19">
        <f t="shared" si="1"/>
        <v>0</v>
      </c>
      <c r="K26" s="19">
        <f t="shared" si="2"/>
        <v>0</v>
      </c>
      <c r="L26" s="19">
        <f t="shared" si="3"/>
        <v>0</v>
      </c>
      <c r="M26" s="19">
        <f t="shared" si="4"/>
        <v>0</v>
      </c>
      <c r="N26" s="19"/>
    </row>
    <row r="27" spans="1:14">
      <c r="A27" s="67">
        <v>24</v>
      </c>
      <c r="B27" s="29">
        <v>45712</v>
      </c>
      <c r="C27" s="19"/>
      <c r="D27" s="19"/>
      <c r="E27" s="19"/>
      <c r="F27" s="19"/>
      <c r="G27" s="19">
        <f t="shared" si="0"/>
        <v>0</v>
      </c>
      <c r="H27" s="19"/>
      <c r="I27" s="19"/>
      <c r="J27" s="19">
        <f t="shared" si="1"/>
        <v>0</v>
      </c>
      <c r="K27" s="19">
        <f t="shared" si="2"/>
        <v>0</v>
      </c>
      <c r="L27" s="19">
        <f t="shared" si="3"/>
        <v>0</v>
      </c>
      <c r="M27" s="19">
        <f t="shared" si="4"/>
        <v>0</v>
      </c>
      <c r="N27" s="19"/>
    </row>
    <row r="28" spans="1:14">
      <c r="A28" s="67">
        <v>25</v>
      </c>
      <c r="B28" s="29">
        <v>45713</v>
      </c>
      <c r="C28" s="19"/>
      <c r="D28" s="19"/>
      <c r="E28" s="19"/>
      <c r="F28" s="19"/>
      <c r="G28" s="19">
        <f t="shared" si="0"/>
        <v>0</v>
      </c>
      <c r="H28" s="19"/>
      <c r="I28" s="19"/>
      <c r="J28" s="19">
        <f t="shared" si="1"/>
        <v>0</v>
      </c>
      <c r="K28" s="19">
        <f t="shared" si="2"/>
        <v>0</v>
      </c>
      <c r="L28" s="19">
        <f t="shared" si="3"/>
        <v>0</v>
      </c>
      <c r="M28" s="19">
        <f t="shared" si="4"/>
        <v>0</v>
      </c>
      <c r="N28" s="19"/>
    </row>
    <row r="29" spans="1:14">
      <c r="A29" s="67">
        <v>26</v>
      </c>
      <c r="B29" s="29">
        <v>45714</v>
      </c>
      <c r="C29" s="19"/>
      <c r="D29" s="19"/>
      <c r="E29" s="19"/>
      <c r="F29" s="19"/>
      <c r="G29" s="19">
        <f t="shared" si="0"/>
        <v>0</v>
      </c>
      <c r="H29" s="19"/>
      <c r="I29" s="19"/>
      <c r="J29" s="19">
        <f t="shared" si="1"/>
        <v>0</v>
      </c>
      <c r="K29" s="19">
        <f t="shared" si="2"/>
        <v>0</v>
      </c>
      <c r="L29" s="19">
        <f t="shared" si="3"/>
        <v>0</v>
      </c>
      <c r="M29" s="19">
        <f t="shared" si="4"/>
        <v>0</v>
      </c>
      <c r="N29" s="19"/>
    </row>
    <row r="30" spans="1:14">
      <c r="A30" s="67">
        <v>27</v>
      </c>
      <c r="B30" s="29">
        <v>45715</v>
      </c>
      <c r="C30" s="19"/>
      <c r="D30" s="19"/>
      <c r="E30" s="19"/>
      <c r="F30" s="19"/>
      <c r="G30" s="19">
        <f t="shared" si="0"/>
        <v>0</v>
      </c>
      <c r="H30" s="19"/>
      <c r="I30" s="19"/>
      <c r="J30" s="19">
        <f t="shared" si="1"/>
        <v>0</v>
      </c>
      <c r="K30" s="19">
        <f t="shared" si="2"/>
        <v>0</v>
      </c>
      <c r="L30" s="19">
        <f t="shared" si="3"/>
        <v>0</v>
      </c>
      <c r="M30" s="19">
        <f t="shared" si="4"/>
        <v>0</v>
      </c>
      <c r="N30" s="19"/>
    </row>
    <row r="31" spans="1:14">
      <c r="A31" s="67">
        <v>28</v>
      </c>
      <c r="B31" s="29">
        <v>45716</v>
      </c>
      <c r="C31" s="19"/>
      <c r="D31" s="19"/>
      <c r="E31" s="19">
        <v>60</v>
      </c>
      <c r="F31" s="19">
        <v>89.58</v>
      </c>
      <c r="G31" s="19">
        <f t="shared" si="0"/>
        <v>5374.8</v>
      </c>
      <c r="H31" s="19">
        <v>6.51</v>
      </c>
      <c r="I31" s="19">
        <v>103.53</v>
      </c>
      <c r="J31" s="19">
        <f t="shared" si="1"/>
        <v>673.98029999999994</v>
      </c>
      <c r="K31" s="19">
        <f t="shared" si="2"/>
        <v>6048.7803000000004</v>
      </c>
      <c r="L31" s="19">
        <f t="shared" si="3"/>
        <v>6048.7803000000004</v>
      </c>
      <c r="M31" s="19">
        <f t="shared" si="4"/>
        <v>0</v>
      </c>
      <c r="N31" s="19"/>
    </row>
    <row r="32" spans="1:14">
      <c r="A32" s="252"/>
      <c r="B32" s="252"/>
      <c r="C32" s="252"/>
      <c r="D32" s="252"/>
      <c r="E32" s="252">
        <f>SUM(E4:E31)</f>
        <v>200</v>
      </c>
      <c r="F32" s="252"/>
      <c r="G32" s="252">
        <f>SUM(G4:G31)</f>
        <v>17916</v>
      </c>
      <c r="H32" s="252">
        <f>SUM(H4:H31)</f>
        <v>11.53</v>
      </c>
      <c r="I32" s="252"/>
      <c r="J32" s="252">
        <f>SUM(J4:J31)</f>
        <v>1193.7008999999998</v>
      </c>
      <c r="K32" s="252">
        <f>SUM(K4:K31)</f>
        <v>19109.7009</v>
      </c>
      <c r="L32" s="252">
        <f>SUM(L4:L31)</f>
        <v>19109.7009</v>
      </c>
      <c r="M32" s="252"/>
      <c r="N32" s="252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4"/>
  <sheetViews>
    <sheetView workbookViewId="0">
      <pane ySplit="2" topLeftCell="A3" activePane="bottomLeft" state="frozen"/>
      <selection pane="bottomLeft" activeCell="L36" sqref="L36"/>
    </sheetView>
  </sheetViews>
  <sheetFormatPr defaultColWidth="9.28515625" defaultRowHeight="15"/>
  <cols>
    <col min="1" max="1" width="5.42578125" style="75" bestFit="1" customWidth="1"/>
    <col min="2" max="2" width="11" style="75" bestFit="1" customWidth="1"/>
    <col min="3" max="3" width="7.140625" style="75" bestFit="1" customWidth="1"/>
    <col min="4" max="4" width="15.140625" style="75" bestFit="1" customWidth="1"/>
    <col min="5" max="5" width="9.28515625" style="75"/>
    <col min="6" max="6" width="9.85546875" style="75" bestFit="1" customWidth="1"/>
    <col min="7" max="7" width="10.42578125" style="75" bestFit="1" customWidth="1"/>
    <col min="8" max="8" width="9.28515625" style="75"/>
    <col min="9" max="9" width="7.140625" style="75" bestFit="1" customWidth="1"/>
    <col min="10" max="10" width="9.5703125" style="75" bestFit="1" customWidth="1"/>
    <col min="11" max="11" width="12.28515625" style="75" customWidth="1"/>
    <col min="12" max="12" width="11.7109375" style="75" bestFit="1" customWidth="1"/>
    <col min="13" max="13" width="11.7109375" style="75" customWidth="1"/>
    <col min="14" max="14" width="17.7109375" style="75" bestFit="1" customWidth="1"/>
    <col min="15" max="16384" width="9.28515625" style="75"/>
  </cols>
  <sheetData>
    <row r="1" spans="1:15" ht="15.75">
      <c r="A1" s="471" t="s">
        <v>96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</row>
    <row r="2" spans="1:15">
      <c r="A2" s="118" t="s">
        <v>1</v>
      </c>
      <c r="B2" s="119" t="s">
        <v>2</v>
      </c>
      <c r="C2" s="119" t="s">
        <v>3</v>
      </c>
      <c r="D2" s="119" t="s">
        <v>4</v>
      </c>
      <c r="E2" s="119" t="s">
        <v>5</v>
      </c>
      <c r="F2" s="119" t="s">
        <v>6</v>
      </c>
      <c r="G2" s="119" t="s">
        <v>7</v>
      </c>
      <c r="H2" s="119" t="s">
        <v>8</v>
      </c>
      <c r="I2" s="119" t="s">
        <v>6</v>
      </c>
      <c r="J2" s="148" t="s">
        <v>7</v>
      </c>
      <c r="K2" s="150" t="s">
        <v>9</v>
      </c>
      <c r="L2" s="151" t="s">
        <v>10</v>
      </c>
      <c r="M2" s="152" t="s">
        <v>11</v>
      </c>
      <c r="N2" s="120" t="s">
        <v>12</v>
      </c>
      <c r="O2" s="36"/>
    </row>
    <row r="3" spans="1:15" ht="15.75">
      <c r="A3" s="422" t="s">
        <v>13</v>
      </c>
      <c r="B3" s="423"/>
      <c r="C3" s="423"/>
      <c r="D3" s="423"/>
      <c r="E3" s="423"/>
      <c r="F3" s="423"/>
      <c r="G3" s="423"/>
      <c r="H3" s="423"/>
      <c r="I3" s="423"/>
      <c r="J3" s="434"/>
      <c r="K3" s="76">
        <v>0</v>
      </c>
      <c r="L3" s="73"/>
      <c r="M3" s="156">
        <f>+K3</f>
        <v>0</v>
      </c>
      <c r="N3" s="73"/>
    </row>
    <row r="4" spans="1:15" ht="15.75">
      <c r="A4" s="67">
        <v>1</v>
      </c>
      <c r="B4" s="314">
        <v>45689</v>
      </c>
      <c r="C4" s="154"/>
      <c r="D4" s="155"/>
      <c r="E4" s="108">
        <v>0</v>
      </c>
      <c r="F4" s="153"/>
      <c r="G4" s="153">
        <f>E4*F4</f>
        <v>0</v>
      </c>
      <c r="H4" s="153">
        <v>70</v>
      </c>
      <c r="I4" s="153">
        <v>104.14</v>
      </c>
      <c r="J4" s="153">
        <f>H4*I4</f>
        <v>7289.8</v>
      </c>
      <c r="K4" s="153">
        <f>G4+J4</f>
        <v>7289.8</v>
      </c>
      <c r="L4" s="153"/>
      <c r="M4" s="159">
        <f>M3+K4-L4</f>
        <v>7289.8</v>
      </c>
      <c r="N4" s="153"/>
    </row>
    <row r="5" spans="1:15" ht="15.75">
      <c r="A5" s="67">
        <v>2</v>
      </c>
      <c r="B5" s="314">
        <v>45690</v>
      </c>
      <c r="C5" s="25"/>
      <c r="D5" s="26"/>
      <c r="E5" s="73"/>
      <c r="F5" s="153"/>
      <c r="G5" s="73">
        <f>E5*F5</f>
        <v>0</v>
      </c>
      <c r="H5" s="153">
        <v>0</v>
      </c>
      <c r="I5" s="153">
        <v>0</v>
      </c>
      <c r="J5" s="73">
        <f>H5*I5</f>
        <v>0</v>
      </c>
      <c r="K5" s="73">
        <f>G5+J5</f>
        <v>0</v>
      </c>
      <c r="L5" s="153"/>
      <c r="M5" s="159">
        <f>M4+K5-L5</f>
        <v>7289.8</v>
      </c>
      <c r="N5" s="65"/>
    </row>
    <row r="6" spans="1:15" ht="18.75" customHeight="1">
      <c r="A6" s="67">
        <v>3</v>
      </c>
      <c r="B6" s="314">
        <v>45691</v>
      </c>
      <c r="C6" s="322"/>
      <c r="D6" s="270"/>
      <c r="E6" s="271"/>
      <c r="F6" s="153"/>
      <c r="G6" s="73">
        <f>E6*F6</f>
        <v>0</v>
      </c>
      <c r="H6" s="153">
        <v>0</v>
      </c>
      <c r="I6" s="153">
        <v>0</v>
      </c>
      <c r="J6" s="73">
        <f>H6*I6</f>
        <v>0</v>
      </c>
      <c r="K6" s="73">
        <f>G6+J6</f>
        <v>0</v>
      </c>
      <c r="L6" s="153"/>
      <c r="M6" s="159">
        <f>M5+K6-L6</f>
        <v>7289.8</v>
      </c>
      <c r="N6" s="73"/>
    </row>
    <row r="7" spans="1:15" ht="15.75">
      <c r="A7" s="67">
        <v>4</v>
      </c>
      <c r="B7" s="306">
        <v>45692</v>
      </c>
      <c r="C7" s="320"/>
      <c r="D7" s="321"/>
      <c r="E7" s="271"/>
      <c r="F7" s="73"/>
      <c r="G7" s="73">
        <f>E7*F7</f>
        <v>0</v>
      </c>
      <c r="H7" s="153">
        <v>0</v>
      </c>
      <c r="I7" s="153">
        <v>0</v>
      </c>
      <c r="J7" s="73">
        <v>0</v>
      </c>
      <c r="K7" s="73">
        <f>G7+J7</f>
        <v>0</v>
      </c>
      <c r="L7" s="153"/>
      <c r="M7" s="159">
        <f t="shared" ref="M7:M28" si="0">M6+K7-L7</f>
        <v>7289.8</v>
      </c>
      <c r="N7" s="65"/>
    </row>
    <row r="8" spans="1:15" ht="15.75" customHeight="1">
      <c r="A8" s="67">
        <v>5</v>
      </c>
      <c r="B8" s="306">
        <v>45693</v>
      </c>
      <c r="C8" s="153"/>
      <c r="D8" s="153"/>
      <c r="E8" s="73">
        <v>2500</v>
      </c>
      <c r="F8" s="73">
        <v>90.24</v>
      </c>
      <c r="G8" s="73">
        <f>E8*F8</f>
        <v>225600</v>
      </c>
      <c r="H8" s="153">
        <v>35</v>
      </c>
      <c r="I8" s="153">
        <v>104.14</v>
      </c>
      <c r="J8" s="73">
        <f>H8*I8</f>
        <v>3644.9</v>
      </c>
      <c r="K8" s="73">
        <f>G8+J8</f>
        <v>229244.9</v>
      </c>
      <c r="L8" s="153"/>
      <c r="M8" s="159">
        <f t="shared" si="0"/>
        <v>236534.69999999998</v>
      </c>
      <c r="N8" s="73"/>
    </row>
    <row r="9" spans="1:15" ht="15.75" customHeight="1">
      <c r="A9" s="67">
        <v>6</v>
      </c>
      <c r="B9" s="306">
        <v>45694</v>
      </c>
      <c r="C9" s="73"/>
      <c r="D9" s="153"/>
      <c r="E9" s="73"/>
      <c r="F9" s="73"/>
      <c r="G9" s="73">
        <f t="shared" ref="G9:G31" si="1">E9*F9</f>
        <v>0</v>
      </c>
      <c r="H9" s="73"/>
      <c r="I9" s="73"/>
      <c r="J9" s="73">
        <f t="shared" ref="J9:J31" si="2">H9*I9</f>
        <v>0</v>
      </c>
      <c r="K9" s="73">
        <f t="shared" ref="K9:K31" si="3">G9+J9</f>
        <v>0</v>
      </c>
      <c r="L9" s="153"/>
      <c r="M9" s="159">
        <f t="shared" si="0"/>
        <v>236534.69999999998</v>
      </c>
      <c r="N9" s="73"/>
    </row>
    <row r="10" spans="1:15" ht="15.75" customHeight="1">
      <c r="A10" s="67">
        <v>7</v>
      </c>
      <c r="B10" s="306">
        <v>45695</v>
      </c>
      <c r="C10" s="73"/>
      <c r="D10" s="153"/>
      <c r="E10" s="73"/>
      <c r="F10" s="73"/>
      <c r="G10" s="73">
        <f t="shared" si="1"/>
        <v>0</v>
      </c>
      <c r="H10" s="73"/>
      <c r="I10" s="73"/>
      <c r="J10" s="73">
        <f t="shared" si="2"/>
        <v>0</v>
      </c>
      <c r="K10" s="73">
        <f t="shared" si="3"/>
        <v>0</v>
      </c>
      <c r="L10" s="73"/>
      <c r="M10" s="159">
        <f t="shared" si="0"/>
        <v>236534.69999999998</v>
      </c>
      <c r="N10" s="73"/>
    </row>
    <row r="11" spans="1:15" ht="15.75" customHeight="1">
      <c r="A11" s="67">
        <v>8</v>
      </c>
      <c r="B11" s="306">
        <v>45696</v>
      </c>
      <c r="C11" s="73"/>
      <c r="D11" s="153"/>
      <c r="E11" s="73"/>
      <c r="F11" s="73"/>
      <c r="G11" s="73">
        <f t="shared" si="1"/>
        <v>0</v>
      </c>
      <c r="H11" s="73"/>
      <c r="I11" s="73"/>
      <c r="J11" s="73">
        <f t="shared" si="2"/>
        <v>0</v>
      </c>
      <c r="K11" s="73">
        <f t="shared" si="3"/>
        <v>0</v>
      </c>
      <c r="L11" s="73"/>
      <c r="M11" s="159">
        <f t="shared" si="0"/>
        <v>236534.69999999998</v>
      </c>
      <c r="N11" s="73"/>
    </row>
    <row r="12" spans="1:15" ht="15.75" customHeight="1">
      <c r="A12" s="67">
        <v>9</v>
      </c>
      <c r="B12" s="306">
        <v>45697</v>
      </c>
      <c r="C12" s="73"/>
      <c r="D12" s="153"/>
      <c r="E12" s="73"/>
      <c r="F12" s="73"/>
      <c r="G12" s="73">
        <f t="shared" si="1"/>
        <v>0</v>
      </c>
      <c r="H12" s="73"/>
      <c r="I12" s="73"/>
      <c r="J12" s="73">
        <f t="shared" si="2"/>
        <v>0</v>
      </c>
      <c r="K12" s="73">
        <f t="shared" si="3"/>
        <v>0</v>
      </c>
      <c r="L12" s="73"/>
      <c r="M12" s="159">
        <f t="shared" si="0"/>
        <v>236534.69999999998</v>
      </c>
      <c r="N12" s="73"/>
    </row>
    <row r="13" spans="1:15" ht="15.75" customHeight="1">
      <c r="A13" s="67">
        <v>10</v>
      </c>
      <c r="B13" s="306">
        <v>45698</v>
      </c>
      <c r="C13" s="73"/>
      <c r="D13" s="153"/>
      <c r="E13" s="73"/>
      <c r="F13" s="73"/>
      <c r="G13" s="73">
        <f t="shared" si="1"/>
        <v>0</v>
      </c>
      <c r="H13" s="73"/>
      <c r="I13" s="73"/>
      <c r="J13" s="73">
        <f t="shared" si="2"/>
        <v>0</v>
      </c>
      <c r="K13" s="73">
        <f t="shared" si="3"/>
        <v>0</v>
      </c>
      <c r="L13" s="73"/>
      <c r="M13" s="159">
        <f t="shared" si="0"/>
        <v>236534.69999999998</v>
      </c>
      <c r="N13" s="73"/>
    </row>
    <row r="14" spans="1:15" ht="15.75" customHeight="1">
      <c r="A14" s="67">
        <v>11</v>
      </c>
      <c r="B14" s="306">
        <v>45699</v>
      </c>
      <c r="C14" s="73"/>
      <c r="D14" s="153"/>
      <c r="E14" s="73"/>
      <c r="F14" s="73"/>
      <c r="G14" s="73">
        <f t="shared" si="1"/>
        <v>0</v>
      </c>
      <c r="H14" s="73"/>
      <c r="I14" s="73"/>
      <c r="J14" s="73">
        <f t="shared" si="2"/>
        <v>0</v>
      </c>
      <c r="K14" s="73">
        <f t="shared" si="3"/>
        <v>0</v>
      </c>
      <c r="L14" s="73"/>
      <c r="M14" s="159">
        <f t="shared" si="0"/>
        <v>236534.69999999998</v>
      </c>
      <c r="N14" s="73"/>
    </row>
    <row r="15" spans="1:15" ht="15.75" customHeight="1">
      <c r="A15" s="67">
        <v>12</v>
      </c>
      <c r="B15" s="306">
        <v>45700</v>
      </c>
      <c r="C15" s="73"/>
      <c r="D15" s="153"/>
      <c r="E15" s="73"/>
      <c r="F15" s="73"/>
      <c r="G15" s="73">
        <f t="shared" si="1"/>
        <v>0</v>
      </c>
      <c r="H15" s="73"/>
      <c r="I15" s="73"/>
      <c r="J15" s="73">
        <f t="shared" si="2"/>
        <v>0</v>
      </c>
      <c r="K15" s="73">
        <f t="shared" si="3"/>
        <v>0</v>
      </c>
      <c r="L15" s="73"/>
      <c r="M15" s="159">
        <f t="shared" si="0"/>
        <v>236534.69999999998</v>
      </c>
      <c r="N15" s="73"/>
    </row>
    <row r="16" spans="1:15" ht="15.75" customHeight="1">
      <c r="A16" s="67">
        <v>13</v>
      </c>
      <c r="B16" s="306">
        <v>45701</v>
      </c>
      <c r="C16" s="73"/>
      <c r="D16" s="153"/>
      <c r="E16" s="73"/>
      <c r="F16" s="73"/>
      <c r="G16" s="73">
        <f t="shared" si="1"/>
        <v>0</v>
      </c>
      <c r="H16" s="73">
        <v>70</v>
      </c>
      <c r="I16" s="73">
        <v>104.14</v>
      </c>
      <c r="J16" s="73">
        <f t="shared" si="2"/>
        <v>7289.8</v>
      </c>
      <c r="K16" s="73">
        <f t="shared" si="3"/>
        <v>7289.8</v>
      </c>
      <c r="L16" s="73"/>
      <c r="M16" s="159">
        <f t="shared" si="0"/>
        <v>243824.49999999997</v>
      </c>
      <c r="N16" s="73"/>
    </row>
    <row r="17" spans="1:15" ht="15.75" customHeight="1">
      <c r="A17" s="67">
        <v>14</v>
      </c>
      <c r="B17" s="306">
        <v>45702</v>
      </c>
      <c r="C17" s="73"/>
      <c r="D17" s="153"/>
      <c r="E17" s="73"/>
      <c r="F17" s="73"/>
      <c r="G17" s="73">
        <f t="shared" si="1"/>
        <v>0</v>
      </c>
      <c r="H17" s="73"/>
      <c r="I17" s="73"/>
      <c r="J17" s="73">
        <f t="shared" si="2"/>
        <v>0</v>
      </c>
      <c r="K17" s="73">
        <f t="shared" si="3"/>
        <v>0</v>
      </c>
      <c r="L17" s="73"/>
      <c r="M17" s="159">
        <f t="shared" si="0"/>
        <v>243824.49999999997</v>
      </c>
      <c r="N17" s="73"/>
    </row>
    <row r="18" spans="1:15" ht="15.75" customHeight="1">
      <c r="A18" s="67">
        <v>15</v>
      </c>
      <c r="B18" s="306">
        <v>45703</v>
      </c>
      <c r="C18" s="73"/>
      <c r="D18" s="153"/>
      <c r="E18" s="73">
        <v>0</v>
      </c>
      <c r="F18" s="73"/>
      <c r="G18" s="73">
        <f t="shared" si="1"/>
        <v>0</v>
      </c>
      <c r="H18" s="73">
        <v>0</v>
      </c>
      <c r="I18" s="73"/>
      <c r="J18" s="73">
        <f t="shared" si="2"/>
        <v>0</v>
      </c>
      <c r="K18" s="73">
        <f t="shared" si="3"/>
        <v>0</v>
      </c>
      <c r="L18" s="73">
        <v>235000</v>
      </c>
      <c r="M18" s="159">
        <f t="shared" si="0"/>
        <v>8824.4999999999709</v>
      </c>
      <c r="N18" s="73"/>
    </row>
    <row r="19" spans="1:15" ht="15.75" customHeight="1">
      <c r="A19" s="67">
        <v>16</v>
      </c>
      <c r="B19" s="306">
        <v>45704</v>
      </c>
      <c r="C19" s="73"/>
      <c r="D19" s="153"/>
      <c r="E19" s="73"/>
      <c r="F19" s="73"/>
      <c r="G19" s="73">
        <f t="shared" si="1"/>
        <v>0</v>
      </c>
      <c r="H19" s="73"/>
      <c r="I19" s="73"/>
      <c r="J19" s="73">
        <f t="shared" si="2"/>
        <v>0</v>
      </c>
      <c r="K19" s="73">
        <f t="shared" si="3"/>
        <v>0</v>
      </c>
      <c r="L19" s="73"/>
      <c r="M19" s="159">
        <f t="shared" si="0"/>
        <v>8824.4999999999709</v>
      </c>
      <c r="N19" s="73"/>
    </row>
    <row r="20" spans="1:15" ht="15.75" customHeight="1">
      <c r="A20" s="67">
        <v>17</v>
      </c>
      <c r="B20" s="306">
        <v>45705</v>
      </c>
      <c r="C20" s="73"/>
      <c r="D20" s="153"/>
      <c r="E20" s="73"/>
      <c r="F20" s="73"/>
      <c r="G20" s="73">
        <f t="shared" si="1"/>
        <v>0</v>
      </c>
      <c r="H20" s="73"/>
      <c r="I20" s="73"/>
      <c r="J20" s="73">
        <f t="shared" si="2"/>
        <v>0</v>
      </c>
      <c r="K20" s="73">
        <f t="shared" si="3"/>
        <v>0</v>
      </c>
      <c r="L20" s="73"/>
      <c r="M20" s="159">
        <f t="shared" si="0"/>
        <v>8824.4999999999709</v>
      </c>
      <c r="N20" s="73"/>
    </row>
    <row r="21" spans="1:15" ht="15.75" customHeight="1">
      <c r="A21" s="67">
        <v>18</v>
      </c>
      <c r="B21" s="306">
        <v>45706</v>
      </c>
      <c r="C21" s="73"/>
      <c r="D21" s="153"/>
      <c r="E21" s="73"/>
      <c r="F21" s="73"/>
      <c r="G21" s="73">
        <f t="shared" si="1"/>
        <v>0</v>
      </c>
      <c r="H21" s="73"/>
      <c r="I21" s="73"/>
      <c r="J21" s="73">
        <f t="shared" si="2"/>
        <v>0</v>
      </c>
      <c r="K21" s="73">
        <f t="shared" si="3"/>
        <v>0</v>
      </c>
      <c r="L21" s="73"/>
      <c r="M21" s="159">
        <f t="shared" si="0"/>
        <v>8824.4999999999709</v>
      </c>
      <c r="N21" s="73"/>
    </row>
    <row r="22" spans="1:15" ht="15.75" customHeight="1">
      <c r="A22" s="67">
        <v>19</v>
      </c>
      <c r="B22" s="306">
        <v>45707</v>
      </c>
      <c r="C22" s="73"/>
      <c r="D22" s="153"/>
      <c r="E22" s="73"/>
      <c r="F22" s="73"/>
      <c r="G22" s="73">
        <f t="shared" si="1"/>
        <v>0</v>
      </c>
      <c r="H22" s="73"/>
      <c r="I22" s="73"/>
      <c r="J22" s="73">
        <f t="shared" si="2"/>
        <v>0</v>
      </c>
      <c r="K22" s="73">
        <f t="shared" si="3"/>
        <v>0</v>
      </c>
      <c r="L22" s="73"/>
      <c r="M22" s="159">
        <f t="shared" si="0"/>
        <v>8824.4999999999709</v>
      </c>
      <c r="N22" s="73"/>
    </row>
    <row r="23" spans="1:15" ht="15.75" customHeight="1">
      <c r="A23" s="67">
        <v>20</v>
      </c>
      <c r="B23" s="306">
        <v>45708</v>
      </c>
      <c r="C23" s="73"/>
      <c r="D23" s="153"/>
      <c r="E23" s="73"/>
      <c r="F23" s="73"/>
      <c r="G23" s="73">
        <f t="shared" si="1"/>
        <v>0</v>
      </c>
      <c r="H23" s="73">
        <v>70</v>
      </c>
      <c r="I23" s="73">
        <v>104.14</v>
      </c>
      <c r="J23" s="73">
        <f t="shared" si="2"/>
        <v>7289.8</v>
      </c>
      <c r="K23" s="73">
        <f t="shared" si="3"/>
        <v>7289.8</v>
      </c>
      <c r="L23" s="73"/>
      <c r="M23" s="159">
        <f t="shared" si="0"/>
        <v>16114.29999999997</v>
      </c>
      <c r="N23" s="73"/>
    </row>
    <row r="24" spans="1:15" ht="15.75" customHeight="1">
      <c r="A24" s="67">
        <v>21</v>
      </c>
      <c r="B24" s="306">
        <v>45709</v>
      </c>
      <c r="C24" s="73"/>
      <c r="D24" s="153"/>
      <c r="E24" s="73"/>
      <c r="F24" s="73"/>
      <c r="G24" s="73">
        <f t="shared" si="1"/>
        <v>0</v>
      </c>
      <c r="H24" s="73"/>
      <c r="I24" s="73"/>
      <c r="J24" s="73">
        <f t="shared" si="2"/>
        <v>0</v>
      </c>
      <c r="K24" s="73">
        <f t="shared" si="3"/>
        <v>0</v>
      </c>
      <c r="L24" s="73"/>
      <c r="M24" s="159">
        <f t="shared" si="0"/>
        <v>16114.29999999997</v>
      </c>
      <c r="N24" s="73"/>
    </row>
    <row r="25" spans="1:15" ht="15.75" customHeight="1">
      <c r="A25" s="67">
        <v>22</v>
      </c>
      <c r="B25" s="306">
        <v>45710</v>
      </c>
      <c r="C25" s="73"/>
      <c r="D25" s="153"/>
      <c r="E25" s="73"/>
      <c r="F25" s="73"/>
      <c r="G25" s="73">
        <f t="shared" si="1"/>
        <v>0</v>
      </c>
      <c r="H25" s="73"/>
      <c r="I25" s="73"/>
      <c r="J25" s="73">
        <f t="shared" si="2"/>
        <v>0</v>
      </c>
      <c r="K25" s="73">
        <f t="shared" si="3"/>
        <v>0</v>
      </c>
      <c r="L25" s="73"/>
      <c r="M25" s="159">
        <f t="shared" si="0"/>
        <v>16114.29999999997</v>
      </c>
      <c r="N25" s="73"/>
    </row>
    <row r="26" spans="1:15" ht="15.75" customHeight="1">
      <c r="A26" s="67">
        <v>23</v>
      </c>
      <c r="B26" s="306">
        <v>45711</v>
      </c>
      <c r="C26" s="73"/>
      <c r="D26" s="153"/>
      <c r="E26" s="73">
        <v>1500</v>
      </c>
      <c r="F26" s="73">
        <v>90.24</v>
      </c>
      <c r="G26" s="73">
        <f t="shared" si="1"/>
        <v>135360</v>
      </c>
      <c r="H26" s="73">
        <v>35</v>
      </c>
      <c r="I26" s="73">
        <v>104.14</v>
      </c>
      <c r="J26" s="73">
        <f t="shared" si="2"/>
        <v>3644.9</v>
      </c>
      <c r="K26" s="73">
        <f t="shared" si="3"/>
        <v>139004.9</v>
      </c>
      <c r="L26" s="73"/>
      <c r="M26" s="159">
        <f t="shared" si="0"/>
        <v>155119.19999999995</v>
      </c>
      <c r="N26" s="73"/>
    </row>
    <row r="27" spans="1:15" ht="15.75" customHeight="1">
      <c r="A27" s="67">
        <v>24</v>
      </c>
      <c r="B27" s="306">
        <v>45712</v>
      </c>
      <c r="C27" s="73"/>
      <c r="D27" s="153"/>
      <c r="E27" s="73">
        <v>0</v>
      </c>
      <c r="F27" s="73"/>
      <c r="G27" s="73">
        <f t="shared" si="1"/>
        <v>0</v>
      </c>
      <c r="H27" s="73"/>
      <c r="I27" s="73"/>
      <c r="J27" s="73">
        <f t="shared" si="2"/>
        <v>0</v>
      </c>
      <c r="K27" s="73">
        <f t="shared" si="3"/>
        <v>0</v>
      </c>
      <c r="L27" s="73">
        <v>16115</v>
      </c>
      <c r="M27" s="159">
        <f t="shared" si="0"/>
        <v>139004.19999999995</v>
      </c>
      <c r="N27" s="73"/>
    </row>
    <row r="28" spans="1:15" ht="15.75" customHeight="1">
      <c r="A28" s="67">
        <v>25</v>
      </c>
      <c r="B28" s="306">
        <v>45713</v>
      </c>
      <c r="C28" s="73"/>
      <c r="D28" s="153"/>
      <c r="E28" s="73"/>
      <c r="F28" s="73"/>
      <c r="G28" s="73">
        <f t="shared" si="1"/>
        <v>0</v>
      </c>
      <c r="H28" s="73"/>
      <c r="I28" s="73"/>
      <c r="J28" s="73">
        <f t="shared" si="2"/>
        <v>0</v>
      </c>
      <c r="K28" s="73">
        <f t="shared" si="3"/>
        <v>0</v>
      </c>
      <c r="L28" s="73"/>
      <c r="M28" s="159">
        <f>M27+K28-L28</f>
        <v>139004.19999999995</v>
      </c>
      <c r="N28" s="73"/>
    </row>
    <row r="29" spans="1:15" ht="15.75" customHeight="1">
      <c r="A29" s="67">
        <v>26</v>
      </c>
      <c r="B29" s="306">
        <v>45714</v>
      </c>
      <c r="C29" s="73"/>
      <c r="D29" s="153"/>
      <c r="E29" s="73"/>
      <c r="F29" s="73"/>
      <c r="G29" s="73">
        <f t="shared" si="1"/>
        <v>0</v>
      </c>
      <c r="H29" s="73"/>
      <c r="I29" s="73"/>
      <c r="J29" s="73">
        <f t="shared" si="2"/>
        <v>0</v>
      </c>
      <c r="K29" s="73">
        <f t="shared" si="3"/>
        <v>0</v>
      </c>
      <c r="L29" s="73"/>
      <c r="M29" s="159"/>
      <c r="N29" s="73"/>
    </row>
    <row r="30" spans="1:15" ht="15.75" customHeight="1">
      <c r="A30" s="67">
        <v>27</v>
      </c>
      <c r="B30" s="306">
        <v>45715</v>
      </c>
      <c r="C30" s="73"/>
      <c r="D30" s="153"/>
      <c r="E30" s="73"/>
      <c r="F30" s="73"/>
      <c r="G30" s="73">
        <f t="shared" si="1"/>
        <v>0</v>
      </c>
      <c r="H30" s="73"/>
      <c r="I30" s="73"/>
      <c r="J30" s="73">
        <f t="shared" si="2"/>
        <v>0</v>
      </c>
      <c r="K30" s="73">
        <f t="shared" si="3"/>
        <v>0</v>
      </c>
      <c r="L30" s="73"/>
      <c r="M30" s="159"/>
      <c r="N30" s="73"/>
    </row>
    <row r="31" spans="1:15" ht="15.75" customHeight="1">
      <c r="A31" s="67">
        <v>28</v>
      </c>
      <c r="B31" s="306">
        <v>45716</v>
      </c>
      <c r="C31" s="73"/>
      <c r="D31" s="153"/>
      <c r="E31" s="73"/>
      <c r="F31" s="73"/>
      <c r="G31" s="73">
        <f t="shared" si="1"/>
        <v>0</v>
      </c>
      <c r="H31" s="73"/>
      <c r="I31" s="73"/>
      <c r="J31" s="73">
        <f t="shared" si="2"/>
        <v>0</v>
      </c>
      <c r="K31" s="73">
        <f t="shared" si="3"/>
        <v>0</v>
      </c>
      <c r="L31" s="73"/>
      <c r="M31" s="159"/>
      <c r="N31" s="73"/>
    </row>
    <row r="32" spans="1:15">
      <c r="A32" s="63"/>
      <c r="B32" s="63"/>
      <c r="C32" s="63"/>
      <c r="D32" s="63"/>
      <c r="E32" s="64">
        <f>SUM(E4:E31)</f>
        <v>4000</v>
      </c>
      <c r="F32" s="64"/>
      <c r="G32" s="64">
        <f>SUM(G4:G31)</f>
        <v>360960</v>
      </c>
      <c r="H32" s="64">
        <f>SUM(H4:H31)</f>
        <v>280</v>
      </c>
      <c r="I32" s="64"/>
      <c r="J32" s="64">
        <f>SUM(J4:J31)</f>
        <v>29159.200000000001</v>
      </c>
      <c r="K32" s="64">
        <f>SUM(K4:K31)</f>
        <v>390119.19999999995</v>
      </c>
      <c r="L32" s="64">
        <f>SUM(L4:L31)</f>
        <v>251115</v>
      </c>
      <c r="M32" s="64"/>
      <c r="N32" s="64"/>
      <c r="O32" s="36"/>
    </row>
    <row r="34" spans="4:5">
      <c r="D34" s="66"/>
      <c r="E34" s="66"/>
    </row>
  </sheetData>
  <mergeCells count="2">
    <mergeCell ref="A1:N1"/>
    <mergeCell ref="A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O46"/>
  <sheetViews>
    <sheetView workbookViewId="0">
      <pane ySplit="2" topLeftCell="A15" activePane="bottomLeft" state="frozen"/>
      <selection pane="bottomLeft" activeCell="I35" sqref="I35:N35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71093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5.28515625" customWidth="1"/>
  </cols>
  <sheetData>
    <row r="1" spans="1:15" ht="15.75">
      <c r="A1" s="425" t="s">
        <v>114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77"/>
    </row>
    <row r="2" spans="1:15" ht="18" customHeight="1">
      <c r="A2" s="89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6</v>
      </c>
      <c r="G2" s="113" t="s">
        <v>7</v>
      </c>
      <c r="H2" s="113" t="s">
        <v>8</v>
      </c>
      <c r="I2" s="113" t="s">
        <v>6</v>
      </c>
      <c r="J2" s="114" t="s">
        <v>7</v>
      </c>
      <c r="K2" s="89" t="s">
        <v>9</v>
      </c>
      <c r="L2" s="115" t="s">
        <v>10</v>
      </c>
      <c r="M2" s="212" t="s">
        <v>11</v>
      </c>
      <c r="N2" s="113" t="s">
        <v>12</v>
      </c>
      <c r="O2" s="84"/>
    </row>
    <row r="3" spans="1:15" ht="18" customHeight="1">
      <c r="A3" s="190"/>
      <c r="B3" s="191"/>
      <c r="C3" s="191"/>
      <c r="D3" s="170" t="s">
        <v>13</v>
      </c>
      <c r="E3" s="191"/>
      <c r="F3" s="191"/>
      <c r="G3" s="191"/>
      <c r="H3" s="191"/>
      <c r="I3" s="191"/>
      <c r="J3" s="192"/>
      <c r="K3" s="403">
        <v>13780.26</v>
      </c>
      <c r="L3" s="193">
        <v>0</v>
      </c>
      <c r="M3" s="193">
        <f>+K3</f>
        <v>13780.26</v>
      </c>
      <c r="N3" s="191"/>
      <c r="O3" s="84"/>
    </row>
    <row r="4" spans="1:15">
      <c r="A4" s="67">
        <v>1</v>
      </c>
      <c r="B4" s="314">
        <v>45689</v>
      </c>
      <c r="C4" s="27"/>
      <c r="D4" s="27"/>
      <c r="E4" s="8">
        <v>145</v>
      </c>
      <c r="F4" s="8">
        <v>89.47</v>
      </c>
      <c r="G4" s="8">
        <f>E4*F4</f>
        <v>12973.15</v>
      </c>
      <c r="H4" s="9">
        <v>2</v>
      </c>
      <c r="I4" s="9">
        <v>103.4</v>
      </c>
      <c r="J4" s="8">
        <f>H4*I4</f>
        <v>206.8</v>
      </c>
      <c r="K4" s="8">
        <f>G4+J4</f>
        <v>13179.949999999999</v>
      </c>
      <c r="L4" s="193">
        <v>0</v>
      </c>
      <c r="M4" s="8">
        <f>M3+K4-L4</f>
        <v>26960.21</v>
      </c>
      <c r="N4" s="65"/>
      <c r="O4" s="1"/>
    </row>
    <row r="5" spans="1:15">
      <c r="A5" s="67">
        <v>2</v>
      </c>
      <c r="B5" s="314">
        <v>45690</v>
      </c>
      <c r="C5" s="27"/>
      <c r="D5" s="27"/>
      <c r="E5" s="8">
        <v>0</v>
      </c>
      <c r="F5" s="8">
        <v>89.47</v>
      </c>
      <c r="G5" s="8">
        <f t="shared" ref="G5:G31" si="0">E5*F5</f>
        <v>0</v>
      </c>
      <c r="H5" s="9">
        <v>0</v>
      </c>
      <c r="I5" s="9">
        <v>103.4</v>
      </c>
      <c r="J5" s="8">
        <f t="shared" ref="J5:J30" si="1">H5*I5</f>
        <v>0</v>
      </c>
      <c r="K5" s="8">
        <f>G5+J5</f>
        <v>0</v>
      </c>
      <c r="L5" s="193">
        <v>0</v>
      </c>
      <c r="M5" s="8">
        <f t="shared" ref="M5:M28" si="2">M4+K5-L5</f>
        <v>26960.21</v>
      </c>
      <c r="N5" s="65"/>
      <c r="O5" s="1"/>
    </row>
    <row r="6" spans="1:15">
      <c r="A6" s="67">
        <v>3</v>
      </c>
      <c r="B6" s="314">
        <v>45691</v>
      </c>
      <c r="C6" s="27"/>
      <c r="D6" s="27"/>
      <c r="E6" s="8">
        <v>0</v>
      </c>
      <c r="F6" s="8">
        <v>89.47</v>
      </c>
      <c r="G6" s="8">
        <f t="shared" si="0"/>
        <v>0</v>
      </c>
      <c r="H6" s="9">
        <v>18</v>
      </c>
      <c r="I6" s="9">
        <v>103.4</v>
      </c>
      <c r="J6" s="8">
        <f t="shared" si="1"/>
        <v>1861.2</v>
      </c>
      <c r="K6" s="8">
        <f t="shared" ref="K6:K16" si="3">G6+J6</f>
        <v>1861.2</v>
      </c>
      <c r="L6" s="193">
        <v>0</v>
      </c>
      <c r="M6" s="8">
        <f t="shared" si="2"/>
        <v>28821.41</v>
      </c>
      <c r="N6" s="65"/>
      <c r="O6" s="1"/>
    </row>
    <row r="7" spans="1:15">
      <c r="A7" s="67">
        <v>4</v>
      </c>
      <c r="B7" s="306">
        <v>45692</v>
      </c>
      <c r="C7" s="27"/>
      <c r="D7" s="20"/>
      <c r="E7" s="8">
        <v>72.709999999999994</v>
      </c>
      <c r="F7" s="8">
        <v>89.47</v>
      </c>
      <c r="G7" s="8">
        <f t="shared" si="0"/>
        <v>6505.363699999999</v>
      </c>
      <c r="H7" s="9">
        <v>6</v>
      </c>
      <c r="I7" s="9">
        <v>103.4</v>
      </c>
      <c r="J7" s="8">
        <f t="shared" si="1"/>
        <v>620.40000000000009</v>
      </c>
      <c r="K7" s="8">
        <f t="shared" si="3"/>
        <v>7125.7636999999995</v>
      </c>
      <c r="L7" s="193">
        <v>28821.41</v>
      </c>
      <c r="M7" s="8">
        <f t="shared" si="2"/>
        <v>7125.7636999999995</v>
      </c>
      <c r="N7" s="65" t="s">
        <v>172</v>
      </c>
      <c r="O7" s="1"/>
    </row>
    <row r="8" spans="1:15">
      <c r="A8" s="67">
        <v>5</v>
      </c>
      <c r="B8" s="306">
        <v>45693</v>
      </c>
      <c r="C8" s="27"/>
      <c r="D8" s="20"/>
      <c r="E8" s="8">
        <v>100</v>
      </c>
      <c r="F8" s="8">
        <v>89.47</v>
      </c>
      <c r="G8" s="8">
        <f t="shared" si="0"/>
        <v>8947</v>
      </c>
      <c r="H8" s="9">
        <v>0</v>
      </c>
      <c r="I8" s="9">
        <v>103.4</v>
      </c>
      <c r="J8" s="8">
        <f t="shared" si="1"/>
        <v>0</v>
      </c>
      <c r="K8" s="8">
        <f t="shared" si="3"/>
        <v>8947</v>
      </c>
      <c r="L8" s="193">
        <v>0</v>
      </c>
      <c r="M8" s="8">
        <f t="shared" si="2"/>
        <v>16072.7637</v>
      </c>
      <c r="N8" s="65"/>
      <c r="O8" s="1"/>
    </row>
    <row r="9" spans="1:15">
      <c r="A9" s="67">
        <v>6</v>
      </c>
      <c r="B9" s="306">
        <v>45694</v>
      </c>
      <c r="C9" s="27"/>
      <c r="D9" s="20"/>
      <c r="E9" s="8">
        <v>0</v>
      </c>
      <c r="F9" s="8">
        <v>89.47</v>
      </c>
      <c r="G9" s="8">
        <f t="shared" si="0"/>
        <v>0</v>
      </c>
      <c r="H9" s="9">
        <v>6</v>
      </c>
      <c r="I9" s="9">
        <v>103.4</v>
      </c>
      <c r="J9" s="8">
        <f t="shared" si="1"/>
        <v>620.40000000000009</v>
      </c>
      <c r="K9" s="8">
        <f t="shared" si="3"/>
        <v>620.40000000000009</v>
      </c>
      <c r="L9" s="193">
        <v>0</v>
      </c>
      <c r="M9" s="8">
        <f t="shared" si="2"/>
        <v>16693.163700000001</v>
      </c>
      <c r="N9" s="65"/>
      <c r="O9" s="1"/>
    </row>
    <row r="10" spans="1:15">
      <c r="A10" s="67">
        <v>7</v>
      </c>
      <c r="B10" s="306">
        <v>45695</v>
      </c>
      <c r="C10" s="27"/>
      <c r="D10" s="20"/>
      <c r="E10" s="8">
        <v>40.01</v>
      </c>
      <c r="F10" s="8">
        <v>89.47</v>
      </c>
      <c r="G10" s="8">
        <f t="shared" si="0"/>
        <v>3579.6946999999996</v>
      </c>
      <c r="H10" s="9">
        <v>0</v>
      </c>
      <c r="I10" s="9">
        <v>0</v>
      </c>
      <c r="J10" s="8">
        <f t="shared" si="1"/>
        <v>0</v>
      </c>
      <c r="K10" s="8">
        <f t="shared" si="3"/>
        <v>3579.6946999999996</v>
      </c>
      <c r="L10" s="193">
        <v>0</v>
      </c>
      <c r="M10" s="8">
        <f t="shared" si="2"/>
        <v>20272.858400000001</v>
      </c>
      <c r="N10" s="65"/>
      <c r="O10" s="1"/>
    </row>
    <row r="11" spans="1:15">
      <c r="A11" s="67">
        <v>8</v>
      </c>
      <c r="B11" s="306">
        <v>45696</v>
      </c>
      <c r="C11" s="27"/>
      <c r="D11" s="20"/>
      <c r="E11" s="8">
        <v>0</v>
      </c>
      <c r="F11" s="8">
        <v>89.47</v>
      </c>
      <c r="G11" s="8">
        <f t="shared" si="0"/>
        <v>0</v>
      </c>
      <c r="H11" s="9">
        <v>12</v>
      </c>
      <c r="I11" s="9">
        <v>103.4</v>
      </c>
      <c r="J11" s="8">
        <f t="shared" si="1"/>
        <v>1240.8000000000002</v>
      </c>
      <c r="K11" s="8">
        <f t="shared" si="3"/>
        <v>1240.8000000000002</v>
      </c>
      <c r="L11" s="193">
        <v>0</v>
      </c>
      <c r="M11" s="8">
        <f t="shared" si="2"/>
        <v>21513.6584</v>
      </c>
      <c r="N11" s="65"/>
      <c r="O11" s="1"/>
    </row>
    <row r="12" spans="1:15">
      <c r="A12" s="67">
        <v>9</v>
      </c>
      <c r="B12" s="306">
        <v>45697</v>
      </c>
      <c r="C12" s="27"/>
      <c r="D12" s="20"/>
      <c r="E12" s="8">
        <v>55.88</v>
      </c>
      <c r="F12" s="8">
        <v>89.47</v>
      </c>
      <c r="G12" s="8">
        <f t="shared" si="0"/>
        <v>4999.5835999999999</v>
      </c>
      <c r="H12" s="9">
        <v>0</v>
      </c>
      <c r="I12" s="9">
        <v>103.4</v>
      </c>
      <c r="J12" s="8">
        <f t="shared" si="1"/>
        <v>0</v>
      </c>
      <c r="K12" s="8">
        <f t="shared" si="3"/>
        <v>4999.5835999999999</v>
      </c>
      <c r="L12" s="193">
        <v>0</v>
      </c>
      <c r="M12" s="8">
        <f t="shared" si="2"/>
        <v>26513.241999999998</v>
      </c>
      <c r="N12" s="65"/>
      <c r="O12" s="1" t="s">
        <v>39</v>
      </c>
    </row>
    <row r="13" spans="1:15">
      <c r="A13" s="67">
        <v>10</v>
      </c>
      <c r="B13" s="306">
        <v>45698</v>
      </c>
      <c r="C13" s="27"/>
      <c r="D13" s="20"/>
      <c r="E13" s="8">
        <v>41.63</v>
      </c>
      <c r="F13" s="8">
        <v>89.47</v>
      </c>
      <c r="G13" s="8">
        <f t="shared" si="0"/>
        <v>3724.6361000000002</v>
      </c>
      <c r="H13" s="9">
        <v>0</v>
      </c>
      <c r="I13" s="9">
        <v>103.4</v>
      </c>
      <c r="J13" s="8">
        <f t="shared" si="1"/>
        <v>0</v>
      </c>
      <c r="K13" s="8">
        <f t="shared" si="3"/>
        <v>3724.6361000000002</v>
      </c>
      <c r="L13" s="193">
        <v>0</v>
      </c>
      <c r="M13" s="8">
        <f t="shared" si="2"/>
        <v>30237.878099999998</v>
      </c>
      <c r="N13" s="65"/>
      <c r="O13" s="1"/>
    </row>
    <row r="14" spans="1:15">
      <c r="A14" s="67">
        <v>11</v>
      </c>
      <c r="B14" s="306">
        <v>45699</v>
      </c>
      <c r="C14" s="27"/>
      <c r="D14" s="20"/>
      <c r="E14" s="8">
        <v>39.950000000000003</v>
      </c>
      <c r="F14" s="8">
        <v>89.47</v>
      </c>
      <c r="G14" s="8">
        <f t="shared" si="0"/>
        <v>3574.3265000000001</v>
      </c>
      <c r="H14" s="9">
        <v>6</v>
      </c>
      <c r="I14" s="9">
        <v>103.4</v>
      </c>
      <c r="J14" s="8">
        <f t="shared" si="1"/>
        <v>620.40000000000009</v>
      </c>
      <c r="K14" s="8">
        <f t="shared" si="3"/>
        <v>4194.7265000000007</v>
      </c>
      <c r="L14" s="193">
        <v>0</v>
      </c>
      <c r="M14" s="8">
        <f t="shared" si="2"/>
        <v>34432.604599999999</v>
      </c>
      <c r="N14" s="65"/>
      <c r="O14" s="1"/>
    </row>
    <row r="15" spans="1:15">
      <c r="A15" s="67">
        <v>12</v>
      </c>
      <c r="B15" s="306">
        <v>45700</v>
      </c>
      <c r="C15" s="27"/>
      <c r="D15" s="20"/>
      <c r="E15" s="8">
        <v>35</v>
      </c>
      <c r="F15" s="8">
        <v>89.47</v>
      </c>
      <c r="G15" s="8">
        <f t="shared" si="0"/>
        <v>3131.45</v>
      </c>
      <c r="H15" s="9">
        <v>0</v>
      </c>
      <c r="I15" s="9">
        <v>103.4</v>
      </c>
      <c r="J15" s="8">
        <f t="shared" si="1"/>
        <v>0</v>
      </c>
      <c r="K15" s="8">
        <f t="shared" si="3"/>
        <v>3131.45</v>
      </c>
      <c r="L15" s="193">
        <v>25238.29</v>
      </c>
      <c r="M15" s="8">
        <f t="shared" si="2"/>
        <v>12325.764599999995</v>
      </c>
      <c r="N15" s="65" t="s">
        <v>172</v>
      </c>
      <c r="O15" s="1"/>
    </row>
    <row r="16" spans="1:15">
      <c r="A16" s="67">
        <v>13</v>
      </c>
      <c r="B16" s="306">
        <v>45701</v>
      </c>
      <c r="C16" s="27"/>
      <c r="D16" s="20"/>
      <c r="E16" s="8">
        <v>25</v>
      </c>
      <c r="F16" s="8">
        <v>89.47</v>
      </c>
      <c r="G16" s="8">
        <f t="shared" si="0"/>
        <v>2236.75</v>
      </c>
      <c r="H16" s="9">
        <v>0</v>
      </c>
      <c r="I16" s="9">
        <v>103.4</v>
      </c>
      <c r="J16" s="8">
        <f t="shared" si="1"/>
        <v>0</v>
      </c>
      <c r="K16" s="8">
        <f t="shared" si="3"/>
        <v>2236.75</v>
      </c>
      <c r="L16" s="193">
        <v>0</v>
      </c>
      <c r="M16" s="8">
        <f t="shared" si="2"/>
        <v>14562.514599999995</v>
      </c>
      <c r="N16" s="65"/>
      <c r="O16" s="1"/>
    </row>
    <row r="17" spans="1:15">
      <c r="A17" s="67">
        <v>14</v>
      </c>
      <c r="B17" s="306">
        <v>45702</v>
      </c>
      <c r="C17" s="27"/>
      <c r="D17" s="20"/>
      <c r="E17" s="8">
        <v>0</v>
      </c>
      <c r="F17" s="8">
        <v>89.47</v>
      </c>
      <c r="G17" s="8">
        <f t="shared" si="0"/>
        <v>0</v>
      </c>
      <c r="H17" s="9">
        <v>6</v>
      </c>
      <c r="I17" s="9">
        <v>103.4</v>
      </c>
      <c r="J17" s="8">
        <f>H17*I17</f>
        <v>620.40000000000009</v>
      </c>
      <c r="K17" s="8">
        <f>G17+J17</f>
        <v>620.40000000000009</v>
      </c>
      <c r="L17" s="193">
        <v>620.4</v>
      </c>
      <c r="M17" s="8">
        <f t="shared" si="2"/>
        <v>14562.514599999995</v>
      </c>
      <c r="N17" s="65"/>
      <c r="O17" s="1"/>
    </row>
    <row r="18" spans="1:15">
      <c r="A18" s="67">
        <v>15</v>
      </c>
      <c r="B18" s="306">
        <v>45703</v>
      </c>
      <c r="C18" s="27"/>
      <c r="D18" s="20"/>
      <c r="E18" s="8">
        <v>50</v>
      </c>
      <c r="F18" s="8">
        <v>89.47</v>
      </c>
      <c r="G18" s="8">
        <f t="shared" si="0"/>
        <v>4473.5</v>
      </c>
      <c r="H18" s="9">
        <v>12</v>
      </c>
      <c r="I18" s="9">
        <v>103.4</v>
      </c>
      <c r="J18" s="8">
        <f t="shared" si="1"/>
        <v>1240.8000000000002</v>
      </c>
      <c r="K18" s="8">
        <f>G18+J18</f>
        <v>5714.3</v>
      </c>
      <c r="L18" s="193">
        <v>14656.83</v>
      </c>
      <c r="M18" s="8">
        <f t="shared" si="2"/>
        <v>5619.9845999999943</v>
      </c>
      <c r="N18" s="65"/>
      <c r="O18" s="1"/>
    </row>
    <row r="19" spans="1:15">
      <c r="A19" s="67">
        <v>16</v>
      </c>
      <c r="B19" s="306">
        <v>45704</v>
      </c>
      <c r="C19" s="27"/>
      <c r="D19" s="20"/>
      <c r="E19" s="8">
        <v>45</v>
      </c>
      <c r="F19" s="8">
        <v>89.47</v>
      </c>
      <c r="G19" s="8">
        <f t="shared" si="0"/>
        <v>4026.15</v>
      </c>
      <c r="H19" s="9">
        <v>0</v>
      </c>
      <c r="I19" s="9">
        <v>0</v>
      </c>
      <c r="J19" s="8">
        <f t="shared" si="1"/>
        <v>0</v>
      </c>
      <c r="K19" s="8">
        <f>G19+J19</f>
        <v>4026.15</v>
      </c>
      <c r="L19" s="193">
        <v>0</v>
      </c>
      <c r="M19" s="8">
        <f t="shared" si="2"/>
        <v>9646.134599999994</v>
      </c>
      <c r="N19" s="65"/>
      <c r="O19" s="1"/>
    </row>
    <row r="20" spans="1:15">
      <c r="A20" s="67">
        <v>17</v>
      </c>
      <c r="B20" s="306">
        <v>45705</v>
      </c>
      <c r="C20" s="27"/>
      <c r="D20" s="20"/>
      <c r="E20" s="8">
        <v>0</v>
      </c>
      <c r="F20" s="8">
        <v>89.47</v>
      </c>
      <c r="G20" s="8">
        <f t="shared" si="0"/>
        <v>0</v>
      </c>
      <c r="H20" s="9">
        <v>6</v>
      </c>
      <c r="I20" s="9">
        <v>103.4</v>
      </c>
      <c r="J20" s="8">
        <f t="shared" si="1"/>
        <v>620.40000000000009</v>
      </c>
      <c r="K20" s="8">
        <f>G20+J20</f>
        <v>620.40000000000009</v>
      </c>
      <c r="L20" s="193">
        <v>10266.950000000001</v>
      </c>
      <c r="M20" s="8">
        <f t="shared" si="2"/>
        <v>-0.41540000000713917</v>
      </c>
      <c r="N20" s="65"/>
      <c r="O20" s="1"/>
    </row>
    <row r="21" spans="1:15">
      <c r="A21" s="67">
        <v>18</v>
      </c>
      <c r="B21" s="306">
        <v>45706</v>
      </c>
      <c r="C21" s="27"/>
      <c r="D21" s="20"/>
      <c r="E21" s="8">
        <v>200</v>
      </c>
      <c r="F21" s="8">
        <v>89.47</v>
      </c>
      <c r="G21" s="8">
        <f t="shared" si="0"/>
        <v>17894</v>
      </c>
      <c r="H21" s="9">
        <v>0</v>
      </c>
      <c r="I21" s="9">
        <v>0</v>
      </c>
      <c r="J21" s="8">
        <f t="shared" si="1"/>
        <v>0</v>
      </c>
      <c r="K21" s="8">
        <f>G21+J21</f>
        <v>17894</v>
      </c>
      <c r="L21" s="193">
        <v>0</v>
      </c>
      <c r="M21" s="8">
        <f t="shared" si="2"/>
        <v>17893.584599999995</v>
      </c>
      <c r="N21" s="65"/>
      <c r="O21" s="1"/>
    </row>
    <row r="22" spans="1:15">
      <c r="A22" s="67">
        <v>19</v>
      </c>
      <c r="B22" s="306">
        <v>45707</v>
      </c>
      <c r="C22" s="27"/>
      <c r="D22" s="20"/>
      <c r="E22" s="8">
        <v>0</v>
      </c>
      <c r="F22" s="8">
        <v>89.47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ref="K22:K31" si="4">G22+J22</f>
        <v>0</v>
      </c>
      <c r="L22" s="193">
        <v>0</v>
      </c>
      <c r="M22" s="8">
        <f t="shared" si="2"/>
        <v>17893.584599999995</v>
      </c>
      <c r="N22" s="65"/>
      <c r="O22" s="1"/>
    </row>
    <row r="23" spans="1:15">
      <c r="A23" s="67">
        <v>20</v>
      </c>
      <c r="B23" s="306">
        <v>45708</v>
      </c>
      <c r="C23" s="27"/>
      <c r="D23" s="20"/>
      <c r="E23" s="8">
        <v>87.01</v>
      </c>
      <c r="F23" s="8">
        <v>89.47</v>
      </c>
      <c r="G23" s="8">
        <f t="shared" si="0"/>
        <v>7784.7847000000002</v>
      </c>
      <c r="H23" s="9">
        <v>0</v>
      </c>
      <c r="I23" s="9">
        <v>0</v>
      </c>
      <c r="J23" s="8">
        <f t="shared" si="1"/>
        <v>0</v>
      </c>
      <c r="K23" s="8">
        <f t="shared" si="4"/>
        <v>7784.7847000000002</v>
      </c>
      <c r="L23" s="193">
        <v>0</v>
      </c>
      <c r="M23" s="8">
        <f t="shared" si="2"/>
        <v>25678.369299999995</v>
      </c>
      <c r="N23" s="65"/>
      <c r="O23" s="1"/>
    </row>
    <row r="24" spans="1:15">
      <c r="A24" s="67">
        <v>21</v>
      </c>
      <c r="B24" s="306">
        <v>45709</v>
      </c>
      <c r="C24" s="27"/>
      <c r="D24" s="20"/>
      <c r="E24" s="8">
        <v>280</v>
      </c>
      <c r="F24" s="8">
        <v>89.47</v>
      </c>
      <c r="G24" s="8">
        <f t="shared" si="0"/>
        <v>25051.599999999999</v>
      </c>
      <c r="H24" s="9">
        <v>12</v>
      </c>
      <c r="I24" s="9">
        <v>103.4</v>
      </c>
      <c r="J24" s="8">
        <f t="shared" si="1"/>
        <v>1240.8000000000002</v>
      </c>
      <c r="K24" s="8">
        <f t="shared" si="4"/>
        <v>26292.399999999998</v>
      </c>
      <c r="L24" s="193">
        <v>0</v>
      </c>
      <c r="M24" s="8">
        <f t="shared" si="2"/>
        <v>51970.769299999993</v>
      </c>
      <c r="N24" s="65"/>
      <c r="O24" s="1"/>
    </row>
    <row r="25" spans="1:15">
      <c r="A25" s="67">
        <v>22</v>
      </c>
      <c r="B25" s="306">
        <v>45710</v>
      </c>
      <c r="C25" s="27"/>
      <c r="D25" s="20"/>
      <c r="E25" s="8">
        <v>33</v>
      </c>
      <c r="F25" s="8">
        <v>89.47</v>
      </c>
      <c r="G25" s="8">
        <f t="shared" si="0"/>
        <v>2952.5099999999998</v>
      </c>
      <c r="H25" s="9">
        <v>0</v>
      </c>
      <c r="I25" s="9">
        <v>0</v>
      </c>
      <c r="J25" s="8">
        <f t="shared" si="1"/>
        <v>0</v>
      </c>
      <c r="K25" s="8">
        <f t="shared" si="4"/>
        <v>2952.5099999999998</v>
      </c>
      <c r="L25" s="193">
        <v>0</v>
      </c>
      <c r="M25" s="8">
        <f t="shared" si="2"/>
        <v>54923.279299999995</v>
      </c>
      <c r="N25" s="65"/>
      <c r="O25" s="1"/>
    </row>
    <row r="26" spans="1:15">
      <c r="A26" s="67">
        <v>23</v>
      </c>
      <c r="B26" s="306">
        <v>45711</v>
      </c>
      <c r="C26" s="27"/>
      <c r="D26" s="20"/>
      <c r="E26" s="8">
        <v>0</v>
      </c>
      <c r="F26" s="8">
        <v>0</v>
      </c>
      <c r="G26" s="8">
        <f t="shared" si="0"/>
        <v>0</v>
      </c>
      <c r="H26" s="9">
        <v>0</v>
      </c>
      <c r="I26" s="9">
        <v>103.4</v>
      </c>
      <c r="J26" s="8">
        <f t="shared" si="1"/>
        <v>0</v>
      </c>
      <c r="K26" s="8">
        <f t="shared" si="4"/>
        <v>0</v>
      </c>
      <c r="L26" s="193">
        <v>0</v>
      </c>
      <c r="M26" s="8">
        <f t="shared" si="2"/>
        <v>54923.279299999995</v>
      </c>
      <c r="N26" s="65"/>
      <c r="O26" s="1"/>
    </row>
    <row r="27" spans="1:15">
      <c r="A27" s="67">
        <v>24</v>
      </c>
      <c r="B27" s="306">
        <v>45712</v>
      </c>
      <c r="C27" s="27"/>
      <c r="D27" s="20"/>
      <c r="E27" s="8">
        <v>0</v>
      </c>
      <c r="F27" s="8">
        <v>0</v>
      </c>
      <c r="G27" s="8">
        <f t="shared" si="0"/>
        <v>0</v>
      </c>
      <c r="H27" s="9">
        <v>12</v>
      </c>
      <c r="I27" s="9">
        <v>103.4</v>
      </c>
      <c r="J27" s="8">
        <f t="shared" ref="J27" si="5">H27*I27</f>
        <v>1240.8000000000002</v>
      </c>
      <c r="K27" s="8">
        <f t="shared" si="4"/>
        <v>1240.8000000000002</v>
      </c>
      <c r="L27" s="193">
        <v>0</v>
      </c>
      <c r="M27" s="8">
        <f t="shared" si="2"/>
        <v>56164.079299999998</v>
      </c>
      <c r="N27" s="65"/>
      <c r="O27" s="1"/>
    </row>
    <row r="28" spans="1:15">
      <c r="A28" s="67">
        <v>25</v>
      </c>
      <c r="B28" s="306">
        <v>45713</v>
      </c>
      <c r="C28" s="27"/>
      <c r="D28" s="20"/>
      <c r="E28" s="8">
        <v>240</v>
      </c>
      <c r="F28" s="8">
        <v>89.47</v>
      </c>
      <c r="G28" s="8">
        <f t="shared" si="0"/>
        <v>21472.799999999999</v>
      </c>
      <c r="H28" s="9">
        <v>0</v>
      </c>
      <c r="I28" s="9">
        <v>0</v>
      </c>
      <c r="J28" s="8">
        <f t="shared" si="1"/>
        <v>0</v>
      </c>
      <c r="K28" s="8">
        <f t="shared" si="4"/>
        <v>21472.799999999999</v>
      </c>
      <c r="L28" s="193">
        <v>56164.49</v>
      </c>
      <c r="M28" s="8">
        <f>M27+K28-L28</f>
        <v>21472.389300000003</v>
      </c>
      <c r="N28" s="65"/>
      <c r="O28" s="1"/>
    </row>
    <row r="29" spans="1:15">
      <c r="A29" s="67">
        <v>26</v>
      </c>
      <c r="B29" s="306">
        <v>45714</v>
      </c>
      <c r="C29" s="27"/>
      <c r="D29" s="20"/>
      <c r="E29" s="8">
        <v>41.87</v>
      </c>
      <c r="F29" s="8">
        <v>89.47</v>
      </c>
      <c r="G29" s="8">
        <f t="shared" si="0"/>
        <v>3746.1088999999997</v>
      </c>
      <c r="H29" s="9">
        <v>0</v>
      </c>
      <c r="I29" s="9">
        <v>0</v>
      </c>
      <c r="J29" s="8">
        <f t="shared" si="1"/>
        <v>0</v>
      </c>
      <c r="K29" s="8">
        <f t="shared" si="4"/>
        <v>3746.1088999999997</v>
      </c>
      <c r="L29" s="193">
        <v>0</v>
      </c>
      <c r="M29" s="8">
        <f>M28+K29-L29</f>
        <v>25218.498200000002</v>
      </c>
      <c r="N29" s="65"/>
      <c r="O29" s="1"/>
    </row>
    <row r="30" spans="1:15">
      <c r="A30" s="67">
        <v>27</v>
      </c>
      <c r="B30" s="306">
        <v>45715</v>
      </c>
      <c r="C30" s="27"/>
      <c r="D30" s="20"/>
      <c r="E30" s="8">
        <v>0</v>
      </c>
      <c r="F30" s="8">
        <v>0</v>
      </c>
      <c r="G30" s="8">
        <f t="shared" si="0"/>
        <v>0</v>
      </c>
      <c r="H30" s="9">
        <v>12</v>
      </c>
      <c r="I30" s="9">
        <v>103.4</v>
      </c>
      <c r="J30" s="8">
        <f t="shared" si="1"/>
        <v>1240.8000000000002</v>
      </c>
      <c r="K30" s="8">
        <f t="shared" si="4"/>
        <v>1240.8000000000002</v>
      </c>
      <c r="L30" s="193">
        <v>26459.71</v>
      </c>
      <c r="M30" s="8">
        <f>M29+K30-L30</f>
        <v>-0.4117999999980384</v>
      </c>
      <c r="N30" s="65"/>
      <c r="O30" s="1"/>
    </row>
    <row r="31" spans="1:15">
      <c r="A31" s="67">
        <v>28</v>
      </c>
      <c r="B31" s="306">
        <v>45716</v>
      </c>
      <c r="C31" s="27"/>
      <c r="D31" s="20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/>
      <c r="K31" s="8">
        <f t="shared" si="4"/>
        <v>0</v>
      </c>
      <c r="L31" s="193">
        <v>0</v>
      </c>
      <c r="M31" s="8">
        <f>M30+K31-L31</f>
        <v>-0.4117999999980384</v>
      </c>
      <c r="N31" s="65"/>
      <c r="O31" s="1"/>
    </row>
    <row r="32" spans="1:15">
      <c r="A32" s="87"/>
      <c r="B32" s="87"/>
      <c r="C32" s="87"/>
      <c r="D32" s="87"/>
      <c r="E32" s="88">
        <f>SUM(E4:E31)</f>
        <v>1532.06</v>
      </c>
      <c r="F32" s="88"/>
      <c r="G32" s="88">
        <f>SUM(G4:G31)</f>
        <v>137073.40820000001</v>
      </c>
      <c r="H32" s="88">
        <f>SUM(H4:H31)</f>
        <v>110</v>
      </c>
      <c r="I32" s="88"/>
      <c r="J32" s="88">
        <f>SUM(J4:J31)</f>
        <v>11374</v>
      </c>
      <c r="K32" s="88">
        <f>SUM(K4:K31)</f>
        <v>148447.40819999998</v>
      </c>
      <c r="L32" s="88">
        <f>SUM(L4:L31)</f>
        <v>162228.07999999999</v>
      </c>
      <c r="M32" s="88"/>
      <c r="N32" s="88"/>
      <c r="O32" s="84"/>
    </row>
    <row r="33" spans="1:15">
      <c r="A33" s="2"/>
      <c r="B33" s="2"/>
      <c r="C33" s="2"/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1"/>
    </row>
    <row r="34" spans="1:15">
      <c r="A34" s="1"/>
      <c r="B34" s="1"/>
      <c r="C34" s="1"/>
      <c r="D34" s="1"/>
      <c r="E34" s="1"/>
      <c r="F34" s="1"/>
      <c r="G34" s="3"/>
      <c r="H34" s="1"/>
      <c r="I34" s="1"/>
      <c r="J34" s="1"/>
      <c r="K34" s="1"/>
      <c r="L34" s="8"/>
      <c r="M34" s="1"/>
      <c r="N34" s="1"/>
      <c r="O34" s="4"/>
    </row>
    <row r="35" spans="1:15">
      <c r="A35" s="1"/>
      <c r="B35" s="419"/>
      <c r="C35" s="419"/>
      <c r="D35" s="419"/>
      <c r="E35" s="419"/>
      <c r="F35" s="1"/>
      <c r="G35" s="1"/>
      <c r="H35" s="1"/>
      <c r="I35" s="445">
        <f>K24+L24</f>
        <v>26292.399999999998</v>
      </c>
      <c r="J35" s="419"/>
      <c r="K35" s="419"/>
      <c r="L35" s="419"/>
      <c r="M35" s="419"/>
      <c r="N35" s="419"/>
      <c r="O35" s="4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"/>
    </row>
    <row r="37" spans="1: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</sheetData>
  <mergeCells count="3">
    <mergeCell ref="B35:E35"/>
    <mergeCell ref="I35:N35"/>
    <mergeCell ref="A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041A-D552-4E9C-82CE-6FE0FE7DB884}">
  <sheetPr filterMode="1">
    <tabColor theme="5" tint="0.79998168889431442"/>
  </sheetPr>
  <dimension ref="A1:P182"/>
  <sheetViews>
    <sheetView workbookViewId="0">
      <pane ySplit="2" topLeftCell="A39" activePane="bottomLeft" state="frozen"/>
      <selection pane="bottomLeft" activeCell="A50" sqref="A50:XFD54"/>
    </sheetView>
  </sheetViews>
  <sheetFormatPr defaultRowHeight="15"/>
  <cols>
    <col min="1" max="1" width="5.140625" bestFit="1" customWidth="1"/>
    <col min="2" max="2" width="9.5703125" style="229" customWidth="1"/>
    <col min="3" max="3" width="31.5703125" customWidth="1"/>
    <col min="4" max="4" width="29" bestFit="1" customWidth="1"/>
    <col min="5" max="5" width="18.85546875" bestFit="1" customWidth="1"/>
    <col min="6" max="6" width="10.7109375" bestFit="1" customWidth="1"/>
    <col min="7" max="7" width="7.5703125" customWidth="1"/>
    <col min="8" max="8" width="11.85546875" customWidth="1"/>
    <col min="9" max="9" width="10.7109375" bestFit="1" customWidth="1"/>
    <col min="10" max="10" width="7.140625" bestFit="1" customWidth="1"/>
    <col min="11" max="11" width="13" customWidth="1"/>
    <col min="12" max="12" width="13.7109375" bestFit="1" customWidth="1"/>
    <col min="13" max="13" width="16.28515625" customWidth="1"/>
    <col min="14" max="14" width="13.5703125" bestFit="1" customWidth="1"/>
    <col min="15" max="16" width="15.140625" bestFit="1" customWidth="1"/>
    <col min="20" max="20" width="10.85546875" bestFit="1" customWidth="1"/>
    <col min="16384" max="16384" width="9.140625" bestFit="1" customWidth="1"/>
  </cols>
  <sheetData>
    <row r="1" spans="1:16" ht="15.75" customHeight="1">
      <c r="A1" s="429" t="s">
        <v>188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</row>
    <row r="2" spans="1:16">
      <c r="A2" s="89" t="s">
        <v>1</v>
      </c>
      <c r="B2" s="228" t="s">
        <v>2</v>
      </c>
      <c r="C2" s="113" t="s">
        <v>189</v>
      </c>
      <c r="D2" s="113" t="s">
        <v>190</v>
      </c>
      <c r="E2" s="113" t="s">
        <v>191</v>
      </c>
      <c r="F2" s="113" t="s">
        <v>5</v>
      </c>
      <c r="G2" s="113" t="s">
        <v>6</v>
      </c>
      <c r="H2" s="121" t="s">
        <v>7</v>
      </c>
      <c r="I2" s="113" t="s">
        <v>8</v>
      </c>
      <c r="J2" s="113" t="s">
        <v>6</v>
      </c>
      <c r="K2" s="121" t="s">
        <v>7</v>
      </c>
      <c r="L2" s="89" t="s">
        <v>9</v>
      </c>
      <c r="M2" s="234" t="s">
        <v>192</v>
      </c>
      <c r="N2" s="115" t="s">
        <v>11</v>
      </c>
      <c r="O2" s="161" t="s">
        <v>12</v>
      </c>
      <c r="P2" s="161" t="s">
        <v>193</v>
      </c>
    </row>
    <row r="3" spans="1:16" hidden="1">
      <c r="A3" s="472" t="s">
        <v>13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232">
        <v>76670.017000000036</v>
      </c>
      <c r="M3" s="218"/>
      <c r="N3" s="233"/>
      <c r="O3" s="126"/>
      <c r="P3" s="126"/>
    </row>
    <row r="4" spans="1:16" hidden="1">
      <c r="A4" s="6">
        <v>1</v>
      </c>
      <c r="B4" s="349">
        <v>45689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350">
        <v>76670.02</v>
      </c>
      <c r="O4" s="6" t="s">
        <v>194</v>
      </c>
      <c r="P4" s="348">
        <v>1120.48</v>
      </c>
    </row>
    <row r="5" spans="1:16" hidden="1">
      <c r="A5" s="6">
        <v>2</v>
      </c>
      <c r="B5" s="349">
        <v>45689</v>
      </c>
      <c r="C5" s="65" t="s">
        <v>195</v>
      </c>
      <c r="D5" s="65" t="s">
        <v>196</v>
      </c>
      <c r="E5" s="351" t="s">
        <v>197</v>
      </c>
      <c r="F5" s="6">
        <v>100</v>
      </c>
      <c r="G5" s="6">
        <v>89.9</v>
      </c>
      <c r="H5" s="91">
        <f>F5*G5</f>
        <v>8990</v>
      </c>
      <c r="I5" s="6"/>
      <c r="J5" s="6"/>
      <c r="K5" s="91">
        <f>I5*J5</f>
        <v>0</v>
      </c>
      <c r="L5" s="91">
        <f>H5+K5</f>
        <v>8990</v>
      </c>
      <c r="M5" s="6"/>
      <c r="N5" s="350">
        <f>N4+M5-L5</f>
        <v>67680.02</v>
      </c>
      <c r="O5" s="6"/>
      <c r="P5" s="6"/>
    </row>
    <row r="6" spans="1:16" hidden="1">
      <c r="A6" s="6">
        <v>3</v>
      </c>
      <c r="B6" s="349">
        <v>45689</v>
      </c>
      <c r="C6" s="65" t="s">
        <v>198</v>
      </c>
      <c r="D6" s="65" t="s">
        <v>133</v>
      </c>
      <c r="E6" s="351" t="s">
        <v>199</v>
      </c>
      <c r="F6" s="6"/>
      <c r="G6" s="6"/>
      <c r="H6" s="91">
        <f t="shared" ref="H6:H31" si="0">F6*G6</f>
        <v>0</v>
      </c>
      <c r="I6" s="6">
        <v>4.84</v>
      </c>
      <c r="J6" s="6">
        <v>103.39</v>
      </c>
      <c r="K6" s="91">
        <f>I6*J6</f>
        <v>500.4076</v>
      </c>
      <c r="L6" s="91">
        <f>H6+K6</f>
        <v>500.4076</v>
      </c>
      <c r="M6" s="6"/>
      <c r="N6" s="350">
        <f>N5+M6-L6</f>
        <v>67179.612399999998</v>
      </c>
      <c r="O6" s="6"/>
      <c r="P6" s="6"/>
    </row>
    <row r="7" spans="1:16" hidden="1">
      <c r="A7" s="6">
        <v>4</v>
      </c>
      <c r="B7" s="349">
        <v>45689</v>
      </c>
      <c r="C7" s="65" t="s">
        <v>200</v>
      </c>
      <c r="D7" s="65" t="s">
        <v>127</v>
      </c>
      <c r="E7" s="351" t="s">
        <v>201</v>
      </c>
      <c r="F7" s="6"/>
      <c r="G7" s="6"/>
      <c r="H7" s="91">
        <f t="shared" si="0"/>
        <v>0</v>
      </c>
      <c r="I7" s="6">
        <v>4.83</v>
      </c>
      <c r="J7" s="6">
        <v>103.44</v>
      </c>
      <c r="K7" s="91">
        <f>I7*J7</f>
        <v>499.61520000000002</v>
      </c>
      <c r="L7" s="91">
        <f>H7+K7</f>
        <v>499.61520000000002</v>
      </c>
      <c r="M7" s="6"/>
      <c r="N7" s="350">
        <f>N6+M7-L7</f>
        <v>66679.997199999998</v>
      </c>
      <c r="O7" s="6"/>
      <c r="P7" s="6"/>
    </row>
    <row r="8" spans="1:16" hidden="1">
      <c r="A8" s="6">
        <v>5</v>
      </c>
      <c r="B8" s="349">
        <v>45690</v>
      </c>
      <c r="C8" s="65" t="s">
        <v>195</v>
      </c>
      <c r="D8" s="65" t="s">
        <v>196</v>
      </c>
      <c r="E8" s="351" t="s">
        <v>197</v>
      </c>
      <c r="F8" s="6"/>
      <c r="G8" s="6"/>
      <c r="H8" s="91">
        <f t="shared" si="0"/>
        <v>0</v>
      </c>
      <c r="I8" s="6">
        <v>12.7</v>
      </c>
      <c r="J8" s="6">
        <v>103.96</v>
      </c>
      <c r="K8" s="91">
        <f>I8*J8</f>
        <v>1320.2919999999999</v>
      </c>
      <c r="L8" s="91">
        <f>H8+K8</f>
        <v>1320.2919999999999</v>
      </c>
      <c r="M8" s="6"/>
      <c r="N8" s="350">
        <f>N7+M8-L8</f>
        <v>65359.705199999997</v>
      </c>
      <c r="O8" s="6"/>
      <c r="P8" s="6"/>
    </row>
    <row r="9" spans="1:16" hidden="1">
      <c r="A9" s="6">
        <v>6</v>
      </c>
      <c r="B9" s="349">
        <v>45690</v>
      </c>
      <c r="C9" s="65" t="s">
        <v>200</v>
      </c>
      <c r="D9" s="65" t="s">
        <v>127</v>
      </c>
      <c r="E9" s="351" t="s">
        <v>201</v>
      </c>
      <c r="F9" s="6">
        <v>63.51</v>
      </c>
      <c r="G9" s="6">
        <v>89.49</v>
      </c>
      <c r="H9" s="91">
        <f t="shared" si="0"/>
        <v>5683.5098999999991</v>
      </c>
      <c r="I9" s="6"/>
      <c r="J9" s="6"/>
      <c r="K9" s="91">
        <f t="shared" ref="K9:K29" si="1">I9*J9</f>
        <v>0</v>
      </c>
      <c r="L9" s="91">
        <f>H9+K9</f>
        <v>5683.5098999999991</v>
      </c>
      <c r="M9" s="6"/>
      <c r="N9" s="350">
        <f>N8+M9-L9</f>
        <v>59676.195299999999</v>
      </c>
      <c r="O9" s="6"/>
      <c r="P9" s="6"/>
    </row>
    <row r="10" spans="1:16" hidden="1">
      <c r="A10" s="6">
        <v>7</v>
      </c>
      <c r="B10" s="349">
        <v>45691</v>
      </c>
      <c r="C10" s="65" t="s">
        <v>198</v>
      </c>
      <c r="D10" s="65" t="s">
        <v>133</v>
      </c>
      <c r="E10" s="351" t="s">
        <v>199</v>
      </c>
      <c r="F10" s="6"/>
      <c r="G10" s="6"/>
      <c r="H10" s="91">
        <f t="shared" si="0"/>
        <v>0</v>
      </c>
      <c r="I10" s="6">
        <v>4.84</v>
      </c>
      <c r="J10" s="6">
        <v>103.39</v>
      </c>
      <c r="K10" s="91">
        <f t="shared" si="1"/>
        <v>500.4076</v>
      </c>
      <c r="L10" s="91">
        <f>H10+K10</f>
        <v>500.4076</v>
      </c>
      <c r="M10" s="6"/>
      <c r="N10" s="350">
        <f>N9+M10-L10</f>
        <v>59175.787700000001</v>
      </c>
      <c r="O10" s="6"/>
      <c r="P10" s="6"/>
    </row>
    <row r="11" spans="1:16" hidden="1">
      <c r="A11" s="6">
        <v>8</v>
      </c>
      <c r="B11" s="349">
        <v>45691</v>
      </c>
      <c r="C11" s="65" t="s">
        <v>200</v>
      </c>
      <c r="D11" s="65" t="s">
        <v>127</v>
      </c>
      <c r="E11" s="351" t="s">
        <v>201</v>
      </c>
      <c r="F11" s="6">
        <v>48.76</v>
      </c>
      <c r="G11" s="6">
        <v>89.49</v>
      </c>
      <c r="H11" s="91">
        <f t="shared" si="0"/>
        <v>4363.5323999999991</v>
      </c>
      <c r="I11" s="6"/>
      <c r="J11" s="6"/>
      <c r="K11" s="91">
        <f t="shared" si="1"/>
        <v>0</v>
      </c>
      <c r="L11" s="91">
        <f>H11+K11</f>
        <v>4363.5323999999991</v>
      </c>
      <c r="M11" s="6"/>
      <c r="N11" s="350">
        <f>N10+M11-L11</f>
        <v>54812.255300000004</v>
      </c>
      <c r="O11" s="6"/>
      <c r="P11" s="6"/>
    </row>
    <row r="12" spans="1:16" hidden="1">
      <c r="A12" s="6">
        <v>9</v>
      </c>
      <c r="B12" s="349">
        <v>45692</v>
      </c>
      <c r="C12" s="65" t="s">
        <v>202</v>
      </c>
      <c r="D12" s="65" t="s">
        <v>203</v>
      </c>
      <c r="E12" s="351" t="s">
        <v>204</v>
      </c>
      <c r="F12" s="6">
        <v>272.44</v>
      </c>
      <c r="G12" s="6">
        <v>89.47</v>
      </c>
      <c r="H12" s="91">
        <f t="shared" si="0"/>
        <v>24375.2068</v>
      </c>
      <c r="I12" s="6">
        <v>43</v>
      </c>
      <c r="J12" s="6">
        <v>103.4</v>
      </c>
      <c r="K12" s="91">
        <f t="shared" si="1"/>
        <v>4446.2</v>
      </c>
      <c r="L12" s="91">
        <f>H12+K12</f>
        <v>28821.406800000001</v>
      </c>
      <c r="M12" s="6">
        <v>300000</v>
      </c>
      <c r="N12" s="350">
        <f>N11+M12-L12</f>
        <v>325990.84850000002</v>
      </c>
      <c r="O12" s="6"/>
      <c r="P12" s="6"/>
    </row>
    <row r="13" spans="1:16" hidden="1">
      <c r="A13" s="6">
        <v>10</v>
      </c>
      <c r="B13" s="349">
        <v>45692</v>
      </c>
      <c r="C13" s="65" t="s">
        <v>205</v>
      </c>
      <c r="D13" s="65" t="s">
        <v>206</v>
      </c>
      <c r="E13" s="351" t="s">
        <v>207</v>
      </c>
      <c r="F13" s="6">
        <v>221.66</v>
      </c>
      <c r="G13" s="6">
        <v>90.23</v>
      </c>
      <c r="H13" s="91">
        <f t="shared" si="0"/>
        <v>20000.381799999999</v>
      </c>
      <c r="I13" s="6"/>
      <c r="J13" s="6"/>
      <c r="K13" s="91">
        <f t="shared" si="1"/>
        <v>0</v>
      </c>
      <c r="L13" s="91">
        <f>H13+K13</f>
        <v>20000.381799999999</v>
      </c>
      <c r="M13" s="6"/>
      <c r="N13" s="350">
        <f>N12+M13-L13</f>
        <v>305990.46670000005</v>
      </c>
      <c r="O13" s="6"/>
      <c r="P13" s="6"/>
    </row>
    <row r="14" spans="1:16" hidden="1">
      <c r="A14" s="6">
        <v>11</v>
      </c>
      <c r="B14" s="349">
        <v>45692</v>
      </c>
      <c r="C14" s="65" t="s">
        <v>208</v>
      </c>
      <c r="D14" s="65" t="s">
        <v>209</v>
      </c>
      <c r="E14" s="351" t="s">
        <v>210</v>
      </c>
      <c r="F14" s="6">
        <v>556.91999999999996</v>
      </c>
      <c r="G14" s="6">
        <v>89.78</v>
      </c>
      <c r="H14" s="91">
        <f t="shared" si="0"/>
        <v>50000.277599999994</v>
      </c>
      <c r="I14" s="6">
        <v>480.77</v>
      </c>
      <c r="J14" s="6">
        <v>104</v>
      </c>
      <c r="K14" s="91">
        <f t="shared" si="1"/>
        <v>50000.08</v>
      </c>
      <c r="L14" s="91">
        <f>H14+K14</f>
        <v>100000.35759999999</v>
      </c>
      <c r="M14" s="6"/>
      <c r="N14" s="350">
        <f>N13+M14-L14</f>
        <v>205990.10910000006</v>
      </c>
      <c r="O14" s="6"/>
      <c r="P14" s="6"/>
    </row>
    <row r="15" spans="1:16" hidden="1">
      <c r="A15" s="6">
        <v>12</v>
      </c>
      <c r="B15" s="349">
        <v>45692</v>
      </c>
      <c r="C15" s="65" t="s">
        <v>200</v>
      </c>
      <c r="D15" s="65" t="s">
        <v>127</v>
      </c>
      <c r="E15" s="351" t="s">
        <v>201</v>
      </c>
      <c r="F15" s="6">
        <v>0</v>
      </c>
      <c r="G15" s="6">
        <v>89.78</v>
      </c>
      <c r="H15" s="91">
        <f t="shared" si="0"/>
        <v>0</v>
      </c>
      <c r="I15" s="6">
        <v>4.83</v>
      </c>
      <c r="J15" s="6">
        <v>103.44</v>
      </c>
      <c r="K15" s="91">
        <f t="shared" si="1"/>
        <v>499.61520000000002</v>
      </c>
      <c r="L15" s="91">
        <f>H15+K15</f>
        <v>499.61520000000002</v>
      </c>
      <c r="M15" s="6"/>
      <c r="N15" s="350">
        <f>N14+M15-L15</f>
        <v>205490.49390000006</v>
      </c>
      <c r="O15" s="6"/>
      <c r="P15" s="6"/>
    </row>
    <row r="16" spans="1:16" hidden="1">
      <c r="A16" s="6">
        <v>13</v>
      </c>
      <c r="B16" s="349">
        <v>45692</v>
      </c>
      <c r="C16" s="65" t="s">
        <v>211</v>
      </c>
      <c r="D16" s="6" t="s">
        <v>212</v>
      </c>
      <c r="E16" s="351" t="s">
        <v>213</v>
      </c>
      <c r="F16" s="6">
        <v>400</v>
      </c>
      <c r="G16" s="6">
        <v>90.23</v>
      </c>
      <c r="H16" s="91">
        <f t="shared" si="0"/>
        <v>36092</v>
      </c>
      <c r="I16" s="6">
        <v>35</v>
      </c>
      <c r="J16" s="6">
        <v>104.13</v>
      </c>
      <c r="K16" s="91">
        <f t="shared" si="1"/>
        <v>3644.5499999999997</v>
      </c>
      <c r="L16" s="91">
        <f>H16+K16</f>
        <v>39736.550000000003</v>
      </c>
      <c r="M16" s="6"/>
      <c r="N16" s="350">
        <f>N15+M16-L16</f>
        <v>165753.94390000007</v>
      </c>
      <c r="O16" s="6"/>
      <c r="P16" s="6"/>
    </row>
    <row r="17" spans="1:16" hidden="1">
      <c r="A17" s="6">
        <v>14</v>
      </c>
      <c r="B17" s="349">
        <v>45693</v>
      </c>
      <c r="C17" s="65" t="s">
        <v>195</v>
      </c>
      <c r="D17" s="65" t="s">
        <v>196</v>
      </c>
      <c r="E17" s="351" t="s">
        <v>197</v>
      </c>
      <c r="F17" s="6">
        <v>50</v>
      </c>
      <c r="G17" s="6">
        <v>89.9</v>
      </c>
      <c r="H17" s="91">
        <f t="shared" si="0"/>
        <v>4495</v>
      </c>
      <c r="I17" s="6"/>
      <c r="J17" s="6"/>
      <c r="K17" s="91">
        <f t="shared" si="1"/>
        <v>0</v>
      </c>
      <c r="L17" s="91">
        <f t="shared" ref="L17:L23" si="2">H17+K17</f>
        <v>4495</v>
      </c>
      <c r="M17" s="6"/>
      <c r="N17" s="350">
        <f t="shared" ref="N17:N23" si="3">N16+M17-L17</f>
        <v>161258.94390000007</v>
      </c>
      <c r="O17" s="6"/>
      <c r="P17" s="6"/>
    </row>
    <row r="18" spans="1:16" hidden="1">
      <c r="A18" s="6">
        <v>15</v>
      </c>
      <c r="B18" s="349">
        <v>45693</v>
      </c>
      <c r="C18" s="65" t="s">
        <v>214</v>
      </c>
      <c r="D18" s="6" t="s">
        <v>215</v>
      </c>
      <c r="E18" s="352" t="s">
        <v>216</v>
      </c>
      <c r="F18" s="6">
        <v>10</v>
      </c>
      <c r="G18" s="6">
        <v>91.47</v>
      </c>
      <c r="H18" s="91">
        <f t="shared" si="0"/>
        <v>914.7</v>
      </c>
      <c r="I18" s="6"/>
      <c r="J18" s="6"/>
      <c r="K18" s="91">
        <f t="shared" si="1"/>
        <v>0</v>
      </c>
      <c r="L18" s="91">
        <f t="shared" si="2"/>
        <v>914.7</v>
      </c>
      <c r="M18" s="65">
        <v>500000</v>
      </c>
      <c r="N18" s="350">
        <f t="shared" si="3"/>
        <v>660344.24390000012</v>
      </c>
      <c r="O18" s="6"/>
      <c r="P18" s="6"/>
    </row>
    <row r="19" spans="1:16" hidden="1">
      <c r="A19" s="6">
        <v>16</v>
      </c>
      <c r="B19" s="349">
        <v>45693</v>
      </c>
      <c r="C19" s="6" t="s">
        <v>217</v>
      </c>
      <c r="D19" s="6" t="s">
        <v>218</v>
      </c>
      <c r="E19" s="352" t="s">
        <v>219</v>
      </c>
      <c r="F19" s="6">
        <v>2100</v>
      </c>
      <c r="G19" s="6">
        <v>89.29</v>
      </c>
      <c r="H19" s="91">
        <f t="shared" si="0"/>
        <v>187509</v>
      </c>
      <c r="I19" s="6">
        <v>120</v>
      </c>
      <c r="J19" s="6">
        <v>103.24</v>
      </c>
      <c r="K19" s="91">
        <f t="shared" si="1"/>
        <v>12388.8</v>
      </c>
      <c r="L19" s="91">
        <f t="shared" si="2"/>
        <v>199897.8</v>
      </c>
      <c r="M19" s="6"/>
      <c r="N19" s="350">
        <f t="shared" si="3"/>
        <v>460446.44390000013</v>
      </c>
      <c r="O19" s="6"/>
      <c r="P19" s="6"/>
    </row>
    <row r="20" spans="1:16" hidden="1">
      <c r="A20" s="6">
        <v>17</v>
      </c>
      <c r="B20" s="349">
        <v>45693</v>
      </c>
      <c r="C20" s="65" t="s">
        <v>208</v>
      </c>
      <c r="D20" s="65" t="s">
        <v>209</v>
      </c>
      <c r="E20" s="351" t="s">
        <v>210</v>
      </c>
      <c r="F20" s="6">
        <v>1113.8399999999999</v>
      </c>
      <c r="G20" s="6">
        <v>89.78</v>
      </c>
      <c r="H20" s="91">
        <f t="shared" si="0"/>
        <v>100000.55519999999</v>
      </c>
      <c r="I20" s="6"/>
      <c r="J20" s="6"/>
      <c r="K20" s="91">
        <f t="shared" si="1"/>
        <v>0</v>
      </c>
      <c r="L20" s="91">
        <f t="shared" si="2"/>
        <v>100000.55519999999</v>
      </c>
      <c r="M20" s="6"/>
      <c r="N20" s="350">
        <f t="shared" si="3"/>
        <v>360445.88870000013</v>
      </c>
      <c r="O20" s="6"/>
      <c r="P20" s="6"/>
    </row>
    <row r="21" spans="1:16" hidden="1">
      <c r="A21" s="6">
        <v>18</v>
      </c>
      <c r="B21" s="349">
        <v>45693</v>
      </c>
      <c r="C21" s="65" t="s">
        <v>220</v>
      </c>
      <c r="D21" s="65" t="s">
        <v>131</v>
      </c>
      <c r="E21" s="352" t="s">
        <v>221</v>
      </c>
      <c r="F21" s="6">
        <v>40</v>
      </c>
      <c r="G21" s="6">
        <v>89.22</v>
      </c>
      <c r="H21" s="91">
        <f t="shared" si="0"/>
        <v>3568.8</v>
      </c>
      <c r="I21" s="6"/>
      <c r="J21" s="6"/>
      <c r="K21" s="91">
        <f t="shared" si="1"/>
        <v>0</v>
      </c>
      <c r="L21" s="91">
        <f t="shared" si="2"/>
        <v>3568.8</v>
      </c>
      <c r="M21" s="6"/>
      <c r="N21" s="350">
        <f t="shared" si="3"/>
        <v>356877.08870000014</v>
      </c>
      <c r="O21" s="6"/>
      <c r="P21" s="6"/>
    </row>
    <row r="22" spans="1:16" hidden="1">
      <c r="A22" s="6">
        <v>19</v>
      </c>
      <c r="B22" s="349">
        <v>45693</v>
      </c>
      <c r="C22" s="65" t="s">
        <v>198</v>
      </c>
      <c r="D22" s="65" t="s">
        <v>133</v>
      </c>
      <c r="E22" s="351" t="s">
        <v>199</v>
      </c>
      <c r="F22" s="6"/>
      <c r="G22" s="6"/>
      <c r="H22" s="91">
        <f t="shared" si="0"/>
        <v>0</v>
      </c>
      <c r="I22" s="6">
        <v>4.84</v>
      </c>
      <c r="J22" s="6">
        <v>103.39</v>
      </c>
      <c r="K22" s="91">
        <f t="shared" si="1"/>
        <v>500.4076</v>
      </c>
      <c r="L22" s="91">
        <f t="shared" si="2"/>
        <v>500.4076</v>
      </c>
      <c r="M22" s="6"/>
      <c r="N22" s="350">
        <f t="shared" si="3"/>
        <v>356376.68110000016</v>
      </c>
      <c r="O22" s="6"/>
      <c r="P22" s="6"/>
    </row>
    <row r="23" spans="1:16" hidden="1">
      <c r="A23" s="6">
        <v>20</v>
      </c>
      <c r="B23" s="349">
        <v>45693</v>
      </c>
      <c r="C23" s="65" t="s">
        <v>222</v>
      </c>
      <c r="D23" s="65" t="s">
        <v>223</v>
      </c>
      <c r="E23" s="351" t="s">
        <v>224</v>
      </c>
      <c r="F23" s="6">
        <v>42.43</v>
      </c>
      <c r="G23" s="6">
        <v>90.02</v>
      </c>
      <c r="H23" s="91">
        <f t="shared" si="0"/>
        <v>3819.5485999999996</v>
      </c>
      <c r="I23" s="6"/>
      <c r="J23" s="6"/>
      <c r="K23" s="91">
        <f t="shared" si="1"/>
        <v>0</v>
      </c>
      <c r="L23" s="91">
        <f t="shared" si="2"/>
        <v>3819.5485999999996</v>
      </c>
      <c r="M23" s="6"/>
      <c r="N23" s="350">
        <f t="shared" si="3"/>
        <v>352557.13250000018</v>
      </c>
      <c r="O23" s="6"/>
      <c r="P23" s="6"/>
    </row>
    <row r="24" spans="1:16" hidden="1">
      <c r="A24" s="6">
        <v>21</v>
      </c>
      <c r="B24" s="349">
        <v>45694</v>
      </c>
      <c r="C24" s="65" t="s">
        <v>220</v>
      </c>
      <c r="D24" s="65" t="s">
        <v>131</v>
      </c>
      <c r="E24" s="352" t="s">
        <v>221</v>
      </c>
      <c r="F24" s="6">
        <v>50</v>
      </c>
      <c r="G24" s="6">
        <v>89.22</v>
      </c>
      <c r="H24" s="91">
        <f t="shared" si="0"/>
        <v>4461</v>
      </c>
      <c r="I24" s="6"/>
      <c r="J24" s="6"/>
      <c r="K24" s="91">
        <f t="shared" si="1"/>
        <v>0</v>
      </c>
      <c r="L24" s="91">
        <f t="shared" ref="L24:L29" si="4">H24+K24</f>
        <v>4461</v>
      </c>
      <c r="M24" s="6"/>
      <c r="N24" s="350">
        <f t="shared" ref="N24:N29" si="5">N23+M24-L24</f>
        <v>348096.13250000018</v>
      </c>
      <c r="O24" s="6"/>
      <c r="P24" s="6"/>
    </row>
    <row r="25" spans="1:16" hidden="1">
      <c r="A25" s="6">
        <v>22</v>
      </c>
      <c r="B25" s="349">
        <v>45694</v>
      </c>
      <c r="C25" s="65" t="s">
        <v>225</v>
      </c>
      <c r="D25" s="65" t="s">
        <v>131</v>
      </c>
      <c r="E25" s="352" t="s">
        <v>221</v>
      </c>
      <c r="F25" s="6">
        <v>110</v>
      </c>
      <c r="G25" s="6">
        <v>89.33</v>
      </c>
      <c r="H25" s="91">
        <f t="shared" si="0"/>
        <v>9826.2999999999993</v>
      </c>
      <c r="I25" s="6"/>
      <c r="J25" s="6"/>
      <c r="K25" s="91">
        <f t="shared" si="1"/>
        <v>0</v>
      </c>
      <c r="L25" s="91">
        <f t="shared" si="4"/>
        <v>9826.2999999999993</v>
      </c>
      <c r="M25" s="6"/>
      <c r="N25" s="350">
        <f t="shared" si="5"/>
        <v>338269.83250000019</v>
      </c>
      <c r="O25" s="6"/>
      <c r="P25" s="6"/>
    </row>
    <row r="26" spans="1:16" hidden="1">
      <c r="A26" s="6">
        <v>23</v>
      </c>
      <c r="B26" s="349">
        <v>45694</v>
      </c>
      <c r="C26" s="65" t="s">
        <v>214</v>
      </c>
      <c r="D26" s="6" t="s">
        <v>215</v>
      </c>
      <c r="E26" s="352" t="s">
        <v>216</v>
      </c>
      <c r="F26" s="6">
        <v>38.43</v>
      </c>
      <c r="G26" s="6">
        <v>91.47</v>
      </c>
      <c r="H26" s="91">
        <f t="shared" si="0"/>
        <v>3515.1920999999998</v>
      </c>
      <c r="I26" s="6"/>
      <c r="J26" s="6"/>
      <c r="K26" s="91">
        <f t="shared" si="1"/>
        <v>0</v>
      </c>
      <c r="L26" s="91">
        <f t="shared" si="4"/>
        <v>3515.1920999999998</v>
      </c>
      <c r="M26" s="6"/>
      <c r="N26" s="350">
        <f t="shared" si="5"/>
        <v>334754.64040000021</v>
      </c>
      <c r="O26" s="6"/>
      <c r="P26" s="6"/>
    </row>
    <row r="27" spans="1:16" hidden="1">
      <c r="A27" s="6">
        <v>24</v>
      </c>
      <c r="B27" s="349">
        <v>45694</v>
      </c>
      <c r="C27" s="65" t="s">
        <v>226</v>
      </c>
      <c r="D27" s="65" t="s">
        <v>227</v>
      </c>
      <c r="E27" s="351" t="s">
        <v>228</v>
      </c>
      <c r="F27" s="6">
        <v>5.65</v>
      </c>
      <c r="G27" s="6">
        <v>88.58</v>
      </c>
      <c r="H27" s="91">
        <f t="shared" si="0"/>
        <v>500.47700000000003</v>
      </c>
      <c r="I27" s="6"/>
      <c r="J27" s="6"/>
      <c r="K27" s="91">
        <f t="shared" si="1"/>
        <v>0</v>
      </c>
      <c r="L27" s="91">
        <f t="shared" si="4"/>
        <v>500.47700000000003</v>
      </c>
      <c r="M27" s="6"/>
      <c r="N27" s="350">
        <f t="shared" si="5"/>
        <v>334254.16340000019</v>
      </c>
      <c r="O27" s="6"/>
      <c r="P27" s="6"/>
    </row>
    <row r="28" spans="1:16" hidden="1">
      <c r="A28" s="6">
        <v>25</v>
      </c>
      <c r="B28" s="349">
        <v>45695</v>
      </c>
      <c r="C28" s="65" t="s">
        <v>225</v>
      </c>
      <c r="D28" s="65" t="s">
        <v>131</v>
      </c>
      <c r="E28" s="352" t="s">
        <v>221</v>
      </c>
      <c r="F28" s="6">
        <v>110</v>
      </c>
      <c r="G28" s="6">
        <v>89.33</v>
      </c>
      <c r="H28" s="91">
        <f t="shared" si="0"/>
        <v>9826.2999999999993</v>
      </c>
      <c r="I28" s="6">
        <v>5</v>
      </c>
      <c r="J28" s="6">
        <v>103.26</v>
      </c>
      <c r="K28" s="91">
        <f t="shared" si="1"/>
        <v>516.30000000000007</v>
      </c>
      <c r="L28" s="91">
        <f t="shared" si="4"/>
        <v>10342.599999999999</v>
      </c>
      <c r="M28" s="6"/>
      <c r="N28" s="350">
        <f t="shared" si="5"/>
        <v>323911.56340000022</v>
      </c>
      <c r="O28" s="6"/>
      <c r="P28" s="6"/>
    </row>
    <row r="29" spans="1:16" hidden="1">
      <c r="A29" s="6">
        <v>26</v>
      </c>
      <c r="B29" s="349">
        <v>45695</v>
      </c>
      <c r="C29" s="65" t="s">
        <v>200</v>
      </c>
      <c r="D29" s="65" t="s">
        <v>127</v>
      </c>
      <c r="E29" s="351" t="s">
        <v>201</v>
      </c>
      <c r="F29" s="6"/>
      <c r="G29" s="6"/>
      <c r="H29" s="91">
        <f t="shared" si="0"/>
        <v>0</v>
      </c>
      <c r="I29" s="6">
        <v>4.83</v>
      </c>
      <c r="J29" s="6">
        <v>103.44</v>
      </c>
      <c r="K29" s="91">
        <f t="shared" si="1"/>
        <v>499.61520000000002</v>
      </c>
      <c r="L29" s="91">
        <f t="shared" si="4"/>
        <v>499.61520000000002</v>
      </c>
      <c r="M29" s="6"/>
      <c r="N29" s="350">
        <f t="shared" si="5"/>
        <v>323411.94820000022</v>
      </c>
      <c r="O29" s="6"/>
      <c r="P29" s="6"/>
    </row>
    <row r="30" spans="1:16" hidden="1">
      <c r="A30" s="6">
        <v>27</v>
      </c>
      <c r="B30" s="349">
        <v>45695</v>
      </c>
      <c r="C30" s="65" t="s">
        <v>229</v>
      </c>
      <c r="D30" s="65" t="s">
        <v>230</v>
      </c>
      <c r="E30" s="351" t="s">
        <v>231</v>
      </c>
      <c r="F30" s="6">
        <v>75</v>
      </c>
      <c r="G30" s="6">
        <v>89.78</v>
      </c>
      <c r="H30" s="91">
        <f t="shared" si="0"/>
        <v>6733.5</v>
      </c>
      <c r="I30" s="6">
        <v>4.99</v>
      </c>
      <c r="J30" s="6">
        <v>103.76</v>
      </c>
      <c r="K30" s="91">
        <f t="shared" ref="K30" si="6">I30*J30</f>
        <v>517.76240000000007</v>
      </c>
      <c r="L30" s="91">
        <f t="shared" ref="L30" si="7">H30+K30</f>
        <v>7251.2623999999996</v>
      </c>
      <c r="M30" s="6"/>
      <c r="N30" s="350">
        <f t="shared" ref="N30" si="8">N29+M30-L30</f>
        <v>316160.68580000021</v>
      </c>
      <c r="O30" s="6"/>
      <c r="P30" s="6"/>
    </row>
    <row r="31" spans="1:16" hidden="1">
      <c r="A31" s="6">
        <v>28</v>
      </c>
      <c r="B31" s="349">
        <v>45695</v>
      </c>
      <c r="C31" s="65" t="s">
        <v>195</v>
      </c>
      <c r="D31" s="65" t="s">
        <v>196</v>
      </c>
      <c r="E31" s="351" t="s">
        <v>197</v>
      </c>
      <c r="F31" s="6">
        <v>50</v>
      </c>
      <c r="G31" s="6">
        <v>89.9</v>
      </c>
      <c r="H31" s="91">
        <f t="shared" si="0"/>
        <v>4495</v>
      </c>
      <c r="I31" s="6">
        <v>0</v>
      </c>
      <c r="J31" s="6">
        <v>103.76</v>
      </c>
      <c r="K31" s="91">
        <f t="shared" ref="K31" si="9">I31*J31</f>
        <v>0</v>
      </c>
      <c r="L31" s="91">
        <f t="shared" ref="L31" si="10">H31+K31</f>
        <v>4495</v>
      </c>
      <c r="M31" s="6"/>
      <c r="N31" s="350">
        <f t="shared" ref="N31" si="11">N30+M31-L31</f>
        <v>311665.68580000021</v>
      </c>
      <c r="O31" s="6"/>
      <c r="P31" s="6"/>
    </row>
    <row r="32" spans="1:16" hidden="1">
      <c r="A32" s="6">
        <v>29</v>
      </c>
      <c r="B32" s="349">
        <v>45696</v>
      </c>
      <c r="C32" s="65" t="s">
        <v>198</v>
      </c>
      <c r="D32" s="65" t="s">
        <v>133</v>
      </c>
      <c r="E32" s="351" t="s">
        <v>199</v>
      </c>
      <c r="F32" s="6">
        <v>78.27</v>
      </c>
      <c r="G32" s="6">
        <v>89.44</v>
      </c>
      <c r="H32" s="91">
        <f t="shared" ref="H32:H37" si="12">F32*G32</f>
        <v>7000.4687999999996</v>
      </c>
      <c r="I32" s="6">
        <v>4.84</v>
      </c>
      <c r="J32" s="6">
        <v>103.39</v>
      </c>
      <c r="K32" s="91">
        <f t="shared" ref="K32:K33" si="13">I32*J32</f>
        <v>500.4076</v>
      </c>
      <c r="L32" s="91">
        <f t="shared" ref="L32:L33" si="14">H32+K32</f>
        <v>7500.8763999999992</v>
      </c>
      <c r="M32" s="6"/>
      <c r="N32" s="350">
        <f t="shared" ref="N32:N33" si="15">N31+M32-L32</f>
        <v>304164.8094000002</v>
      </c>
      <c r="O32" s="6"/>
      <c r="P32" s="6"/>
    </row>
    <row r="33" spans="1:16" hidden="1">
      <c r="A33" s="6">
        <v>30</v>
      </c>
      <c r="B33" s="349">
        <v>45696</v>
      </c>
      <c r="C33" s="65" t="s">
        <v>232</v>
      </c>
      <c r="D33" s="65" t="s">
        <v>233</v>
      </c>
      <c r="E33" s="351" t="s">
        <v>224</v>
      </c>
      <c r="F33" s="6">
        <v>85</v>
      </c>
      <c r="G33" s="6">
        <v>90.23</v>
      </c>
      <c r="H33" s="91">
        <f t="shared" si="12"/>
        <v>7669.55</v>
      </c>
      <c r="I33" s="6"/>
      <c r="J33" s="6"/>
      <c r="K33" s="91">
        <f t="shared" si="13"/>
        <v>0</v>
      </c>
      <c r="L33" s="91">
        <f t="shared" si="14"/>
        <v>7669.55</v>
      </c>
      <c r="M33" s="6"/>
      <c r="N33" s="350">
        <f t="shared" si="15"/>
        <v>296495.25940000021</v>
      </c>
      <c r="O33" s="6"/>
      <c r="P33" s="6"/>
    </row>
    <row r="34" spans="1:16" hidden="1">
      <c r="A34" s="6">
        <v>31</v>
      </c>
      <c r="B34" s="349">
        <v>45696</v>
      </c>
      <c r="C34" s="65" t="s">
        <v>225</v>
      </c>
      <c r="D34" s="65" t="s">
        <v>131</v>
      </c>
      <c r="E34" s="352" t="s">
        <v>221</v>
      </c>
      <c r="F34" s="6">
        <v>110</v>
      </c>
      <c r="G34" s="6">
        <v>89.33</v>
      </c>
      <c r="H34" s="91">
        <f t="shared" si="12"/>
        <v>9826.2999999999993</v>
      </c>
      <c r="I34" s="6"/>
      <c r="J34" s="6"/>
      <c r="K34" s="91">
        <f t="shared" ref="K34" si="16">I34*J34</f>
        <v>0</v>
      </c>
      <c r="L34" s="91">
        <f t="shared" ref="L34" si="17">H34+K34</f>
        <v>9826.2999999999993</v>
      </c>
      <c r="M34" s="6"/>
      <c r="N34" s="350">
        <f t="shared" ref="N34" si="18">N33+M34-L34</f>
        <v>286668.95940000023</v>
      </c>
      <c r="O34" s="6"/>
      <c r="P34" s="6"/>
    </row>
    <row r="35" spans="1:16" hidden="1">
      <c r="A35" s="6">
        <v>32</v>
      </c>
      <c r="B35" s="349">
        <v>45696</v>
      </c>
      <c r="C35" s="65" t="s">
        <v>234</v>
      </c>
      <c r="D35" s="65" t="s">
        <v>235</v>
      </c>
      <c r="E35" s="351" t="s">
        <v>213</v>
      </c>
      <c r="F35" s="6">
        <v>330</v>
      </c>
      <c r="G35" s="6">
        <v>90.23</v>
      </c>
      <c r="H35" s="91">
        <f t="shared" si="12"/>
        <v>29775.9</v>
      </c>
      <c r="I35" s="6"/>
      <c r="J35" s="6"/>
      <c r="K35" s="91">
        <f t="shared" ref="K35" si="19">I35*J35</f>
        <v>0</v>
      </c>
      <c r="L35" s="91">
        <f t="shared" ref="L35" si="20">H35+K35</f>
        <v>29775.9</v>
      </c>
      <c r="M35" s="6"/>
      <c r="N35" s="350">
        <f t="shared" ref="N35:N39" si="21">N34+M35-L35</f>
        <v>256893.05940000023</v>
      </c>
      <c r="O35" s="6"/>
      <c r="P35" s="6"/>
    </row>
    <row r="36" spans="1:16" hidden="1">
      <c r="A36" s="6">
        <v>33</v>
      </c>
      <c r="B36" s="349">
        <v>45696</v>
      </c>
      <c r="C36" s="65" t="s">
        <v>220</v>
      </c>
      <c r="D36" s="65" t="s">
        <v>131</v>
      </c>
      <c r="E36" s="352" t="s">
        <v>221</v>
      </c>
      <c r="F36" s="6">
        <v>50</v>
      </c>
      <c r="G36" s="6">
        <v>89.22</v>
      </c>
      <c r="H36" s="91">
        <f t="shared" si="12"/>
        <v>4461</v>
      </c>
      <c r="I36" s="6"/>
      <c r="J36" s="6"/>
      <c r="K36" s="91">
        <f t="shared" ref="K36:K38" si="22">I36*J36</f>
        <v>0</v>
      </c>
      <c r="L36" s="91">
        <f t="shared" ref="L36:L38" si="23">H36+K36</f>
        <v>4461</v>
      </c>
      <c r="M36" s="6"/>
      <c r="N36" s="350">
        <f t="shared" si="21"/>
        <v>252432.05940000023</v>
      </c>
      <c r="O36" s="6"/>
      <c r="P36" s="6"/>
    </row>
    <row r="37" spans="1:16" hidden="1">
      <c r="A37" s="6">
        <v>34</v>
      </c>
      <c r="B37" s="349">
        <v>45696</v>
      </c>
      <c r="C37" s="65" t="s">
        <v>195</v>
      </c>
      <c r="D37" s="65" t="s">
        <v>196</v>
      </c>
      <c r="E37" s="351" t="s">
        <v>197</v>
      </c>
      <c r="F37" s="6">
        <v>60</v>
      </c>
      <c r="G37" s="6">
        <v>89.9</v>
      </c>
      <c r="H37" s="91">
        <f t="shared" si="12"/>
        <v>5394</v>
      </c>
      <c r="I37" s="6"/>
      <c r="J37" s="6"/>
      <c r="K37" s="91">
        <f t="shared" si="22"/>
        <v>0</v>
      </c>
      <c r="L37" s="91">
        <f t="shared" si="23"/>
        <v>5394</v>
      </c>
      <c r="M37" s="6"/>
      <c r="N37" s="350">
        <f t="shared" si="21"/>
        <v>247038.05940000023</v>
      </c>
      <c r="O37" s="6"/>
      <c r="P37" s="6"/>
    </row>
    <row r="38" spans="1:16" hidden="1">
      <c r="A38" s="6">
        <v>35</v>
      </c>
      <c r="B38" s="349">
        <v>45696</v>
      </c>
      <c r="C38" s="65" t="s">
        <v>200</v>
      </c>
      <c r="D38" s="65" t="s">
        <v>127</v>
      </c>
      <c r="E38" s="351" t="s">
        <v>201</v>
      </c>
      <c r="F38" s="6"/>
      <c r="G38" s="6"/>
      <c r="H38" s="91">
        <f t="shared" ref="H38:H52" si="24">F38*G38</f>
        <v>0</v>
      </c>
      <c r="I38" s="6">
        <v>9.66</v>
      </c>
      <c r="J38" s="6">
        <v>103.44</v>
      </c>
      <c r="K38" s="91">
        <f t="shared" ref="K38:K39" si="25">I38*J38</f>
        <v>999.23040000000003</v>
      </c>
      <c r="L38" s="91">
        <f t="shared" ref="L38:L39" si="26">H38+K38</f>
        <v>999.23040000000003</v>
      </c>
      <c r="M38" s="6"/>
      <c r="N38" s="350">
        <f t="shared" si="21"/>
        <v>246038.82900000023</v>
      </c>
      <c r="O38" s="6"/>
      <c r="P38" s="6"/>
    </row>
    <row r="39" spans="1:16" hidden="1">
      <c r="A39" s="6">
        <v>36</v>
      </c>
      <c r="B39" s="349">
        <v>45696</v>
      </c>
      <c r="C39" s="65" t="s">
        <v>229</v>
      </c>
      <c r="D39" s="65" t="s">
        <v>230</v>
      </c>
      <c r="E39" s="351" t="s">
        <v>231</v>
      </c>
      <c r="F39" s="6">
        <v>79.08</v>
      </c>
      <c r="G39" s="6">
        <v>89.78</v>
      </c>
      <c r="H39" s="91">
        <f t="shared" si="24"/>
        <v>7099.8023999999996</v>
      </c>
      <c r="I39" s="6"/>
      <c r="J39" s="6"/>
      <c r="K39" s="91">
        <f t="shared" si="25"/>
        <v>0</v>
      </c>
      <c r="L39" s="91">
        <f t="shared" si="26"/>
        <v>7099.8023999999996</v>
      </c>
      <c r="M39" s="6"/>
      <c r="N39" s="350">
        <f t="shared" si="21"/>
        <v>238939.02660000024</v>
      </c>
      <c r="O39" s="6"/>
      <c r="P39" s="6"/>
    </row>
    <row r="40" spans="1:16" hidden="1">
      <c r="A40" s="6">
        <v>37</v>
      </c>
      <c r="B40" s="349">
        <v>45697</v>
      </c>
      <c r="C40" s="65" t="s">
        <v>225</v>
      </c>
      <c r="D40" s="65" t="s">
        <v>131</v>
      </c>
      <c r="E40" s="352" t="s">
        <v>221</v>
      </c>
      <c r="F40" s="6">
        <v>120</v>
      </c>
      <c r="G40" s="6">
        <v>89.33</v>
      </c>
      <c r="H40" s="91">
        <f t="shared" si="24"/>
        <v>10719.6</v>
      </c>
      <c r="I40" s="6"/>
      <c r="J40" s="6"/>
      <c r="K40" s="91">
        <f t="shared" ref="K40:K41" si="27">I40*J40</f>
        <v>0</v>
      </c>
      <c r="L40" s="91">
        <f t="shared" ref="L40:L41" si="28">H40+K40</f>
        <v>10719.6</v>
      </c>
      <c r="M40" s="6"/>
      <c r="N40" s="350">
        <f t="shared" ref="N40:N41" si="29">N39+M40-L40</f>
        <v>228219.42660000024</v>
      </c>
      <c r="O40" s="6"/>
      <c r="P40" s="6"/>
    </row>
    <row r="41" spans="1:16" hidden="1">
      <c r="A41" s="6">
        <v>38</v>
      </c>
      <c r="B41" s="349">
        <v>45697</v>
      </c>
      <c r="C41" s="65" t="s">
        <v>229</v>
      </c>
      <c r="D41" s="65" t="s">
        <v>230</v>
      </c>
      <c r="E41" s="351" t="s">
        <v>231</v>
      </c>
      <c r="F41" s="6">
        <v>89.11</v>
      </c>
      <c r="G41" s="6">
        <v>89.78</v>
      </c>
      <c r="H41" s="91">
        <f t="shared" si="24"/>
        <v>8000.2957999999999</v>
      </c>
      <c r="I41" s="6"/>
      <c r="J41" s="6"/>
      <c r="K41" s="91">
        <f t="shared" si="27"/>
        <v>0</v>
      </c>
      <c r="L41" s="91">
        <f t="shared" si="28"/>
        <v>8000.2957999999999</v>
      </c>
      <c r="M41" s="6"/>
      <c r="N41" s="350">
        <f t="shared" si="29"/>
        <v>220219.13080000025</v>
      </c>
      <c r="O41" s="6"/>
      <c r="P41" s="6"/>
    </row>
    <row r="42" spans="1:16" hidden="1">
      <c r="A42" s="6">
        <v>39</v>
      </c>
      <c r="B42" s="349">
        <v>45697</v>
      </c>
      <c r="C42" s="65" t="s">
        <v>214</v>
      </c>
      <c r="D42" s="6" t="s">
        <v>215</v>
      </c>
      <c r="E42" s="352" t="s">
        <v>216</v>
      </c>
      <c r="F42" s="6">
        <v>44.51</v>
      </c>
      <c r="G42" s="6">
        <v>91.47</v>
      </c>
      <c r="H42" s="91">
        <f t="shared" si="24"/>
        <v>4071.3296999999998</v>
      </c>
      <c r="I42" s="6"/>
      <c r="J42" s="6"/>
      <c r="K42" s="91">
        <f t="shared" ref="K42" si="30">I42*J42</f>
        <v>0</v>
      </c>
      <c r="L42" s="91">
        <f t="shared" ref="L42" si="31">H42+K42</f>
        <v>4071.3296999999998</v>
      </c>
      <c r="M42" s="6"/>
      <c r="N42" s="350">
        <f t="shared" ref="N42" si="32">N41+M42-L42</f>
        <v>216147.80110000024</v>
      </c>
      <c r="O42" s="6"/>
      <c r="P42" s="6"/>
    </row>
    <row r="43" spans="1:16" hidden="1">
      <c r="A43" s="6">
        <v>40</v>
      </c>
      <c r="B43" s="349">
        <v>45697</v>
      </c>
      <c r="C43" s="65" t="s">
        <v>220</v>
      </c>
      <c r="D43" s="65" t="s">
        <v>131</v>
      </c>
      <c r="E43" s="352" t="s">
        <v>221</v>
      </c>
      <c r="F43" s="6">
        <v>50</v>
      </c>
      <c r="G43" s="6">
        <v>89.22</v>
      </c>
      <c r="H43" s="91">
        <f t="shared" si="24"/>
        <v>4461</v>
      </c>
      <c r="I43" s="6"/>
      <c r="J43" s="6"/>
      <c r="K43" s="91">
        <f t="shared" ref="K43" si="33">I43*J43</f>
        <v>0</v>
      </c>
      <c r="L43" s="91">
        <f t="shared" ref="L43" si="34">H43+K43</f>
        <v>4461</v>
      </c>
      <c r="M43" s="6"/>
      <c r="N43" s="350">
        <f t="shared" ref="N43:N49" si="35">N42+M43-L43</f>
        <v>211686.80110000024</v>
      </c>
      <c r="O43" s="6"/>
      <c r="P43" s="6"/>
    </row>
    <row r="44" spans="1:16" hidden="1">
      <c r="A44" s="6">
        <v>41</v>
      </c>
      <c r="B44" s="349">
        <v>45698</v>
      </c>
      <c r="C44" s="65" t="s">
        <v>198</v>
      </c>
      <c r="D44" s="65" t="s">
        <v>133</v>
      </c>
      <c r="E44" s="351" t="s">
        <v>199</v>
      </c>
      <c r="F44" s="374">
        <v>78.27</v>
      </c>
      <c r="G44" s="6">
        <v>89.44</v>
      </c>
      <c r="H44" s="91">
        <f t="shared" si="24"/>
        <v>7000.4687999999996</v>
      </c>
      <c r="I44" s="6"/>
      <c r="J44" s="6"/>
      <c r="K44" s="91">
        <f t="shared" ref="K44:K46" si="36">I44*J44</f>
        <v>0</v>
      </c>
      <c r="L44" s="91">
        <f t="shared" ref="L44:L46" si="37">H44+K44</f>
        <v>7000.4687999999996</v>
      </c>
      <c r="M44" s="6"/>
      <c r="N44" s="350">
        <f t="shared" si="35"/>
        <v>204686.33230000024</v>
      </c>
      <c r="O44" s="6"/>
      <c r="P44" s="6"/>
    </row>
    <row r="45" spans="1:16" hidden="1">
      <c r="A45" s="6">
        <v>42</v>
      </c>
      <c r="B45" s="349">
        <v>45698</v>
      </c>
      <c r="C45" s="65" t="s">
        <v>220</v>
      </c>
      <c r="D45" s="65" t="s">
        <v>131</v>
      </c>
      <c r="E45" s="352" t="s">
        <v>221</v>
      </c>
      <c r="F45" s="374">
        <v>50</v>
      </c>
      <c r="G45" s="6">
        <v>89.22</v>
      </c>
      <c r="H45" s="91">
        <f t="shared" si="24"/>
        <v>4461</v>
      </c>
      <c r="I45" s="6"/>
      <c r="J45" s="6"/>
      <c r="K45" s="91">
        <f t="shared" si="36"/>
        <v>0</v>
      </c>
      <c r="L45" s="91">
        <f t="shared" si="37"/>
        <v>4461</v>
      </c>
      <c r="M45" s="6"/>
      <c r="N45" s="350">
        <f t="shared" si="35"/>
        <v>200225.33230000024</v>
      </c>
      <c r="O45" s="6"/>
      <c r="P45" s="6"/>
    </row>
    <row r="46" spans="1:16" hidden="1">
      <c r="A46" s="6">
        <v>43</v>
      </c>
      <c r="B46" s="349">
        <v>45698</v>
      </c>
      <c r="C46" s="65" t="s">
        <v>195</v>
      </c>
      <c r="D46" s="65" t="s">
        <v>196</v>
      </c>
      <c r="E46" s="351" t="s">
        <v>197</v>
      </c>
      <c r="F46" s="374">
        <v>74</v>
      </c>
      <c r="G46" s="6">
        <v>89.9</v>
      </c>
      <c r="H46" s="91">
        <f t="shared" si="24"/>
        <v>6652.6</v>
      </c>
      <c r="I46" s="6">
        <v>13.39</v>
      </c>
      <c r="J46" s="6">
        <v>103.96</v>
      </c>
      <c r="K46" s="91">
        <f t="shared" ref="K46:K53" si="38">I46*J46</f>
        <v>1392.0244</v>
      </c>
      <c r="L46" s="91">
        <f t="shared" ref="L46:L57" si="39">H46+K46</f>
        <v>8044.6244000000006</v>
      </c>
      <c r="M46" s="6"/>
      <c r="N46" s="350">
        <f t="shared" si="35"/>
        <v>192180.70790000024</v>
      </c>
      <c r="O46" s="6"/>
      <c r="P46" s="6"/>
    </row>
    <row r="47" spans="1:16" hidden="1">
      <c r="A47" s="6">
        <v>44</v>
      </c>
      <c r="B47" s="349">
        <v>45698</v>
      </c>
      <c r="C47" s="65" t="s">
        <v>200</v>
      </c>
      <c r="D47" s="65" t="s">
        <v>127</v>
      </c>
      <c r="E47" s="351" t="s">
        <v>201</v>
      </c>
      <c r="F47" s="374">
        <v>77.48</v>
      </c>
      <c r="G47" s="6">
        <v>89.49</v>
      </c>
      <c r="H47" s="91">
        <f t="shared" si="24"/>
        <v>6933.6851999999999</v>
      </c>
      <c r="I47" s="6"/>
      <c r="J47" s="6"/>
      <c r="K47" s="91">
        <f t="shared" si="38"/>
        <v>0</v>
      </c>
      <c r="L47" s="91">
        <f t="shared" si="39"/>
        <v>6933.6851999999999</v>
      </c>
      <c r="M47" s="6"/>
      <c r="N47" s="350">
        <f t="shared" si="35"/>
        <v>185247.02270000023</v>
      </c>
      <c r="O47" s="6"/>
      <c r="P47" s="6"/>
    </row>
    <row r="48" spans="1:16" hidden="1">
      <c r="A48" s="6">
        <v>45</v>
      </c>
      <c r="B48" s="349">
        <v>45698</v>
      </c>
      <c r="C48" s="65" t="s">
        <v>236</v>
      </c>
      <c r="D48" s="65" t="s">
        <v>136</v>
      </c>
      <c r="E48" s="351" t="s">
        <v>237</v>
      </c>
      <c r="F48" s="374">
        <v>0</v>
      </c>
      <c r="G48" s="6"/>
      <c r="H48" s="91">
        <f t="shared" si="24"/>
        <v>0</v>
      </c>
      <c r="I48" s="6">
        <v>12.69</v>
      </c>
      <c r="J48" s="6">
        <v>102.46</v>
      </c>
      <c r="K48" s="91">
        <f t="shared" si="38"/>
        <v>1300.2173999999998</v>
      </c>
      <c r="L48" s="91">
        <f t="shared" si="39"/>
        <v>1300.2173999999998</v>
      </c>
      <c r="M48" s="6"/>
      <c r="N48" s="350">
        <f t="shared" si="35"/>
        <v>183946.80530000024</v>
      </c>
      <c r="O48" s="6"/>
      <c r="P48" s="6"/>
    </row>
    <row r="49" spans="1:16" hidden="1">
      <c r="A49" s="6">
        <v>46</v>
      </c>
      <c r="B49" s="349">
        <v>45698</v>
      </c>
      <c r="C49" s="65" t="s">
        <v>229</v>
      </c>
      <c r="D49" s="65" t="s">
        <v>230</v>
      </c>
      <c r="E49" s="351" t="s">
        <v>231</v>
      </c>
      <c r="F49" s="374">
        <v>67.95</v>
      </c>
      <c r="G49" s="6">
        <v>89.78</v>
      </c>
      <c r="H49" s="91">
        <f t="shared" si="24"/>
        <v>6100.5510000000004</v>
      </c>
      <c r="I49" s="6"/>
      <c r="J49" s="6"/>
      <c r="K49" s="91">
        <f t="shared" si="38"/>
        <v>0</v>
      </c>
      <c r="L49" s="91">
        <f t="shared" si="39"/>
        <v>6100.5510000000004</v>
      </c>
      <c r="M49" s="6"/>
      <c r="N49" s="350">
        <f t="shared" si="35"/>
        <v>177846.25430000023</v>
      </c>
      <c r="O49" s="6"/>
      <c r="P49" s="6"/>
    </row>
    <row r="50" spans="1:16" hidden="1">
      <c r="A50" s="6">
        <v>47</v>
      </c>
      <c r="B50" s="349">
        <v>45699</v>
      </c>
      <c r="C50" s="65" t="s">
        <v>198</v>
      </c>
      <c r="D50" s="65" t="s">
        <v>133</v>
      </c>
      <c r="E50" s="351" t="s">
        <v>199</v>
      </c>
      <c r="F50" s="6">
        <v>100.63</v>
      </c>
      <c r="G50" s="6">
        <v>89.44</v>
      </c>
      <c r="H50" s="91">
        <f t="shared" si="24"/>
        <v>9000.3472000000002</v>
      </c>
      <c r="I50" s="6">
        <v>4.84</v>
      </c>
      <c r="J50" s="6">
        <v>103.29</v>
      </c>
      <c r="K50" s="91">
        <f t="shared" si="38"/>
        <v>499.92360000000002</v>
      </c>
      <c r="L50" s="91">
        <f t="shared" si="39"/>
        <v>9500.2708000000002</v>
      </c>
      <c r="M50" s="6">
        <v>350000</v>
      </c>
      <c r="N50" s="350">
        <f t="shared" ref="N50:N59" si="40">N49+M50-L50</f>
        <v>518345.98350000026</v>
      </c>
      <c r="O50" s="6"/>
      <c r="P50" s="6"/>
    </row>
    <row r="51" spans="1:16" hidden="1">
      <c r="A51" s="6">
        <v>48</v>
      </c>
      <c r="B51" s="349">
        <v>45699</v>
      </c>
      <c r="C51" s="65" t="s">
        <v>195</v>
      </c>
      <c r="D51" s="65" t="s">
        <v>196</v>
      </c>
      <c r="E51" s="351" t="s">
        <v>197</v>
      </c>
      <c r="F51" s="6">
        <v>96.28</v>
      </c>
      <c r="G51" s="6">
        <v>89.9</v>
      </c>
      <c r="H51" s="91">
        <f t="shared" si="24"/>
        <v>8655.5720000000001</v>
      </c>
      <c r="I51" s="6"/>
      <c r="J51" s="6"/>
      <c r="K51" s="91">
        <f t="shared" si="38"/>
        <v>0</v>
      </c>
      <c r="L51" s="91">
        <f t="shared" si="39"/>
        <v>8655.5720000000001</v>
      </c>
      <c r="M51" s="6"/>
      <c r="N51" s="350">
        <f t="shared" si="40"/>
        <v>509690.41150000028</v>
      </c>
      <c r="O51" s="6"/>
      <c r="P51" s="6"/>
    </row>
    <row r="52" spans="1:16" hidden="1">
      <c r="A52" s="6">
        <v>49</v>
      </c>
      <c r="B52" s="349">
        <v>45699</v>
      </c>
      <c r="C52" s="6" t="s">
        <v>217</v>
      </c>
      <c r="D52" s="6" t="s">
        <v>218</v>
      </c>
      <c r="E52" s="352" t="s">
        <v>219</v>
      </c>
      <c r="F52" s="6">
        <v>1900</v>
      </c>
      <c r="G52" s="6">
        <v>89.29</v>
      </c>
      <c r="H52" s="91">
        <f t="shared" ref="H52:H60" si="41">F52*G52</f>
        <v>169651</v>
      </c>
      <c r="I52" s="6">
        <v>105</v>
      </c>
      <c r="J52" s="6">
        <v>103.24</v>
      </c>
      <c r="K52" s="91">
        <f t="shared" ref="K52:K57" si="42">I52*J52</f>
        <v>10840.199999999999</v>
      </c>
      <c r="L52" s="91">
        <f t="shared" si="39"/>
        <v>180491.2</v>
      </c>
      <c r="M52" s="6"/>
      <c r="N52" s="350">
        <f t="shared" si="40"/>
        <v>329199.21150000027</v>
      </c>
      <c r="O52" s="6"/>
      <c r="P52" s="6"/>
    </row>
    <row r="53" spans="1:16" hidden="1">
      <c r="A53" s="222">
        <v>50</v>
      </c>
      <c r="B53" s="349">
        <v>45699</v>
      </c>
      <c r="C53" s="65" t="s">
        <v>222</v>
      </c>
      <c r="D53" s="65" t="s">
        <v>223</v>
      </c>
      <c r="E53" s="351" t="s">
        <v>224</v>
      </c>
      <c r="F53" s="6"/>
      <c r="G53" s="6"/>
      <c r="H53" s="91">
        <f t="shared" si="41"/>
        <v>0</v>
      </c>
      <c r="I53" s="222">
        <v>11</v>
      </c>
      <c r="J53" s="222">
        <v>104.02</v>
      </c>
      <c r="K53" s="225">
        <f t="shared" si="42"/>
        <v>1144.22</v>
      </c>
      <c r="L53" s="225">
        <f t="shared" si="39"/>
        <v>1144.22</v>
      </c>
      <c r="M53" s="222"/>
      <c r="N53" s="355">
        <f t="shared" si="40"/>
        <v>328054.99150000029</v>
      </c>
      <c r="O53" s="6"/>
      <c r="P53" s="6"/>
    </row>
    <row r="54" spans="1:16" hidden="1">
      <c r="A54" s="19">
        <v>51</v>
      </c>
      <c r="B54" s="353">
        <v>45699</v>
      </c>
      <c r="C54" s="346" t="s">
        <v>229</v>
      </c>
      <c r="D54" s="346" t="s">
        <v>230</v>
      </c>
      <c r="E54" s="347" t="s">
        <v>231</v>
      </c>
      <c r="F54" s="365">
        <v>71.290000000000006</v>
      </c>
      <c r="G54" s="365">
        <v>89.78</v>
      </c>
      <c r="H54" s="359">
        <f t="shared" si="41"/>
        <v>6400.4162000000006</v>
      </c>
      <c r="I54" s="126"/>
      <c r="J54" s="126"/>
      <c r="K54" s="360">
        <f t="shared" si="42"/>
        <v>0</v>
      </c>
      <c r="L54" s="360">
        <f t="shared" si="39"/>
        <v>6400.4162000000006</v>
      </c>
      <c r="M54" s="126"/>
      <c r="N54" s="361">
        <f t="shared" si="40"/>
        <v>321654.57530000032</v>
      </c>
      <c r="O54" s="354"/>
      <c r="P54" s="176"/>
    </row>
    <row r="55" spans="1:16" hidden="1">
      <c r="A55">
        <v>52</v>
      </c>
      <c r="B55" s="353">
        <v>45700</v>
      </c>
      <c r="C55" s="65" t="s">
        <v>195</v>
      </c>
      <c r="D55" s="65" t="s">
        <v>196</v>
      </c>
      <c r="E55" s="362" t="s">
        <v>197</v>
      </c>
      <c r="F55" s="19">
        <v>80</v>
      </c>
      <c r="G55" s="19">
        <v>89.9</v>
      </c>
      <c r="H55" s="53">
        <f t="shared" si="41"/>
        <v>7192</v>
      </c>
      <c r="I55" s="19"/>
      <c r="J55" s="19"/>
      <c r="K55" s="53">
        <f t="shared" si="42"/>
        <v>0</v>
      </c>
      <c r="L55" s="53">
        <f t="shared" si="39"/>
        <v>7192</v>
      </c>
      <c r="M55" s="19"/>
      <c r="N55" s="174">
        <f t="shared" si="40"/>
        <v>314462.57530000032</v>
      </c>
      <c r="O55" s="354"/>
      <c r="P55" s="176"/>
    </row>
    <row r="56" spans="1:16" hidden="1">
      <c r="A56" s="222">
        <v>53</v>
      </c>
      <c r="B56" s="357">
        <v>45700</v>
      </c>
      <c r="C56" s="358" t="s">
        <v>214</v>
      </c>
      <c r="D56" s="222" t="s">
        <v>215</v>
      </c>
      <c r="E56" s="363" t="s">
        <v>216</v>
      </c>
      <c r="F56" s="19">
        <v>58.5</v>
      </c>
      <c r="G56" s="19">
        <v>91.47</v>
      </c>
      <c r="H56" s="53">
        <f t="shared" si="41"/>
        <v>5350.9949999999999</v>
      </c>
      <c r="I56" s="19"/>
      <c r="J56" s="19"/>
      <c r="K56" s="53">
        <f t="shared" si="42"/>
        <v>0</v>
      </c>
      <c r="L56" s="53">
        <f t="shared" si="39"/>
        <v>5350.9949999999999</v>
      </c>
      <c r="M56" s="19"/>
      <c r="N56" s="174">
        <f t="shared" si="40"/>
        <v>309111.58030000032</v>
      </c>
      <c r="O56" s="354"/>
      <c r="P56" s="176"/>
    </row>
    <row r="57" spans="1:16" hidden="1">
      <c r="A57" s="19">
        <v>54</v>
      </c>
      <c r="B57" s="356">
        <v>45700</v>
      </c>
      <c r="C57" s="137" t="s">
        <v>202</v>
      </c>
      <c r="D57" s="137" t="s">
        <v>203</v>
      </c>
      <c r="E57" s="364" t="s">
        <v>204</v>
      </c>
      <c r="F57" s="19">
        <v>261.27999999999997</v>
      </c>
      <c r="G57" s="19">
        <v>89.47</v>
      </c>
      <c r="H57" s="53">
        <f t="shared" si="41"/>
        <v>23376.721599999997</v>
      </c>
      <c r="I57" s="19">
        <v>18</v>
      </c>
      <c r="J57" s="19">
        <v>103.4</v>
      </c>
      <c r="K57" s="53">
        <f t="shared" si="42"/>
        <v>1861.2</v>
      </c>
      <c r="L57" s="53">
        <f t="shared" si="39"/>
        <v>25237.921599999998</v>
      </c>
      <c r="M57" s="19"/>
      <c r="N57" s="174">
        <f t="shared" si="40"/>
        <v>283873.65870000032</v>
      </c>
      <c r="O57" s="354"/>
      <c r="P57" s="176"/>
    </row>
    <row r="58" spans="1:16" hidden="1">
      <c r="A58" s="19">
        <v>55</v>
      </c>
      <c r="B58" s="356">
        <v>45700</v>
      </c>
      <c r="C58" s="137" t="s">
        <v>234</v>
      </c>
      <c r="D58" s="137" t="s">
        <v>235</v>
      </c>
      <c r="E58" s="364" t="s">
        <v>213</v>
      </c>
      <c r="F58" s="19">
        <v>440</v>
      </c>
      <c r="G58" s="19">
        <v>90.23</v>
      </c>
      <c r="H58" s="53">
        <f t="shared" si="41"/>
        <v>39701.200000000004</v>
      </c>
      <c r="I58" s="19"/>
      <c r="J58" s="19"/>
      <c r="K58" s="53">
        <f t="shared" ref="K58:K59" si="43">I58*J58</f>
        <v>0</v>
      </c>
      <c r="L58" s="53">
        <f t="shared" ref="L58:L59" si="44">H58+K58</f>
        <v>39701.200000000004</v>
      </c>
      <c r="M58" s="19"/>
      <c r="N58" s="174">
        <f t="shared" si="40"/>
        <v>244172.45870000031</v>
      </c>
      <c r="O58" s="354"/>
      <c r="P58" s="176"/>
    </row>
    <row r="59" spans="1:16" hidden="1">
      <c r="A59" s="6">
        <v>56</v>
      </c>
      <c r="B59" s="356">
        <v>45700</v>
      </c>
      <c r="C59" s="137" t="s">
        <v>225</v>
      </c>
      <c r="D59" s="137" t="s">
        <v>238</v>
      </c>
      <c r="E59" s="364" t="s">
        <v>221</v>
      </c>
      <c r="F59" s="19">
        <v>170</v>
      </c>
      <c r="G59" s="19">
        <v>89.33</v>
      </c>
      <c r="H59" s="53">
        <f t="shared" si="41"/>
        <v>15186.1</v>
      </c>
      <c r="I59" s="19">
        <v>4.84</v>
      </c>
      <c r="J59" s="19">
        <v>103.26</v>
      </c>
      <c r="K59" s="53">
        <f t="shared" si="43"/>
        <v>499.77840000000003</v>
      </c>
      <c r="L59" s="53">
        <f t="shared" si="44"/>
        <v>15685.8784</v>
      </c>
      <c r="M59" s="19"/>
      <c r="N59" s="174">
        <f t="shared" si="40"/>
        <v>228486.58030000032</v>
      </c>
      <c r="O59" s="354"/>
      <c r="P59" s="176"/>
    </row>
    <row r="60" spans="1:16" hidden="1">
      <c r="A60" s="19">
        <v>57</v>
      </c>
      <c r="B60" s="356">
        <v>45700</v>
      </c>
      <c r="C60" s="137" t="s">
        <v>220</v>
      </c>
      <c r="D60" s="137" t="s">
        <v>131</v>
      </c>
      <c r="E60" s="364" t="s">
        <v>221</v>
      </c>
      <c r="F60" s="19">
        <v>50</v>
      </c>
      <c r="G60" s="19">
        <v>89.22</v>
      </c>
      <c r="H60" s="53">
        <f t="shared" ref="H60:H120" si="45">F60*G60</f>
        <v>4461</v>
      </c>
      <c r="I60" s="19">
        <v>0</v>
      </c>
      <c r="J60" s="19">
        <v>103.26</v>
      </c>
      <c r="K60" s="53">
        <f t="shared" ref="K60" si="46">I60*J60</f>
        <v>0</v>
      </c>
      <c r="L60" s="53">
        <f t="shared" ref="L60" si="47">H60+K60</f>
        <v>4461</v>
      </c>
      <c r="M60" s="19"/>
      <c r="N60" s="174">
        <f t="shared" ref="N60:N62" si="48">N59+M60-L60</f>
        <v>224025.58030000032</v>
      </c>
      <c r="O60" s="354"/>
      <c r="P60" s="176"/>
    </row>
    <row r="61" spans="1:16" hidden="1">
      <c r="A61" s="19">
        <v>58</v>
      </c>
      <c r="B61" s="356">
        <v>45700</v>
      </c>
      <c r="C61" s="137" t="s">
        <v>229</v>
      </c>
      <c r="D61" s="137" t="s">
        <v>230</v>
      </c>
      <c r="E61" s="364" t="s">
        <v>231</v>
      </c>
      <c r="F61" s="19">
        <v>38.99</v>
      </c>
      <c r="G61" s="19">
        <v>89.78</v>
      </c>
      <c r="H61" s="53">
        <f t="shared" si="45"/>
        <v>3500.5222000000003</v>
      </c>
      <c r="I61" s="19">
        <v>0</v>
      </c>
      <c r="J61" s="19">
        <v>103.26</v>
      </c>
      <c r="K61" s="53">
        <f t="shared" ref="K61:K72" si="49">I61*J61</f>
        <v>0</v>
      </c>
      <c r="L61" s="53">
        <f t="shared" ref="L61:L62" si="50">H61+K61</f>
        <v>3500.5222000000003</v>
      </c>
      <c r="M61" s="19"/>
      <c r="N61" s="174">
        <f t="shared" si="48"/>
        <v>220525.05810000031</v>
      </c>
      <c r="O61" s="354"/>
      <c r="P61" s="176"/>
    </row>
    <row r="62" spans="1:16" hidden="1">
      <c r="A62" s="222">
        <v>59</v>
      </c>
      <c r="B62" s="371">
        <v>45700</v>
      </c>
      <c r="C62" s="251" t="s">
        <v>222</v>
      </c>
      <c r="D62" s="251" t="s">
        <v>223</v>
      </c>
      <c r="E62" s="372" t="s">
        <v>224</v>
      </c>
      <c r="F62" s="126">
        <v>200</v>
      </c>
      <c r="G62" s="126">
        <v>90.02</v>
      </c>
      <c r="H62" s="360">
        <f t="shared" si="45"/>
        <v>18004</v>
      </c>
      <c r="I62" s="126"/>
      <c r="J62" s="19">
        <v>103.26</v>
      </c>
      <c r="K62" s="53">
        <f t="shared" si="49"/>
        <v>0</v>
      </c>
      <c r="L62" s="360">
        <f t="shared" si="50"/>
        <v>18004</v>
      </c>
      <c r="M62" s="126"/>
      <c r="N62" s="361">
        <f t="shared" si="48"/>
        <v>202521.05810000031</v>
      </c>
      <c r="O62" s="373"/>
      <c r="P62" s="365"/>
    </row>
    <row r="63" spans="1:16" hidden="1">
      <c r="A63" s="19">
        <v>60</v>
      </c>
      <c r="B63" s="356">
        <v>45701</v>
      </c>
      <c r="C63" s="19" t="s">
        <v>239</v>
      </c>
      <c r="D63" s="137" t="s">
        <v>125</v>
      </c>
      <c r="E63" s="369" t="s">
        <v>240</v>
      </c>
      <c r="F63" s="19">
        <v>56.1</v>
      </c>
      <c r="G63" s="19">
        <v>89.14</v>
      </c>
      <c r="H63" s="53">
        <f t="shared" si="45"/>
        <v>5000.7539999999999</v>
      </c>
      <c r="I63" s="19"/>
      <c r="J63" s="19">
        <v>103.26</v>
      </c>
      <c r="K63" s="53">
        <f t="shared" si="49"/>
        <v>0</v>
      </c>
      <c r="L63" s="53">
        <f t="shared" ref="L63:L74" si="51">H63+K63</f>
        <v>5000.7539999999999</v>
      </c>
      <c r="M63" s="19"/>
      <c r="N63" s="174">
        <f t="shared" ref="N63:N112" si="52">N62+M63-L63</f>
        <v>197520.30410000033</v>
      </c>
      <c r="O63" s="19"/>
      <c r="P63" s="19"/>
    </row>
    <row r="64" spans="1:16" hidden="1">
      <c r="A64" s="19">
        <v>61</v>
      </c>
      <c r="B64" s="356">
        <v>45701</v>
      </c>
      <c r="C64" s="137" t="s">
        <v>225</v>
      </c>
      <c r="D64" s="137" t="s">
        <v>238</v>
      </c>
      <c r="E64" s="370" t="s">
        <v>221</v>
      </c>
      <c r="F64" s="19">
        <v>50</v>
      </c>
      <c r="G64" s="19">
        <v>89.33</v>
      </c>
      <c r="H64" s="53">
        <f t="shared" si="45"/>
        <v>4466.5</v>
      </c>
      <c r="I64" s="19"/>
      <c r="J64" s="19">
        <v>103.26</v>
      </c>
      <c r="K64" s="53">
        <f t="shared" si="49"/>
        <v>0</v>
      </c>
      <c r="L64" s="53">
        <f t="shared" si="51"/>
        <v>4466.5</v>
      </c>
      <c r="M64" s="19"/>
      <c r="N64" s="174">
        <f t="shared" si="52"/>
        <v>193053.80410000033</v>
      </c>
      <c r="O64" s="19"/>
      <c r="P64" s="19"/>
    </row>
    <row r="65" spans="1:16" hidden="1">
      <c r="A65" s="222">
        <v>62</v>
      </c>
      <c r="B65" s="356">
        <v>45701</v>
      </c>
      <c r="C65" s="137" t="s">
        <v>220</v>
      </c>
      <c r="D65" s="137" t="s">
        <v>131</v>
      </c>
      <c r="E65" s="370" t="s">
        <v>221</v>
      </c>
      <c r="F65" s="19">
        <v>50</v>
      </c>
      <c r="G65" s="19">
        <v>89.22</v>
      </c>
      <c r="H65" s="53">
        <f t="shared" si="45"/>
        <v>4461</v>
      </c>
      <c r="I65" s="19"/>
      <c r="J65" s="19">
        <v>103.26</v>
      </c>
      <c r="K65" s="53">
        <f t="shared" si="49"/>
        <v>0</v>
      </c>
      <c r="L65" s="53">
        <f t="shared" si="51"/>
        <v>4461</v>
      </c>
      <c r="M65" s="19"/>
      <c r="N65" s="174">
        <f t="shared" si="52"/>
        <v>188592.80410000033</v>
      </c>
      <c r="O65" s="19"/>
      <c r="P65" s="19"/>
    </row>
    <row r="66" spans="1:16" hidden="1">
      <c r="A66" s="19">
        <v>63</v>
      </c>
      <c r="B66" s="356">
        <v>45701</v>
      </c>
      <c r="C66" s="65" t="s">
        <v>198</v>
      </c>
      <c r="D66" s="65" t="s">
        <v>133</v>
      </c>
      <c r="E66" s="351" t="s">
        <v>199</v>
      </c>
      <c r="F66" s="19">
        <v>100.63</v>
      </c>
      <c r="G66" s="19">
        <v>89.44</v>
      </c>
      <c r="H66" s="53">
        <f t="shared" si="45"/>
        <v>9000.3472000000002</v>
      </c>
      <c r="I66" s="19"/>
      <c r="J66" s="19">
        <v>103.26</v>
      </c>
      <c r="K66" s="53">
        <f t="shared" si="49"/>
        <v>0</v>
      </c>
      <c r="L66" s="53">
        <f t="shared" si="51"/>
        <v>9000.3472000000002</v>
      </c>
      <c r="M66" s="19"/>
      <c r="N66" s="174">
        <f t="shared" si="52"/>
        <v>179592.45690000034</v>
      </c>
      <c r="O66" s="19"/>
      <c r="P66" s="19"/>
    </row>
    <row r="67" spans="1:16" hidden="1">
      <c r="A67" s="126">
        <v>64</v>
      </c>
      <c r="B67" s="356">
        <v>45701</v>
      </c>
      <c r="C67" s="137" t="s">
        <v>229</v>
      </c>
      <c r="D67" s="137" t="s">
        <v>230</v>
      </c>
      <c r="E67" s="370" t="s">
        <v>231</v>
      </c>
      <c r="F67" s="19">
        <v>149</v>
      </c>
      <c r="G67" s="19">
        <v>89.78</v>
      </c>
      <c r="H67" s="53">
        <f t="shared" si="45"/>
        <v>13377.22</v>
      </c>
      <c r="I67" s="19"/>
      <c r="J67" s="19">
        <v>103.26</v>
      </c>
      <c r="K67" s="53">
        <f t="shared" si="49"/>
        <v>0</v>
      </c>
      <c r="L67" s="53">
        <f t="shared" si="51"/>
        <v>13377.22</v>
      </c>
      <c r="M67" s="19"/>
      <c r="N67" s="174">
        <f t="shared" si="52"/>
        <v>166215.23690000034</v>
      </c>
      <c r="O67" s="19"/>
      <c r="P67" s="19"/>
    </row>
    <row r="68" spans="1:16" hidden="1">
      <c r="A68" s="222">
        <v>65</v>
      </c>
      <c r="B68" s="376">
        <v>45701</v>
      </c>
      <c r="C68" s="251" t="s">
        <v>222</v>
      </c>
      <c r="D68" s="251" t="s">
        <v>223</v>
      </c>
      <c r="E68" s="377" t="s">
        <v>224</v>
      </c>
      <c r="F68" s="126">
        <v>196.66</v>
      </c>
      <c r="G68" s="126">
        <v>90.02</v>
      </c>
      <c r="H68" s="360">
        <f t="shared" si="45"/>
        <v>17703.333199999997</v>
      </c>
      <c r="I68" s="126"/>
      <c r="J68" s="126">
        <v>103.26</v>
      </c>
      <c r="K68" s="360">
        <f t="shared" si="49"/>
        <v>0</v>
      </c>
      <c r="L68" s="360">
        <f t="shared" si="51"/>
        <v>17703.333199999997</v>
      </c>
      <c r="M68" s="126"/>
      <c r="N68" s="361">
        <f t="shared" si="52"/>
        <v>148511.90370000034</v>
      </c>
      <c r="O68" s="126"/>
      <c r="P68" s="126"/>
    </row>
    <row r="69" spans="1:16" hidden="1">
      <c r="A69" s="19">
        <v>66</v>
      </c>
      <c r="B69" s="356">
        <v>45702</v>
      </c>
      <c r="C69" s="65" t="s">
        <v>195</v>
      </c>
      <c r="D69" s="65" t="s">
        <v>196</v>
      </c>
      <c r="E69" s="351" t="s">
        <v>197</v>
      </c>
      <c r="F69" s="19">
        <v>70</v>
      </c>
      <c r="G69" s="19">
        <v>89.9</v>
      </c>
      <c r="H69" s="53">
        <f t="shared" si="45"/>
        <v>6293</v>
      </c>
      <c r="I69" s="19">
        <v>4.87</v>
      </c>
      <c r="J69" s="19">
        <v>103.26</v>
      </c>
      <c r="K69" s="53">
        <f t="shared" si="49"/>
        <v>502.87620000000004</v>
      </c>
      <c r="L69" s="53">
        <f t="shared" si="51"/>
        <v>6795.8761999999997</v>
      </c>
      <c r="M69" s="19"/>
      <c r="N69" s="174">
        <f t="shared" si="52"/>
        <v>141716.02750000035</v>
      </c>
      <c r="O69" s="19"/>
      <c r="P69" s="19"/>
    </row>
    <row r="70" spans="1:16" hidden="1">
      <c r="A70" s="19">
        <v>67</v>
      </c>
      <c r="B70" s="356">
        <v>45702</v>
      </c>
      <c r="C70" s="137" t="s">
        <v>202</v>
      </c>
      <c r="D70" s="137" t="s">
        <v>203</v>
      </c>
      <c r="E70" s="370" t="s">
        <v>204</v>
      </c>
      <c r="F70" s="19"/>
      <c r="G70" s="19"/>
      <c r="H70" s="53">
        <f t="shared" si="45"/>
        <v>0</v>
      </c>
      <c r="I70" s="19">
        <v>6</v>
      </c>
      <c r="J70" s="19">
        <v>103.4</v>
      </c>
      <c r="K70" s="53">
        <f t="shared" si="49"/>
        <v>620.40000000000009</v>
      </c>
      <c r="L70" s="53">
        <f t="shared" si="51"/>
        <v>620.40000000000009</v>
      </c>
      <c r="M70" s="19"/>
      <c r="N70" s="174">
        <f t="shared" si="52"/>
        <v>141095.62750000035</v>
      </c>
      <c r="O70" s="19"/>
      <c r="P70" s="19"/>
    </row>
    <row r="71" spans="1:16" hidden="1">
      <c r="A71" s="6">
        <v>68</v>
      </c>
      <c r="B71" s="356">
        <v>45702</v>
      </c>
      <c r="C71" s="137" t="s">
        <v>236</v>
      </c>
      <c r="D71" s="137" t="s">
        <v>136</v>
      </c>
      <c r="E71" s="370" t="s">
        <v>237</v>
      </c>
      <c r="F71" s="19"/>
      <c r="G71" s="19"/>
      <c r="H71" s="53">
        <f t="shared" si="45"/>
        <v>0</v>
      </c>
      <c r="I71" s="19">
        <v>5.85</v>
      </c>
      <c r="J71" s="19">
        <v>103.4</v>
      </c>
      <c r="K71" s="53">
        <f t="shared" si="49"/>
        <v>604.89</v>
      </c>
      <c r="L71" s="53">
        <f>H71+K71</f>
        <v>604.89</v>
      </c>
      <c r="M71" s="19"/>
      <c r="N71" s="174">
        <f t="shared" si="52"/>
        <v>140490.73750000034</v>
      </c>
      <c r="O71" s="19"/>
      <c r="P71" s="19"/>
    </row>
    <row r="72" spans="1:16" hidden="1">
      <c r="A72" s="19">
        <v>69</v>
      </c>
      <c r="B72" s="356">
        <v>45702</v>
      </c>
      <c r="C72" s="137" t="s">
        <v>225</v>
      </c>
      <c r="D72" s="137" t="s">
        <v>238</v>
      </c>
      <c r="E72" s="370" t="s">
        <v>221</v>
      </c>
      <c r="F72" s="19">
        <v>35</v>
      </c>
      <c r="G72" s="19">
        <v>89.33</v>
      </c>
      <c r="H72" s="53">
        <f t="shared" si="45"/>
        <v>3126.5499999999997</v>
      </c>
      <c r="I72" s="19">
        <v>1.19</v>
      </c>
      <c r="J72" s="19">
        <v>103.4</v>
      </c>
      <c r="K72" s="53">
        <f t="shared" si="49"/>
        <v>123.04600000000001</v>
      </c>
      <c r="L72" s="53">
        <f t="shared" si="51"/>
        <v>3249.5959999999995</v>
      </c>
      <c r="M72" s="19"/>
      <c r="N72" s="174">
        <f t="shared" si="52"/>
        <v>137241.14150000035</v>
      </c>
      <c r="O72" s="19"/>
      <c r="P72" s="19"/>
    </row>
    <row r="73" spans="1:16" hidden="1">
      <c r="A73" s="19">
        <v>70</v>
      </c>
      <c r="B73" s="356">
        <v>45702</v>
      </c>
      <c r="C73" s="137" t="s">
        <v>220</v>
      </c>
      <c r="D73" s="137" t="s">
        <v>131</v>
      </c>
      <c r="E73" s="370" t="s">
        <v>221</v>
      </c>
      <c r="F73" s="19">
        <v>50</v>
      </c>
      <c r="G73" s="19">
        <v>89.22</v>
      </c>
      <c r="H73" s="53">
        <f t="shared" si="45"/>
        <v>4461</v>
      </c>
      <c r="I73" s="19"/>
      <c r="J73" s="19">
        <v>103.4</v>
      </c>
      <c r="K73" s="53">
        <f t="shared" ref="K73:K75" si="53">I73*J73</f>
        <v>0</v>
      </c>
      <c r="L73" s="53">
        <f t="shared" ref="L73:L75" si="54">H73+K73</f>
        <v>4461</v>
      </c>
      <c r="M73" s="19"/>
      <c r="N73" s="174">
        <f t="shared" si="52"/>
        <v>132780.14150000035</v>
      </c>
      <c r="O73" s="19"/>
      <c r="P73" s="19"/>
    </row>
    <row r="74" spans="1:16" hidden="1">
      <c r="A74" s="6">
        <v>71</v>
      </c>
      <c r="B74" s="356">
        <v>45702</v>
      </c>
      <c r="C74" s="65" t="s">
        <v>198</v>
      </c>
      <c r="D74" s="65" t="s">
        <v>133</v>
      </c>
      <c r="E74" s="351" t="s">
        <v>199</v>
      </c>
      <c r="F74" s="19">
        <v>78.260000000000005</v>
      </c>
      <c r="G74" s="19">
        <v>89.22</v>
      </c>
      <c r="H74" s="53">
        <f t="shared" si="45"/>
        <v>6982.3572000000004</v>
      </c>
      <c r="I74" s="19"/>
      <c r="J74" s="19">
        <v>103.4</v>
      </c>
      <c r="K74" s="53">
        <f t="shared" si="53"/>
        <v>0</v>
      </c>
      <c r="L74" s="53">
        <f t="shared" si="54"/>
        <v>6982.3572000000004</v>
      </c>
      <c r="M74" s="19"/>
      <c r="N74" s="174">
        <f t="shared" si="52"/>
        <v>125797.78430000035</v>
      </c>
      <c r="O74" s="19"/>
      <c r="P74" s="19"/>
    </row>
    <row r="75" spans="1:16" hidden="1">
      <c r="A75" s="19">
        <v>72</v>
      </c>
      <c r="B75" s="356">
        <v>45702</v>
      </c>
      <c r="C75" s="65" t="s">
        <v>200</v>
      </c>
      <c r="D75" s="65" t="s">
        <v>127</v>
      </c>
      <c r="E75" s="351" t="s">
        <v>201</v>
      </c>
      <c r="F75" s="19">
        <v>35.590000000000003</v>
      </c>
      <c r="G75" s="19">
        <v>89.49</v>
      </c>
      <c r="H75" s="53">
        <f t="shared" si="45"/>
        <v>3184.9491000000003</v>
      </c>
      <c r="I75" s="126">
        <v>9.86</v>
      </c>
      <c r="J75" s="126">
        <v>103.4</v>
      </c>
      <c r="K75" s="360">
        <f t="shared" si="53"/>
        <v>1019.524</v>
      </c>
      <c r="L75" s="360">
        <f t="shared" si="54"/>
        <v>4204.4731000000002</v>
      </c>
      <c r="M75" s="126"/>
      <c r="N75" s="361">
        <f t="shared" si="52"/>
        <v>121593.31120000035</v>
      </c>
      <c r="O75" s="126"/>
      <c r="P75" s="126"/>
    </row>
    <row r="76" spans="1:16" hidden="1">
      <c r="A76" s="19">
        <v>73</v>
      </c>
      <c r="B76" s="356">
        <v>45703</v>
      </c>
      <c r="C76" s="65" t="s">
        <v>195</v>
      </c>
      <c r="D76" s="65" t="s">
        <v>196</v>
      </c>
      <c r="E76" s="351" t="s">
        <v>197</v>
      </c>
      <c r="F76" s="19">
        <v>60</v>
      </c>
      <c r="G76" s="19">
        <v>89.9</v>
      </c>
      <c r="H76" s="381">
        <f t="shared" si="45"/>
        <v>5394</v>
      </c>
      <c r="I76" s="19"/>
      <c r="J76" s="19"/>
      <c r="K76" s="53">
        <f t="shared" ref="K76:K78" si="55">I76*J76</f>
        <v>0</v>
      </c>
      <c r="L76" s="53">
        <f t="shared" ref="L76:L80" si="56">H76+K76</f>
        <v>5394</v>
      </c>
      <c r="M76" s="19">
        <v>500000</v>
      </c>
      <c r="N76" s="174">
        <f t="shared" si="52"/>
        <v>616199.31120000035</v>
      </c>
      <c r="O76" s="19"/>
      <c r="P76" s="19"/>
    </row>
    <row r="77" spans="1:16" hidden="1">
      <c r="A77" s="6">
        <v>74</v>
      </c>
      <c r="B77" s="356">
        <v>45703</v>
      </c>
      <c r="C77" t="s">
        <v>239</v>
      </c>
      <c r="D77" t="s">
        <v>125</v>
      </c>
      <c r="E77" s="379" t="s">
        <v>240</v>
      </c>
      <c r="F77">
        <v>56.09</v>
      </c>
      <c r="G77">
        <v>89.14</v>
      </c>
      <c r="H77" s="381">
        <f t="shared" si="45"/>
        <v>4999.8626000000004</v>
      </c>
      <c r="I77" s="19">
        <v>5</v>
      </c>
      <c r="J77" s="19">
        <v>103.05</v>
      </c>
      <c r="K77" s="53">
        <f t="shared" si="55"/>
        <v>515.25</v>
      </c>
      <c r="L77" s="53">
        <f t="shared" si="56"/>
        <v>5515.1126000000004</v>
      </c>
      <c r="M77" s="19"/>
      <c r="N77" s="174">
        <f t="shared" si="52"/>
        <v>610684.19860000035</v>
      </c>
      <c r="O77" s="19"/>
      <c r="P77" s="19"/>
    </row>
    <row r="78" spans="1:16" hidden="1">
      <c r="A78" s="19">
        <v>75</v>
      </c>
      <c r="B78" s="356">
        <v>45703</v>
      </c>
      <c r="C78" s="137" t="s">
        <v>202</v>
      </c>
      <c r="D78" s="137" t="s">
        <v>203</v>
      </c>
      <c r="E78" s="370" t="s">
        <v>204</v>
      </c>
      <c r="F78">
        <v>149.91999999999999</v>
      </c>
      <c r="G78">
        <v>89.47</v>
      </c>
      <c r="H78" s="381">
        <f t="shared" si="45"/>
        <v>13413.3424</v>
      </c>
      <c r="I78" s="19">
        <v>12</v>
      </c>
      <c r="J78" s="19">
        <v>103.4</v>
      </c>
      <c r="K78" s="53">
        <f t="shared" si="55"/>
        <v>1240.8000000000002</v>
      </c>
      <c r="L78" s="53">
        <f t="shared" si="56"/>
        <v>14654.142400000001</v>
      </c>
      <c r="M78" s="19"/>
      <c r="N78" s="174">
        <f t="shared" si="52"/>
        <v>596030.05620000034</v>
      </c>
      <c r="O78" s="19"/>
      <c r="P78" s="19"/>
    </row>
    <row r="79" spans="1:16" hidden="1">
      <c r="A79" s="19">
        <v>76</v>
      </c>
      <c r="B79" s="356">
        <v>45703</v>
      </c>
      <c r="C79" s="358" t="s">
        <v>205</v>
      </c>
      <c r="D79" s="358" t="s">
        <v>206</v>
      </c>
      <c r="E79" s="380" t="s">
        <v>207</v>
      </c>
      <c r="F79">
        <v>1108.28</v>
      </c>
      <c r="G79">
        <v>90.23</v>
      </c>
      <c r="H79" s="382">
        <f t="shared" si="45"/>
        <v>100000.1044</v>
      </c>
      <c r="I79" s="19"/>
      <c r="J79" s="19"/>
      <c r="K79" s="53">
        <f t="shared" ref="K79:K93" si="57">I79*J79</f>
        <v>0</v>
      </c>
      <c r="L79" s="53">
        <f t="shared" ref="L79:L94" si="58">H79+K79</f>
        <v>100000.1044</v>
      </c>
      <c r="M79" s="19"/>
      <c r="N79" s="174">
        <f t="shared" si="52"/>
        <v>496029.95180000033</v>
      </c>
      <c r="O79" s="19"/>
      <c r="P79" s="19"/>
    </row>
    <row r="80" spans="1:16" hidden="1">
      <c r="A80" s="222">
        <v>77</v>
      </c>
      <c r="B80" s="371">
        <v>45703</v>
      </c>
      <c r="C80" s="251" t="s">
        <v>96</v>
      </c>
      <c r="D80" s="251" t="s">
        <v>241</v>
      </c>
      <c r="E80" s="377" t="s">
        <v>242</v>
      </c>
      <c r="F80" s="126">
        <v>2604.1799999999998</v>
      </c>
      <c r="G80" s="126">
        <v>90.24</v>
      </c>
      <c r="H80" s="360">
        <f t="shared" si="45"/>
        <v>235001.20319999996</v>
      </c>
      <c r="I80" s="365"/>
      <c r="J80" s="365"/>
      <c r="K80" s="383">
        <f t="shared" si="57"/>
        <v>0</v>
      </c>
      <c r="L80" s="383">
        <f t="shared" si="58"/>
        <v>235001.20319999996</v>
      </c>
      <c r="M80" s="365"/>
      <c r="N80" s="384">
        <f t="shared" si="52"/>
        <v>261028.74860000037</v>
      </c>
      <c r="O80" s="365"/>
      <c r="P80" s="365"/>
    </row>
    <row r="81" spans="1:16" hidden="1">
      <c r="A81" s="19">
        <v>78</v>
      </c>
      <c r="B81" s="356">
        <v>45703</v>
      </c>
      <c r="C81" s="137" t="s">
        <v>198</v>
      </c>
      <c r="D81" s="137" t="s">
        <v>133</v>
      </c>
      <c r="E81" s="370" t="s">
        <v>199</v>
      </c>
      <c r="F81" s="19"/>
      <c r="G81" s="19"/>
      <c r="H81" s="53">
        <f t="shared" si="45"/>
        <v>0</v>
      </c>
      <c r="I81" s="19">
        <v>9.68</v>
      </c>
      <c r="J81" s="19">
        <v>103.39</v>
      </c>
      <c r="K81" s="53">
        <f t="shared" si="57"/>
        <v>1000.8152</v>
      </c>
      <c r="L81" s="53">
        <f t="shared" si="58"/>
        <v>1000.8152</v>
      </c>
      <c r="M81" s="19"/>
      <c r="N81" s="174">
        <f t="shared" si="52"/>
        <v>260027.93340000036</v>
      </c>
      <c r="O81" s="19"/>
      <c r="P81" s="19"/>
    </row>
    <row r="82" spans="1:16" hidden="1">
      <c r="A82" s="19">
        <v>79</v>
      </c>
      <c r="B82" s="356">
        <v>45703</v>
      </c>
      <c r="C82" s="137" t="s">
        <v>229</v>
      </c>
      <c r="D82" s="137" t="s">
        <v>230</v>
      </c>
      <c r="E82" s="370" t="s">
        <v>231</v>
      </c>
      <c r="F82" s="19"/>
      <c r="G82" s="19"/>
      <c r="H82" s="53">
        <f t="shared" si="45"/>
        <v>0</v>
      </c>
      <c r="I82" s="19">
        <v>12</v>
      </c>
      <c r="J82" s="19">
        <v>103.76</v>
      </c>
      <c r="K82" s="53">
        <f t="shared" si="57"/>
        <v>1245.1200000000001</v>
      </c>
      <c r="L82" s="53">
        <f t="shared" si="58"/>
        <v>1245.1200000000001</v>
      </c>
      <c r="M82" s="19"/>
      <c r="N82" s="174">
        <f t="shared" si="52"/>
        <v>258782.81340000036</v>
      </c>
      <c r="O82" s="19"/>
      <c r="P82" s="19"/>
    </row>
    <row r="83" spans="1:16" hidden="1">
      <c r="A83" s="6">
        <v>80</v>
      </c>
      <c r="B83" s="356">
        <v>45703</v>
      </c>
      <c r="C83" s="137" t="s">
        <v>222</v>
      </c>
      <c r="D83" s="137" t="s">
        <v>223</v>
      </c>
      <c r="E83" s="370" t="s">
        <v>224</v>
      </c>
      <c r="F83" s="19">
        <v>200</v>
      </c>
      <c r="G83" s="19">
        <v>90.02</v>
      </c>
      <c r="H83" s="53">
        <f t="shared" si="45"/>
        <v>18004</v>
      </c>
      <c r="I83" s="19"/>
      <c r="J83" s="19"/>
      <c r="K83" s="53">
        <f t="shared" si="57"/>
        <v>0</v>
      </c>
      <c r="L83" s="53">
        <f t="shared" si="58"/>
        <v>18004</v>
      </c>
      <c r="M83" s="19"/>
      <c r="N83" s="174">
        <f t="shared" si="52"/>
        <v>240778.81340000036</v>
      </c>
      <c r="O83" s="19"/>
      <c r="P83" s="19"/>
    </row>
    <row r="84" spans="1:16" hidden="1">
      <c r="A84" s="19">
        <v>81</v>
      </c>
      <c r="B84" s="356">
        <v>45704</v>
      </c>
      <c r="C84" s="65" t="s">
        <v>195</v>
      </c>
      <c r="D84" s="65" t="s">
        <v>196</v>
      </c>
      <c r="E84" s="351" t="s">
        <v>197</v>
      </c>
      <c r="F84" s="19">
        <v>60</v>
      </c>
      <c r="G84" s="19">
        <v>89.9</v>
      </c>
      <c r="H84" s="53">
        <f t="shared" si="45"/>
        <v>5394</v>
      </c>
      <c r="I84" s="19">
        <v>6.74</v>
      </c>
      <c r="J84" s="19">
        <v>103.96</v>
      </c>
      <c r="K84" s="53">
        <f t="shared" si="57"/>
        <v>700.69039999999995</v>
      </c>
      <c r="L84" s="53">
        <f t="shared" si="58"/>
        <v>6094.6903999999995</v>
      </c>
      <c r="M84" s="19"/>
      <c r="N84" s="174">
        <f t="shared" si="52"/>
        <v>234684.12300000037</v>
      </c>
      <c r="O84" s="19"/>
      <c r="P84" s="19"/>
    </row>
    <row r="85" spans="1:16" hidden="1">
      <c r="A85" s="19">
        <v>82</v>
      </c>
      <c r="B85" s="356">
        <v>45704</v>
      </c>
      <c r="C85" s="137" t="s">
        <v>236</v>
      </c>
      <c r="D85" s="137" t="s">
        <v>136</v>
      </c>
      <c r="E85" s="370" t="s">
        <v>237</v>
      </c>
      <c r="F85" s="19"/>
      <c r="G85" s="19"/>
      <c r="H85" s="53">
        <f t="shared" si="45"/>
        <v>0</v>
      </c>
      <c r="I85" s="19">
        <v>9.15</v>
      </c>
      <c r="J85" s="19">
        <v>102.46</v>
      </c>
      <c r="K85" s="53">
        <f t="shared" si="57"/>
        <v>937.50900000000001</v>
      </c>
      <c r="L85" s="53">
        <f t="shared" si="58"/>
        <v>937.50900000000001</v>
      </c>
      <c r="M85" s="19"/>
      <c r="N85" s="174">
        <f t="shared" si="52"/>
        <v>233746.61400000038</v>
      </c>
      <c r="O85" s="19"/>
      <c r="P85" s="19"/>
    </row>
    <row r="86" spans="1:16" hidden="1">
      <c r="A86" s="6">
        <v>83</v>
      </c>
      <c r="B86" s="356">
        <v>45704</v>
      </c>
      <c r="C86" s="137" t="s">
        <v>225</v>
      </c>
      <c r="D86" s="137" t="s">
        <v>238</v>
      </c>
      <c r="E86" s="370" t="s">
        <v>221</v>
      </c>
      <c r="F86" s="19">
        <v>84</v>
      </c>
      <c r="G86" s="19">
        <v>89.33</v>
      </c>
      <c r="H86" s="53">
        <f t="shared" si="45"/>
        <v>7503.72</v>
      </c>
      <c r="I86" s="19"/>
      <c r="J86" s="19"/>
      <c r="K86" s="53">
        <f t="shared" si="57"/>
        <v>0</v>
      </c>
      <c r="L86" s="53">
        <f t="shared" si="58"/>
        <v>7503.72</v>
      </c>
      <c r="M86" s="19"/>
      <c r="N86" s="174">
        <f t="shared" si="52"/>
        <v>226242.89400000038</v>
      </c>
      <c r="O86" s="19"/>
      <c r="P86" s="19"/>
    </row>
    <row r="87" spans="1:16" hidden="1">
      <c r="A87" s="19">
        <v>84</v>
      </c>
      <c r="B87" s="356">
        <v>45704</v>
      </c>
      <c r="C87" s="137" t="s">
        <v>198</v>
      </c>
      <c r="D87" s="137" t="s">
        <v>133</v>
      </c>
      <c r="E87" s="370" t="s">
        <v>199</v>
      </c>
      <c r="F87" s="19">
        <v>78.27</v>
      </c>
      <c r="G87" s="19">
        <v>89.44</v>
      </c>
      <c r="H87" s="53">
        <f t="shared" si="45"/>
        <v>7000.4687999999996</v>
      </c>
      <c r="I87" s="19"/>
      <c r="J87" s="19"/>
      <c r="K87" s="53">
        <f t="shared" si="57"/>
        <v>0</v>
      </c>
      <c r="L87" s="53">
        <f t="shared" si="58"/>
        <v>7000.4687999999996</v>
      </c>
      <c r="M87" s="19"/>
      <c r="N87" s="174">
        <f t="shared" si="52"/>
        <v>219242.42520000038</v>
      </c>
      <c r="O87" s="19"/>
      <c r="P87" s="19"/>
    </row>
    <row r="88" spans="1:16" hidden="1">
      <c r="A88" s="19">
        <v>85</v>
      </c>
      <c r="B88" s="356">
        <v>45704</v>
      </c>
      <c r="C88" s="65" t="s">
        <v>200</v>
      </c>
      <c r="D88" s="65" t="s">
        <v>127</v>
      </c>
      <c r="E88" s="351" t="s">
        <v>201</v>
      </c>
      <c r="F88" s="19">
        <v>22.35</v>
      </c>
      <c r="G88" s="19">
        <v>89.49</v>
      </c>
      <c r="H88" s="53">
        <f t="shared" si="45"/>
        <v>2000.1015</v>
      </c>
      <c r="I88" s="19"/>
      <c r="J88" s="19"/>
      <c r="K88" s="53">
        <f t="shared" si="57"/>
        <v>0</v>
      </c>
      <c r="L88" s="53">
        <f t="shared" si="58"/>
        <v>2000.1015</v>
      </c>
      <c r="M88" s="19"/>
      <c r="N88" s="174">
        <f t="shared" si="52"/>
        <v>217242.32370000039</v>
      </c>
      <c r="O88" s="19"/>
      <c r="P88" s="19"/>
    </row>
    <row r="89" spans="1:16" hidden="1">
      <c r="A89" s="222">
        <v>86</v>
      </c>
      <c r="B89" s="371">
        <v>45704</v>
      </c>
      <c r="C89" s="251" t="s">
        <v>222</v>
      </c>
      <c r="D89" s="251" t="s">
        <v>223</v>
      </c>
      <c r="E89" s="377" t="s">
        <v>224</v>
      </c>
      <c r="F89" s="126">
        <v>200</v>
      </c>
      <c r="G89" s="126">
        <v>90.02</v>
      </c>
      <c r="H89" s="360">
        <f t="shared" si="45"/>
        <v>18004</v>
      </c>
      <c r="I89" s="126"/>
      <c r="J89" s="126"/>
      <c r="K89" s="360">
        <f t="shared" si="57"/>
        <v>0</v>
      </c>
      <c r="L89" s="360">
        <f t="shared" si="58"/>
        <v>18004</v>
      </c>
      <c r="M89" s="126"/>
      <c r="N89" s="361">
        <f t="shared" si="52"/>
        <v>199238.32370000039</v>
      </c>
      <c r="O89" s="126"/>
      <c r="P89" s="126"/>
    </row>
    <row r="90" spans="1:16" hidden="1">
      <c r="A90" s="19">
        <v>87</v>
      </c>
      <c r="B90" s="356">
        <v>45705</v>
      </c>
      <c r="C90" s="19" t="s">
        <v>239</v>
      </c>
      <c r="D90" s="137" t="s">
        <v>125</v>
      </c>
      <c r="E90" s="369" t="s">
        <v>240</v>
      </c>
      <c r="F90" s="19">
        <v>78.53</v>
      </c>
      <c r="G90" s="19">
        <v>89.14</v>
      </c>
      <c r="H90" s="53">
        <f t="shared" si="45"/>
        <v>7000.1642000000002</v>
      </c>
      <c r="I90" s="19"/>
      <c r="J90" s="19"/>
      <c r="K90" s="53">
        <f t="shared" si="57"/>
        <v>0</v>
      </c>
      <c r="L90" s="53">
        <f t="shared" si="58"/>
        <v>7000.1642000000002</v>
      </c>
      <c r="M90" s="19"/>
      <c r="N90" s="174">
        <f t="shared" si="52"/>
        <v>192238.15950000039</v>
      </c>
      <c r="O90" s="19"/>
      <c r="P90" s="19"/>
    </row>
    <row r="91" spans="1:16" hidden="1">
      <c r="A91" s="19">
        <v>88</v>
      </c>
      <c r="B91" s="356">
        <v>45705</v>
      </c>
      <c r="C91" s="137" t="s">
        <v>202</v>
      </c>
      <c r="D91" s="137" t="s">
        <v>203</v>
      </c>
      <c r="E91" s="370" t="s">
        <v>204</v>
      </c>
      <c r="F91" s="19">
        <v>100.89</v>
      </c>
      <c r="G91" s="19">
        <v>89.47</v>
      </c>
      <c r="H91" s="53">
        <f t="shared" si="45"/>
        <v>9026.6283000000003</v>
      </c>
      <c r="I91" s="19">
        <v>12</v>
      </c>
      <c r="J91" s="19">
        <v>103.4</v>
      </c>
      <c r="K91" s="53">
        <f t="shared" si="57"/>
        <v>1240.8000000000002</v>
      </c>
      <c r="L91" s="53">
        <f t="shared" si="58"/>
        <v>10267.4283</v>
      </c>
      <c r="M91" s="19"/>
      <c r="N91" s="174">
        <f t="shared" si="52"/>
        <v>181970.73120000039</v>
      </c>
      <c r="O91" s="19"/>
      <c r="P91" s="19"/>
    </row>
    <row r="92" spans="1:16" hidden="1">
      <c r="A92" s="6">
        <v>89</v>
      </c>
      <c r="B92" s="356">
        <v>45705</v>
      </c>
      <c r="C92" s="137" t="s">
        <v>211</v>
      </c>
      <c r="D92" s="137" t="s">
        <v>243</v>
      </c>
      <c r="E92" s="370" t="s">
        <v>213</v>
      </c>
      <c r="F92" s="19">
        <v>290</v>
      </c>
      <c r="G92" s="19">
        <v>90.23</v>
      </c>
      <c r="H92" s="53">
        <f t="shared" si="45"/>
        <v>26166.7</v>
      </c>
      <c r="I92" s="19">
        <v>35</v>
      </c>
      <c r="J92" s="19">
        <v>104.13</v>
      </c>
      <c r="K92" s="53">
        <f t="shared" si="57"/>
        <v>3644.5499999999997</v>
      </c>
      <c r="L92" s="53">
        <f t="shared" si="58"/>
        <v>29811.25</v>
      </c>
      <c r="M92" s="19"/>
      <c r="N92" s="174">
        <f t="shared" si="52"/>
        <v>152159.48120000039</v>
      </c>
      <c r="O92" s="19"/>
      <c r="P92" s="19"/>
    </row>
    <row r="93" spans="1:16" hidden="1">
      <c r="A93" s="19">
        <v>90</v>
      </c>
      <c r="B93" s="356">
        <v>45705</v>
      </c>
      <c r="C93" s="137" t="s">
        <v>225</v>
      </c>
      <c r="D93" s="137" t="s">
        <v>238</v>
      </c>
      <c r="E93" s="370" t="s">
        <v>221</v>
      </c>
      <c r="F93" s="19">
        <v>75</v>
      </c>
      <c r="G93" s="19">
        <v>89.33</v>
      </c>
      <c r="H93" s="53">
        <f t="shared" si="45"/>
        <v>6699.75</v>
      </c>
      <c r="I93" s="19">
        <v>4.84</v>
      </c>
      <c r="J93" s="19">
        <v>103.26</v>
      </c>
      <c r="K93" s="53">
        <f t="shared" si="57"/>
        <v>499.77840000000003</v>
      </c>
      <c r="L93" s="53">
        <f t="shared" si="58"/>
        <v>7199.5284000000001</v>
      </c>
      <c r="M93" s="19"/>
      <c r="N93" s="174">
        <f t="shared" si="52"/>
        <v>144959.95280000038</v>
      </c>
      <c r="O93" s="19"/>
      <c r="P93" s="19"/>
    </row>
    <row r="94" spans="1:16" hidden="1">
      <c r="A94" s="19">
        <v>91</v>
      </c>
      <c r="B94" s="356">
        <v>45705</v>
      </c>
      <c r="C94" s="137" t="s">
        <v>220</v>
      </c>
      <c r="D94" s="137" t="s">
        <v>131</v>
      </c>
      <c r="E94" s="370" t="s">
        <v>221</v>
      </c>
      <c r="F94" s="19">
        <v>80</v>
      </c>
      <c r="G94" s="19">
        <v>89.22</v>
      </c>
      <c r="H94" s="53">
        <f t="shared" si="45"/>
        <v>7137.6</v>
      </c>
      <c r="I94" s="19"/>
      <c r="J94" s="19"/>
      <c r="K94" s="53">
        <f t="shared" ref="K94:K95" si="59">I94*J94</f>
        <v>0</v>
      </c>
      <c r="L94" s="53">
        <f t="shared" ref="L94:L95" si="60">H94+K94</f>
        <v>7137.6</v>
      </c>
      <c r="M94" s="19"/>
      <c r="N94" s="174">
        <f t="shared" si="52"/>
        <v>137822.35280000037</v>
      </c>
      <c r="O94" s="19"/>
      <c r="P94" s="19"/>
    </row>
    <row r="95" spans="1:16" hidden="1">
      <c r="A95" s="6">
        <v>92</v>
      </c>
      <c r="B95" s="356">
        <v>45705</v>
      </c>
      <c r="C95" s="65" t="s">
        <v>200</v>
      </c>
      <c r="D95" s="65" t="s">
        <v>127</v>
      </c>
      <c r="E95" s="351" t="s">
        <v>201</v>
      </c>
      <c r="F95" s="19"/>
      <c r="G95" s="19"/>
      <c r="H95" s="53">
        <f t="shared" si="45"/>
        <v>0</v>
      </c>
      <c r="I95" s="19">
        <v>4.83</v>
      </c>
      <c r="J95" s="19">
        <v>103.44</v>
      </c>
      <c r="K95" s="53">
        <f t="shared" si="59"/>
        <v>499.61520000000002</v>
      </c>
      <c r="L95" s="53">
        <f t="shared" si="60"/>
        <v>499.61520000000002</v>
      </c>
      <c r="M95" s="19"/>
      <c r="N95" s="174">
        <f t="shared" si="52"/>
        <v>137322.73760000037</v>
      </c>
      <c r="O95" s="19"/>
      <c r="P95" s="19"/>
    </row>
    <row r="96" spans="1:16" hidden="1">
      <c r="A96" s="19">
        <v>93</v>
      </c>
      <c r="B96" s="356">
        <v>45705</v>
      </c>
      <c r="C96" s="137" t="s">
        <v>229</v>
      </c>
      <c r="D96" s="137" t="s">
        <v>230</v>
      </c>
      <c r="E96" s="370" t="s">
        <v>231</v>
      </c>
      <c r="F96" s="19">
        <v>40</v>
      </c>
      <c r="G96" s="19">
        <v>89.78</v>
      </c>
      <c r="H96" s="53">
        <f t="shared" si="45"/>
        <v>3591.2</v>
      </c>
      <c r="I96" s="19"/>
      <c r="J96" s="19"/>
      <c r="K96" s="53">
        <f t="shared" ref="K96:K97" si="61">I96*J96</f>
        <v>0</v>
      </c>
      <c r="L96" s="53">
        <f t="shared" ref="L96:L99" si="62">H96+K96</f>
        <v>3591.2</v>
      </c>
      <c r="M96" s="19"/>
      <c r="N96" s="174">
        <f t="shared" si="52"/>
        <v>133731.53760000036</v>
      </c>
      <c r="O96" s="19"/>
      <c r="P96" s="19"/>
    </row>
    <row r="97" spans="1:16" hidden="1">
      <c r="A97" s="126">
        <v>94</v>
      </c>
      <c r="B97" s="371">
        <v>45705</v>
      </c>
      <c r="C97" s="251" t="s">
        <v>232</v>
      </c>
      <c r="D97" s="251" t="s">
        <v>233</v>
      </c>
      <c r="E97" s="377" t="s">
        <v>224</v>
      </c>
      <c r="F97" s="126">
        <v>100</v>
      </c>
      <c r="G97" s="126">
        <v>90.23</v>
      </c>
      <c r="H97" s="360">
        <f t="shared" si="45"/>
        <v>9023</v>
      </c>
      <c r="I97" s="126">
        <v>6</v>
      </c>
      <c r="J97" s="126">
        <v>104.14</v>
      </c>
      <c r="K97" s="360">
        <f t="shared" si="61"/>
        <v>624.84</v>
      </c>
      <c r="L97" s="360">
        <f t="shared" si="62"/>
        <v>9647.84</v>
      </c>
      <c r="M97" s="126"/>
      <c r="N97" s="361">
        <f t="shared" si="52"/>
        <v>124083.69760000036</v>
      </c>
      <c r="O97" s="126"/>
      <c r="P97" s="126"/>
    </row>
    <row r="98" spans="1:16">
      <c r="A98" s="6">
        <v>95</v>
      </c>
      <c r="B98" s="356">
        <v>45705</v>
      </c>
      <c r="C98" s="19" t="s">
        <v>244</v>
      </c>
      <c r="D98" s="19" t="s">
        <v>245</v>
      </c>
      <c r="E98" s="369" t="s">
        <v>246</v>
      </c>
      <c r="F98" s="19">
        <v>51.89</v>
      </c>
      <c r="G98" s="19">
        <v>96.36</v>
      </c>
      <c r="H98" s="53">
        <f t="shared" si="45"/>
        <v>5000.1203999999998</v>
      </c>
      <c r="I98" s="19"/>
      <c r="J98" s="19"/>
      <c r="K98" s="53">
        <f t="shared" ref="K98:K128" si="63">I98*J98</f>
        <v>0</v>
      </c>
      <c r="L98" s="53">
        <f t="shared" ref="L98:L112" si="64">H98+K98</f>
        <v>5000.1203999999998</v>
      </c>
      <c r="M98" s="19"/>
      <c r="N98" s="174">
        <f t="shared" si="52"/>
        <v>119083.57720000036</v>
      </c>
      <c r="O98" s="19"/>
      <c r="P98" s="19"/>
    </row>
    <row r="99" spans="1:16" hidden="1">
      <c r="A99" s="19">
        <v>96</v>
      </c>
      <c r="B99" s="356">
        <v>45706</v>
      </c>
      <c r="C99" s="65" t="s">
        <v>195</v>
      </c>
      <c r="D99" s="65" t="s">
        <v>196</v>
      </c>
      <c r="E99" s="351" t="s">
        <v>197</v>
      </c>
      <c r="F99" s="19">
        <v>60</v>
      </c>
      <c r="G99" s="19">
        <v>89.9</v>
      </c>
      <c r="H99" s="53">
        <f t="shared" si="45"/>
        <v>5394</v>
      </c>
      <c r="I99" s="19"/>
      <c r="J99" s="19"/>
      <c r="K99" s="53">
        <f t="shared" si="63"/>
        <v>0</v>
      </c>
      <c r="L99" s="53">
        <f t="shared" si="64"/>
        <v>5394</v>
      </c>
      <c r="M99" s="19">
        <v>1800000</v>
      </c>
      <c r="N99" s="174">
        <f t="shared" si="52"/>
        <v>1913689.5772000004</v>
      </c>
      <c r="O99" s="19"/>
      <c r="P99" s="19"/>
    </row>
    <row r="100" spans="1:16" hidden="1">
      <c r="A100" s="19">
        <v>97</v>
      </c>
      <c r="B100" s="356">
        <v>45706</v>
      </c>
      <c r="C100" s="19" t="s">
        <v>239</v>
      </c>
      <c r="D100" s="137" t="s">
        <v>125</v>
      </c>
      <c r="E100" s="369" t="s">
        <v>240</v>
      </c>
      <c r="F100" s="19"/>
      <c r="G100" s="19"/>
      <c r="H100" s="53">
        <f t="shared" si="45"/>
        <v>0</v>
      </c>
      <c r="I100" s="19">
        <v>5</v>
      </c>
      <c r="J100" s="19">
        <v>103.5</v>
      </c>
      <c r="K100" s="53">
        <f t="shared" si="63"/>
        <v>517.5</v>
      </c>
      <c r="L100" s="53">
        <f t="shared" si="64"/>
        <v>517.5</v>
      </c>
      <c r="M100" s="19"/>
      <c r="N100" s="174">
        <f t="shared" si="52"/>
        <v>1913172.0772000004</v>
      </c>
      <c r="O100" s="19"/>
      <c r="P100" s="19"/>
    </row>
    <row r="101" spans="1:16" hidden="1">
      <c r="A101" s="6">
        <v>98</v>
      </c>
      <c r="B101" s="356">
        <v>45706</v>
      </c>
      <c r="C101" s="137" t="s">
        <v>217</v>
      </c>
      <c r="D101" s="137" t="s">
        <v>218</v>
      </c>
      <c r="E101" s="370" t="s">
        <v>219</v>
      </c>
      <c r="F101" s="19">
        <v>2620</v>
      </c>
      <c r="G101" s="19">
        <v>89.29</v>
      </c>
      <c r="H101" s="53">
        <f t="shared" si="45"/>
        <v>233939.80000000002</v>
      </c>
      <c r="I101" s="19">
        <v>155</v>
      </c>
      <c r="J101" s="19">
        <v>103.24</v>
      </c>
      <c r="K101" s="53">
        <f t="shared" si="63"/>
        <v>16002.199999999999</v>
      </c>
      <c r="L101" s="53">
        <f t="shared" si="64"/>
        <v>249942.00000000003</v>
      </c>
      <c r="M101" s="19"/>
      <c r="N101" s="174">
        <f t="shared" si="52"/>
        <v>1663230.0772000004</v>
      </c>
      <c r="O101" s="19"/>
      <c r="P101" s="19"/>
    </row>
    <row r="102" spans="1:16" hidden="1">
      <c r="A102" s="19">
        <v>99</v>
      </c>
      <c r="B102" s="356">
        <v>45706</v>
      </c>
      <c r="C102" s="137" t="s">
        <v>211</v>
      </c>
      <c r="D102" s="137" t="s">
        <v>243</v>
      </c>
      <c r="E102" s="370" t="s">
        <v>213</v>
      </c>
      <c r="F102" s="19">
        <v>330</v>
      </c>
      <c r="G102" s="19">
        <v>90.23</v>
      </c>
      <c r="H102" s="53">
        <f t="shared" si="45"/>
        <v>29775.9</v>
      </c>
      <c r="I102" s="19"/>
      <c r="J102" s="19"/>
      <c r="K102" s="53">
        <f t="shared" si="63"/>
        <v>0</v>
      </c>
      <c r="L102" s="53">
        <f t="shared" si="64"/>
        <v>29775.9</v>
      </c>
      <c r="M102" s="19"/>
      <c r="N102" s="174">
        <f t="shared" si="52"/>
        <v>1633454.1772000005</v>
      </c>
      <c r="O102" s="19"/>
      <c r="P102" s="19"/>
    </row>
    <row r="103" spans="1:16" hidden="1">
      <c r="A103" s="19">
        <v>100</v>
      </c>
      <c r="B103" s="356">
        <v>45706</v>
      </c>
      <c r="C103" s="19" t="s">
        <v>208</v>
      </c>
      <c r="D103" s="19" t="s">
        <v>209</v>
      </c>
      <c r="E103" s="369" t="s">
        <v>210</v>
      </c>
      <c r="F103" s="19">
        <v>2784.58</v>
      </c>
      <c r="G103" s="19">
        <v>89.78</v>
      </c>
      <c r="H103" s="53">
        <f t="shared" si="45"/>
        <v>249999.59239999999</v>
      </c>
      <c r="I103" s="19"/>
      <c r="J103" s="19"/>
      <c r="K103" s="53">
        <f t="shared" si="63"/>
        <v>0</v>
      </c>
      <c r="L103" s="53">
        <f t="shared" si="64"/>
        <v>249999.59239999999</v>
      </c>
      <c r="M103" s="19"/>
      <c r="N103" s="174">
        <f t="shared" si="52"/>
        <v>1383454.5848000005</v>
      </c>
      <c r="O103" s="19"/>
      <c r="P103" s="19"/>
    </row>
    <row r="104" spans="1:16" hidden="1">
      <c r="A104" s="6">
        <v>101</v>
      </c>
      <c r="B104" s="356">
        <v>45706</v>
      </c>
      <c r="C104" s="137" t="s">
        <v>225</v>
      </c>
      <c r="D104" s="137" t="s">
        <v>238</v>
      </c>
      <c r="E104" s="370" t="s">
        <v>221</v>
      </c>
      <c r="F104" s="19">
        <v>70</v>
      </c>
      <c r="G104" s="19">
        <v>89.33</v>
      </c>
      <c r="H104" s="53">
        <f t="shared" si="45"/>
        <v>6253.0999999999995</v>
      </c>
      <c r="I104" s="19"/>
      <c r="J104" s="19"/>
      <c r="K104" s="53">
        <f t="shared" si="63"/>
        <v>0</v>
      </c>
      <c r="L104" s="53">
        <f t="shared" si="64"/>
        <v>6253.0999999999995</v>
      </c>
      <c r="M104" s="19"/>
      <c r="N104" s="174">
        <f t="shared" si="52"/>
        <v>1377201.4848000004</v>
      </c>
      <c r="O104" s="19"/>
      <c r="P104" s="19"/>
    </row>
    <row r="105" spans="1:16" hidden="1">
      <c r="A105" s="19">
        <v>102</v>
      </c>
      <c r="B105" s="356">
        <v>45706</v>
      </c>
      <c r="C105" s="137" t="s">
        <v>220</v>
      </c>
      <c r="D105" s="137" t="s">
        <v>131</v>
      </c>
      <c r="E105" s="370" t="s">
        <v>221</v>
      </c>
      <c r="F105" s="19">
        <v>50</v>
      </c>
      <c r="G105" s="19">
        <v>89.22</v>
      </c>
      <c r="H105" s="53">
        <f t="shared" si="45"/>
        <v>4461</v>
      </c>
      <c r="I105" s="19"/>
      <c r="J105" s="19"/>
      <c r="K105" s="53">
        <f t="shared" si="63"/>
        <v>0</v>
      </c>
      <c r="L105" s="53">
        <f t="shared" si="64"/>
        <v>4461</v>
      </c>
      <c r="M105" s="19"/>
      <c r="N105" s="174">
        <f t="shared" si="52"/>
        <v>1372740.4848000004</v>
      </c>
      <c r="O105" s="19"/>
      <c r="P105" s="19"/>
    </row>
    <row r="106" spans="1:16" hidden="1">
      <c r="A106" s="19">
        <v>103</v>
      </c>
      <c r="B106" s="356">
        <v>45706</v>
      </c>
      <c r="C106" s="137" t="s">
        <v>198</v>
      </c>
      <c r="D106" s="137" t="s">
        <v>133</v>
      </c>
      <c r="E106" s="370" t="s">
        <v>199</v>
      </c>
      <c r="F106" s="19">
        <v>44.72</v>
      </c>
      <c r="G106" s="19">
        <v>89.44</v>
      </c>
      <c r="H106" s="53">
        <f t="shared" si="45"/>
        <v>3999.7567999999997</v>
      </c>
      <c r="I106" s="19"/>
      <c r="J106" s="19"/>
      <c r="K106" s="53">
        <f t="shared" si="63"/>
        <v>0</v>
      </c>
      <c r="L106" s="53">
        <f t="shared" si="64"/>
        <v>3999.7567999999997</v>
      </c>
      <c r="M106" s="19"/>
      <c r="N106" s="174">
        <f t="shared" si="52"/>
        <v>1368740.7280000004</v>
      </c>
      <c r="O106" s="19"/>
      <c r="P106" s="19"/>
    </row>
    <row r="107" spans="1:16" hidden="1">
      <c r="A107" s="6">
        <v>104</v>
      </c>
      <c r="B107" s="356">
        <v>45706</v>
      </c>
      <c r="C107" s="65" t="s">
        <v>200</v>
      </c>
      <c r="D107" s="65" t="s">
        <v>127</v>
      </c>
      <c r="E107" s="351" t="s">
        <v>201</v>
      </c>
      <c r="F107" s="19">
        <v>51.99</v>
      </c>
      <c r="G107" s="19">
        <v>89.49</v>
      </c>
      <c r="H107" s="53">
        <f t="shared" si="45"/>
        <v>4652.5851000000002</v>
      </c>
      <c r="I107" s="19"/>
      <c r="J107" s="19"/>
      <c r="K107" s="53">
        <f t="shared" si="63"/>
        <v>0</v>
      </c>
      <c r="L107" s="53">
        <f t="shared" si="64"/>
        <v>4652.5851000000002</v>
      </c>
      <c r="M107" s="19"/>
      <c r="N107" s="174">
        <f t="shared" si="52"/>
        <v>1364088.1429000003</v>
      </c>
      <c r="O107" s="19"/>
      <c r="P107" s="19"/>
    </row>
    <row r="108" spans="1:16" hidden="1">
      <c r="A108" s="19">
        <v>105</v>
      </c>
      <c r="B108" s="356">
        <v>45706</v>
      </c>
      <c r="C108" s="137" t="s">
        <v>229</v>
      </c>
      <c r="D108" s="137" t="s">
        <v>230</v>
      </c>
      <c r="E108" s="370" t="s">
        <v>231</v>
      </c>
      <c r="F108" s="19">
        <v>55</v>
      </c>
      <c r="G108" s="19">
        <v>89.78</v>
      </c>
      <c r="H108" s="53">
        <f t="shared" si="45"/>
        <v>4937.8999999999996</v>
      </c>
      <c r="I108" s="19"/>
      <c r="J108" s="19"/>
      <c r="K108" s="53">
        <f t="shared" si="63"/>
        <v>0</v>
      </c>
      <c r="L108" s="53">
        <f t="shared" si="64"/>
        <v>4937.8999999999996</v>
      </c>
      <c r="M108" s="19"/>
      <c r="N108" s="174">
        <f t="shared" si="52"/>
        <v>1359150.2429000004</v>
      </c>
      <c r="O108" s="19"/>
      <c r="P108" s="19"/>
    </row>
    <row r="109" spans="1:16" hidden="1">
      <c r="A109" s="126">
        <v>106</v>
      </c>
      <c r="B109" s="371">
        <v>45706</v>
      </c>
      <c r="C109" s="251" t="s">
        <v>222</v>
      </c>
      <c r="D109" s="251" t="s">
        <v>223</v>
      </c>
      <c r="E109" s="377" t="s">
        <v>224</v>
      </c>
      <c r="F109" s="126">
        <v>245.15</v>
      </c>
      <c r="G109" s="126">
        <v>90.02</v>
      </c>
      <c r="H109" s="360">
        <f t="shared" si="45"/>
        <v>22068.402999999998</v>
      </c>
      <c r="I109" s="126"/>
      <c r="J109" s="126"/>
      <c r="K109" s="360">
        <f t="shared" si="63"/>
        <v>0</v>
      </c>
      <c r="L109" s="360">
        <f t="shared" si="64"/>
        <v>22068.402999999998</v>
      </c>
      <c r="M109" s="126"/>
      <c r="N109" s="361">
        <f t="shared" si="52"/>
        <v>1337081.8399000005</v>
      </c>
      <c r="O109" s="126"/>
      <c r="P109" s="126"/>
    </row>
    <row r="110" spans="1:16">
      <c r="A110" s="6">
        <v>107</v>
      </c>
      <c r="B110" s="356">
        <v>45706</v>
      </c>
      <c r="C110" s="19" t="s">
        <v>244</v>
      </c>
      <c r="D110" s="19" t="s">
        <v>245</v>
      </c>
      <c r="E110" s="369" t="s">
        <v>246</v>
      </c>
      <c r="F110" s="19">
        <v>10.38</v>
      </c>
      <c r="G110" s="19">
        <v>96.36</v>
      </c>
      <c r="H110" s="53">
        <f t="shared" si="45"/>
        <v>1000.2168</v>
      </c>
      <c r="I110" s="19"/>
      <c r="J110" s="19"/>
      <c r="K110" s="53">
        <f t="shared" si="63"/>
        <v>0</v>
      </c>
      <c r="L110" s="53">
        <f t="shared" si="64"/>
        <v>1000.2168</v>
      </c>
      <c r="M110" s="19"/>
      <c r="N110" s="174">
        <f t="shared" si="52"/>
        <v>1336081.6231000004</v>
      </c>
      <c r="O110" s="19"/>
      <c r="P110" s="19"/>
    </row>
    <row r="111" spans="1:16" hidden="1">
      <c r="A111" s="19">
        <v>108</v>
      </c>
      <c r="B111" s="356">
        <v>45707</v>
      </c>
      <c r="C111" s="137" t="s">
        <v>239</v>
      </c>
      <c r="D111" s="137" t="s">
        <v>125</v>
      </c>
      <c r="E111" s="370" t="s">
        <v>240</v>
      </c>
      <c r="F111" s="19">
        <v>61.92</v>
      </c>
      <c r="G111" s="19">
        <v>89.14</v>
      </c>
      <c r="H111" s="53">
        <f t="shared" si="45"/>
        <v>5519.5488000000005</v>
      </c>
      <c r="I111" s="19">
        <v>14.56</v>
      </c>
      <c r="J111" s="19">
        <v>103.5</v>
      </c>
      <c r="K111" s="53">
        <f t="shared" si="63"/>
        <v>1506.96</v>
      </c>
      <c r="L111" s="53">
        <f t="shared" si="64"/>
        <v>7026.5088000000005</v>
      </c>
      <c r="M111" s="19"/>
      <c r="N111" s="174">
        <f t="shared" si="52"/>
        <v>1329055.1143000005</v>
      </c>
      <c r="O111" s="19"/>
      <c r="P111" s="19"/>
    </row>
    <row r="112" spans="1:16" hidden="1">
      <c r="A112" s="19">
        <v>109</v>
      </c>
      <c r="B112" s="356">
        <v>45707</v>
      </c>
      <c r="C112" s="137" t="s">
        <v>214</v>
      </c>
      <c r="D112" s="137" t="s">
        <v>215</v>
      </c>
      <c r="E112" s="370" t="s">
        <v>216</v>
      </c>
      <c r="F112" s="19">
        <v>78.06</v>
      </c>
      <c r="G112" s="19">
        <v>91.47</v>
      </c>
      <c r="H112" s="53">
        <f t="shared" si="45"/>
        <v>7140.1482000000005</v>
      </c>
      <c r="I112" s="19"/>
      <c r="J112" s="19"/>
      <c r="K112" s="53">
        <f t="shared" si="63"/>
        <v>0</v>
      </c>
      <c r="L112" s="53">
        <f t="shared" si="64"/>
        <v>7140.1482000000005</v>
      </c>
      <c r="M112" s="19"/>
      <c r="N112" s="174">
        <f t="shared" si="52"/>
        <v>1321914.9661000005</v>
      </c>
      <c r="O112" s="19"/>
      <c r="P112" s="19"/>
    </row>
    <row r="113" spans="1:16" hidden="1">
      <c r="A113" s="6">
        <v>110</v>
      </c>
      <c r="B113" s="356">
        <v>45707</v>
      </c>
      <c r="C113" s="137" t="s">
        <v>225</v>
      </c>
      <c r="D113" s="137" t="s">
        <v>238</v>
      </c>
      <c r="E113" s="370" t="s">
        <v>221</v>
      </c>
      <c r="F113" s="19">
        <v>159.66999999999999</v>
      </c>
      <c r="G113" s="19">
        <v>89.33</v>
      </c>
      <c r="H113" s="53">
        <f t="shared" si="45"/>
        <v>14263.321099999999</v>
      </c>
      <c r="I113" s="19"/>
      <c r="J113" s="19"/>
      <c r="K113" s="53">
        <f t="shared" si="63"/>
        <v>0</v>
      </c>
      <c r="L113" s="53">
        <f t="shared" ref="L113:L129" si="65">H113+K113</f>
        <v>14263.321099999999</v>
      </c>
      <c r="M113" s="19"/>
      <c r="N113" s="174">
        <f t="shared" ref="N113:N143" si="66">N112+M113-L113</f>
        <v>1307651.6450000005</v>
      </c>
      <c r="O113" s="19"/>
      <c r="P113" s="19"/>
    </row>
    <row r="114" spans="1:16" hidden="1">
      <c r="A114" s="19">
        <v>111</v>
      </c>
      <c r="B114" s="356">
        <v>45707</v>
      </c>
      <c r="C114" s="137" t="s">
        <v>220</v>
      </c>
      <c r="D114" s="137" t="s">
        <v>131</v>
      </c>
      <c r="E114" s="370" t="s">
        <v>221</v>
      </c>
      <c r="F114" s="19">
        <v>30</v>
      </c>
      <c r="G114" s="19">
        <v>89.22</v>
      </c>
      <c r="H114" s="53">
        <f t="shared" si="45"/>
        <v>2676.6</v>
      </c>
      <c r="I114" s="19"/>
      <c r="J114" s="19"/>
      <c r="K114" s="53">
        <f t="shared" si="63"/>
        <v>0</v>
      </c>
      <c r="L114" s="53">
        <f t="shared" si="65"/>
        <v>2676.6</v>
      </c>
      <c r="M114" s="19"/>
      <c r="N114" s="174">
        <f t="shared" si="66"/>
        <v>1304975.0450000004</v>
      </c>
      <c r="O114" s="19"/>
      <c r="P114" s="19"/>
    </row>
    <row r="115" spans="1:16" hidden="1">
      <c r="A115" s="19">
        <v>112</v>
      </c>
      <c r="B115" s="356">
        <v>45707</v>
      </c>
      <c r="C115" s="19" t="s">
        <v>198</v>
      </c>
      <c r="D115" s="19" t="s">
        <v>133</v>
      </c>
      <c r="E115" s="19" t="s">
        <v>199</v>
      </c>
      <c r="F115" s="19">
        <v>111.81</v>
      </c>
      <c r="G115" s="19">
        <v>89.44</v>
      </c>
      <c r="H115" s="53">
        <f t="shared" si="45"/>
        <v>10000.286399999999</v>
      </c>
      <c r="I115" s="19"/>
      <c r="J115" s="19"/>
      <c r="K115" s="53">
        <f t="shared" si="63"/>
        <v>0</v>
      </c>
      <c r="L115" s="53">
        <f t="shared" si="65"/>
        <v>10000.286399999999</v>
      </c>
      <c r="M115" s="19"/>
      <c r="N115" s="174">
        <f t="shared" si="66"/>
        <v>1294974.7586000003</v>
      </c>
      <c r="O115" s="19"/>
      <c r="P115" s="19"/>
    </row>
    <row r="116" spans="1:16" hidden="1">
      <c r="A116" s="222">
        <v>113</v>
      </c>
      <c r="B116" s="371">
        <v>45707</v>
      </c>
      <c r="C116" s="358" t="s">
        <v>200</v>
      </c>
      <c r="D116" s="358" t="s">
        <v>127</v>
      </c>
      <c r="E116" s="380" t="s">
        <v>201</v>
      </c>
      <c r="F116" s="126">
        <v>38</v>
      </c>
      <c r="G116" s="126">
        <v>89.49</v>
      </c>
      <c r="H116" s="360">
        <f t="shared" si="45"/>
        <v>3400.62</v>
      </c>
      <c r="I116" s="126"/>
      <c r="J116" s="126"/>
      <c r="K116" s="360">
        <f t="shared" si="63"/>
        <v>0</v>
      </c>
      <c r="L116" s="360">
        <f t="shared" si="65"/>
        <v>3400.62</v>
      </c>
      <c r="M116" s="126"/>
      <c r="N116" s="361">
        <f t="shared" si="66"/>
        <v>1291574.1386000002</v>
      </c>
      <c r="O116" s="126"/>
      <c r="P116" s="126"/>
    </row>
    <row r="117" spans="1:16" hidden="1">
      <c r="A117" s="19">
        <v>114</v>
      </c>
      <c r="B117" s="356">
        <v>45707</v>
      </c>
      <c r="C117" s="137" t="s">
        <v>229</v>
      </c>
      <c r="D117" s="137" t="s">
        <v>230</v>
      </c>
      <c r="E117" s="370" t="s">
        <v>231</v>
      </c>
      <c r="F117" s="19">
        <v>55</v>
      </c>
      <c r="G117" s="19">
        <v>89.78</v>
      </c>
      <c r="H117" s="53">
        <f t="shared" si="45"/>
        <v>4937.8999999999996</v>
      </c>
      <c r="I117" s="19"/>
      <c r="J117" s="19"/>
      <c r="K117" s="53">
        <f t="shared" si="63"/>
        <v>0</v>
      </c>
      <c r="L117" s="53">
        <f t="shared" si="65"/>
        <v>4937.8999999999996</v>
      </c>
      <c r="M117" s="19"/>
      <c r="N117" s="174">
        <f t="shared" si="66"/>
        <v>1286636.2386000003</v>
      </c>
      <c r="O117" s="19"/>
      <c r="P117" s="19"/>
    </row>
    <row r="118" spans="1:16" hidden="1">
      <c r="A118" s="19">
        <v>115</v>
      </c>
      <c r="B118" s="356">
        <v>45707</v>
      </c>
      <c r="C118" s="137" t="s">
        <v>222</v>
      </c>
      <c r="D118" s="137" t="s">
        <v>223</v>
      </c>
      <c r="E118" s="370" t="s">
        <v>224</v>
      </c>
      <c r="F118" s="19">
        <v>220</v>
      </c>
      <c r="G118" s="19">
        <v>90.02</v>
      </c>
      <c r="H118" s="53">
        <f t="shared" si="45"/>
        <v>19804.399999999998</v>
      </c>
      <c r="I118" s="19">
        <v>11</v>
      </c>
      <c r="J118" s="19">
        <v>104.2</v>
      </c>
      <c r="K118" s="53">
        <f t="shared" si="63"/>
        <v>1146.2</v>
      </c>
      <c r="L118" s="53">
        <f t="shared" si="65"/>
        <v>20950.599999999999</v>
      </c>
      <c r="M118" s="19"/>
      <c r="N118" s="174">
        <f t="shared" si="66"/>
        <v>1265685.6386000002</v>
      </c>
      <c r="O118" s="19"/>
      <c r="P118" s="19"/>
    </row>
    <row r="119" spans="1:16">
      <c r="A119" s="6">
        <v>116</v>
      </c>
      <c r="B119" s="356">
        <v>45707</v>
      </c>
      <c r="C119" s="19" t="s">
        <v>244</v>
      </c>
      <c r="D119" s="19" t="s">
        <v>245</v>
      </c>
      <c r="E119" s="369" t="s">
        <v>246</v>
      </c>
      <c r="F119" s="19">
        <v>2065.1799999999998</v>
      </c>
      <c r="G119" s="19">
        <v>96.36</v>
      </c>
      <c r="H119" s="53">
        <f t="shared" si="45"/>
        <v>199000.74479999999</v>
      </c>
      <c r="I119" s="19"/>
      <c r="J119" s="19"/>
      <c r="K119" s="53">
        <f t="shared" si="63"/>
        <v>0</v>
      </c>
      <c r="L119" s="53">
        <f t="shared" si="65"/>
        <v>199000.74479999999</v>
      </c>
      <c r="M119" s="19"/>
      <c r="N119" s="174">
        <f t="shared" si="66"/>
        <v>1066684.8938000002</v>
      </c>
      <c r="O119" s="19"/>
      <c r="P119" s="19"/>
    </row>
    <row r="120" spans="1:16" hidden="1">
      <c r="A120" s="19">
        <v>117</v>
      </c>
      <c r="B120" s="356">
        <v>45708</v>
      </c>
      <c r="C120" s="65" t="s">
        <v>195</v>
      </c>
      <c r="D120" s="65" t="s">
        <v>196</v>
      </c>
      <c r="E120" s="351" t="s">
        <v>197</v>
      </c>
      <c r="F120" s="19">
        <v>85</v>
      </c>
      <c r="G120" s="19">
        <v>89.9</v>
      </c>
      <c r="H120" s="53">
        <f>F120*G120</f>
        <v>7641.5000000000009</v>
      </c>
      <c r="I120" s="19">
        <v>6.26</v>
      </c>
      <c r="J120" s="19">
        <v>103.96</v>
      </c>
      <c r="K120" s="53">
        <f t="shared" si="63"/>
        <v>650.78959999999995</v>
      </c>
      <c r="L120" s="53">
        <f t="shared" si="65"/>
        <v>8292.2896000000001</v>
      </c>
      <c r="M120" s="19"/>
      <c r="N120" s="174">
        <f t="shared" si="66"/>
        <v>1058392.6042000002</v>
      </c>
      <c r="O120" s="19"/>
      <c r="P120" s="19"/>
    </row>
    <row r="121" spans="1:16" hidden="1">
      <c r="A121" s="19">
        <v>118</v>
      </c>
      <c r="B121" s="356">
        <v>45708</v>
      </c>
      <c r="C121" s="137" t="s">
        <v>211</v>
      </c>
      <c r="D121" s="137" t="s">
        <v>243</v>
      </c>
      <c r="E121" s="370" t="s">
        <v>213</v>
      </c>
      <c r="F121" s="19">
        <v>305</v>
      </c>
      <c r="G121" s="19">
        <v>90.23</v>
      </c>
      <c r="H121" s="53">
        <f>F121*G121</f>
        <v>27520.15</v>
      </c>
      <c r="I121" s="19">
        <v>20</v>
      </c>
      <c r="J121" s="19">
        <v>104.13</v>
      </c>
      <c r="K121" s="53">
        <f t="shared" si="63"/>
        <v>2082.6</v>
      </c>
      <c r="L121" s="53">
        <f t="shared" si="65"/>
        <v>29602.75</v>
      </c>
      <c r="M121" s="19"/>
      <c r="N121" s="174">
        <f t="shared" si="66"/>
        <v>1028789.8542000002</v>
      </c>
      <c r="O121" s="19"/>
      <c r="P121" s="19"/>
    </row>
    <row r="122" spans="1:16" hidden="1">
      <c r="A122" s="222">
        <v>119</v>
      </c>
      <c r="B122" s="371">
        <v>45708</v>
      </c>
      <c r="C122" s="251" t="s">
        <v>247</v>
      </c>
      <c r="D122" s="251" t="s">
        <v>248</v>
      </c>
      <c r="E122" s="377" t="s">
        <v>249</v>
      </c>
      <c r="F122" s="126">
        <v>60</v>
      </c>
      <c r="G122" s="126">
        <v>89.58</v>
      </c>
      <c r="H122" s="360">
        <f>F122*G122</f>
        <v>5374.8</v>
      </c>
      <c r="I122" s="126"/>
      <c r="J122" s="126"/>
      <c r="K122" s="360">
        <f t="shared" si="63"/>
        <v>0</v>
      </c>
      <c r="L122" s="360">
        <f t="shared" si="65"/>
        <v>5374.8</v>
      </c>
      <c r="M122" s="126"/>
      <c r="N122" s="361">
        <f t="shared" si="66"/>
        <v>1023415.0542000001</v>
      </c>
      <c r="O122" s="126"/>
      <c r="P122" s="126"/>
    </row>
    <row r="123" spans="1:16" hidden="1">
      <c r="A123" s="19">
        <v>120</v>
      </c>
      <c r="B123" s="356">
        <v>45708</v>
      </c>
      <c r="C123" s="19" t="s">
        <v>198</v>
      </c>
      <c r="D123" s="19" t="s">
        <v>133</v>
      </c>
      <c r="E123" s="19" t="s">
        <v>199</v>
      </c>
      <c r="F123" s="19">
        <v>44.72</v>
      </c>
      <c r="G123" s="19">
        <v>89.44</v>
      </c>
      <c r="H123" s="53">
        <f>F123*G123</f>
        <v>3999.7567999999997</v>
      </c>
      <c r="I123" s="19"/>
      <c r="J123" s="19"/>
      <c r="K123" s="53">
        <f t="shared" si="63"/>
        <v>0</v>
      </c>
      <c r="L123" s="53">
        <f t="shared" si="65"/>
        <v>3999.7567999999997</v>
      </c>
      <c r="M123" s="19"/>
      <c r="N123" s="174">
        <f t="shared" si="66"/>
        <v>1019415.2974000002</v>
      </c>
      <c r="O123" s="19"/>
      <c r="P123" s="19"/>
    </row>
    <row r="124" spans="1:16" hidden="1">
      <c r="A124" s="19">
        <v>121</v>
      </c>
      <c r="B124" s="356">
        <v>45708</v>
      </c>
      <c r="C124" s="65" t="s">
        <v>200</v>
      </c>
      <c r="D124" s="65" t="s">
        <v>127</v>
      </c>
      <c r="E124" s="351" t="s">
        <v>201</v>
      </c>
      <c r="F124" s="19">
        <v>30</v>
      </c>
      <c r="G124" s="19">
        <v>89.49</v>
      </c>
      <c r="H124" s="53">
        <f>F124*G124</f>
        <v>2684.7</v>
      </c>
      <c r="I124" s="19">
        <v>9.66</v>
      </c>
      <c r="J124" s="19">
        <v>103.44</v>
      </c>
      <c r="K124" s="53">
        <f t="shared" si="63"/>
        <v>999.23040000000003</v>
      </c>
      <c r="L124" s="53">
        <f t="shared" si="65"/>
        <v>3683.9303999999997</v>
      </c>
      <c r="M124" s="19"/>
      <c r="N124" s="174">
        <f t="shared" si="66"/>
        <v>1015731.3670000002</v>
      </c>
      <c r="O124" s="19"/>
      <c r="P124" s="19"/>
    </row>
    <row r="125" spans="1:16" hidden="1">
      <c r="A125" s="6">
        <v>122</v>
      </c>
      <c r="B125" s="356">
        <v>45708</v>
      </c>
      <c r="C125" s="137" t="s">
        <v>229</v>
      </c>
      <c r="D125" s="137" t="s">
        <v>230</v>
      </c>
      <c r="E125" s="370" t="s">
        <v>231</v>
      </c>
      <c r="F125" s="19">
        <v>58</v>
      </c>
      <c r="G125" s="19">
        <v>89.78</v>
      </c>
      <c r="H125" s="53">
        <f>F125*G125</f>
        <v>5207.24</v>
      </c>
      <c r="I125" s="19">
        <v>2</v>
      </c>
      <c r="J125" s="19">
        <v>103.76</v>
      </c>
      <c r="K125" s="53">
        <f t="shared" si="63"/>
        <v>207.52</v>
      </c>
      <c r="L125" s="53">
        <f t="shared" si="65"/>
        <v>5414.76</v>
      </c>
      <c r="M125" s="19"/>
      <c r="N125" s="174">
        <f t="shared" si="66"/>
        <v>1010316.6070000002</v>
      </c>
      <c r="O125" s="19"/>
      <c r="P125" s="19"/>
    </row>
    <row r="126" spans="1:16" hidden="1">
      <c r="A126" s="19">
        <v>123</v>
      </c>
      <c r="B126" s="356">
        <v>45709</v>
      </c>
      <c r="C126" s="65" t="s">
        <v>195</v>
      </c>
      <c r="D126" s="65" t="s">
        <v>196</v>
      </c>
      <c r="E126" s="351" t="s">
        <v>197</v>
      </c>
      <c r="F126" s="19">
        <v>22.91</v>
      </c>
      <c r="G126" s="19">
        <v>89.9</v>
      </c>
      <c r="H126" s="53">
        <f>F126*G126</f>
        <v>2059.6089999999999</v>
      </c>
      <c r="I126" s="19">
        <v>6.74</v>
      </c>
      <c r="J126" s="19">
        <v>103.96</v>
      </c>
      <c r="K126" s="53">
        <f t="shared" si="63"/>
        <v>700.69039999999995</v>
      </c>
      <c r="L126" s="53">
        <f t="shared" si="65"/>
        <v>2760.2993999999999</v>
      </c>
      <c r="M126" s="19"/>
      <c r="N126" s="174">
        <f t="shared" si="66"/>
        <v>1007556.3076000002</v>
      </c>
      <c r="O126" s="19"/>
      <c r="P126" s="19"/>
    </row>
    <row r="127" spans="1:16" hidden="1">
      <c r="A127" s="19">
        <v>124</v>
      </c>
      <c r="B127" s="356">
        <v>45709</v>
      </c>
      <c r="C127" s="137" t="s">
        <v>239</v>
      </c>
      <c r="D127" s="137" t="s">
        <v>125</v>
      </c>
      <c r="E127" s="370" t="s">
        <v>240</v>
      </c>
      <c r="F127" s="19"/>
      <c r="G127" s="19"/>
      <c r="H127" s="53">
        <f t="shared" ref="H127:H176" si="67">F127*G127</f>
        <v>0</v>
      </c>
      <c r="I127" s="19">
        <v>9.85</v>
      </c>
      <c r="J127" s="19">
        <v>103.05</v>
      </c>
      <c r="K127" s="53">
        <f t="shared" si="63"/>
        <v>1015.0424999999999</v>
      </c>
      <c r="L127" s="53">
        <f t="shared" si="65"/>
        <v>1015.0424999999999</v>
      </c>
      <c r="M127" s="19"/>
      <c r="N127" s="174">
        <f t="shared" si="66"/>
        <v>1006541.2651000002</v>
      </c>
      <c r="O127" s="19"/>
      <c r="P127" s="19"/>
    </row>
    <row r="128" spans="1:16" hidden="1">
      <c r="A128" s="6">
        <v>125</v>
      </c>
      <c r="B128" s="356">
        <v>45709</v>
      </c>
      <c r="C128" s="19" t="s">
        <v>247</v>
      </c>
      <c r="D128" s="19" t="s">
        <v>248</v>
      </c>
      <c r="E128" s="369" t="s">
        <v>249</v>
      </c>
      <c r="F128" s="19"/>
      <c r="G128" s="19"/>
      <c r="H128" s="53">
        <f t="shared" si="67"/>
        <v>0</v>
      </c>
      <c r="I128" s="19">
        <v>5.0199999999999996</v>
      </c>
      <c r="J128" s="19">
        <v>103.53</v>
      </c>
      <c r="K128" s="53">
        <f t="shared" si="63"/>
        <v>519.72059999999999</v>
      </c>
      <c r="L128" s="53">
        <f t="shared" si="65"/>
        <v>519.72059999999999</v>
      </c>
      <c r="M128" s="19"/>
      <c r="N128" s="174">
        <f t="shared" si="66"/>
        <v>1006021.5445000002</v>
      </c>
      <c r="O128" s="19"/>
      <c r="P128" s="19"/>
    </row>
    <row r="129" spans="1:16" hidden="1">
      <c r="A129" s="19">
        <v>126</v>
      </c>
      <c r="B129" s="371">
        <v>45709</v>
      </c>
      <c r="C129" s="251" t="s">
        <v>220</v>
      </c>
      <c r="D129" s="251" t="s">
        <v>131</v>
      </c>
      <c r="E129" s="377" t="s">
        <v>221</v>
      </c>
      <c r="F129" s="126">
        <v>80</v>
      </c>
      <c r="G129" s="126">
        <v>89.22</v>
      </c>
      <c r="H129" s="360">
        <f t="shared" si="67"/>
        <v>7137.6</v>
      </c>
      <c r="I129" s="126"/>
      <c r="J129" s="126"/>
      <c r="K129" s="360">
        <f t="shared" ref="K129:K175" si="68">I129*J129</f>
        <v>0</v>
      </c>
      <c r="L129" s="360">
        <f t="shared" ref="L129:L139" si="69">H129+K129</f>
        <v>7137.6</v>
      </c>
      <c r="M129" s="126"/>
      <c r="N129" s="361">
        <f t="shared" si="66"/>
        <v>998883.94450000022</v>
      </c>
      <c r="O129" s="126"/>
      <c r="P129" s="126"/>
    </row>
    <row r="130" spans="1:16" hidden="1">
      <c r="A130" s="129">
        <v>127</v>
      </c>
      <c r="B130" s="356">
        <v>45709</v>
      </c>
      <c r="C130" s="19" t="s">
        <v>198</v>
      </c>
      <c r="D130" s="19" t="s">
        <v>133</v>
      </c>
      <c r="E130" s="19" t="s">
        <v>199</v>
      </c>
      <c r="F130" s="19"/>
      <c r="G130" s="19"/>
      <c r="H130" s="53">
        <f t="shared" si="67"/>
        <v>0</v>
      </c>
      <c r="I130" s="19">
        <v>4.84</v>
      </c>
      <c r="J130" s="19">
        <v>103.39</v>
      </c>
      <c r="K130" s="53">
        <f t="shared" si="68"/>
        <v>500.4076</v>
      </c>
      <c r="L130" s="53">
        <f t="shared" si="69"/>
        <v>500.4076</v>
      </c>
      <c r="M130" s="19"/>
      <c r="N130" s="174">
        <f t="shared" si="66"/>
        <v>998383.53690000018</v>
      </c>
      <c r="O130" s="19"/>
      <c r="P130" s="19"/>
    </row>
    <row r="131" spans="1:16" hidden="1">
      <c r="A131" s="394">
        <v>128</v>
      </c>
      <c r="B131" s="356">
        <v>45709</v>
      </c>
      <c r="C131" s="137" t="s">
        <v>222</v>
      </c>
      <c r="D131" s="137" t="s">
        <v>223</v>
      </c>
      <c r="E131" s="370" t="s">
        <v>224</v>
      </c>
      <c r="F131" s="19">
        <v>241.07</v>
      </c>
      <c r="G131" s="19">
        <v>90.02</v>
      </c>
      <c r="H131" s="53">
        <f t="shared" si="67"/>
        <v>21701.1214</v>
      </c>
      <c r="I131" s="19">
        <v>5</v>
      </c>
      <c r="J131" s="19">
        <v>104.02</v>
      </c>
      <c r="K131" s="53">
        <f t="shared" si="68"/>
        <v>520.1</v>
      </c>
      <c r="L131" s="53">
        <f t="shared" si="69"/>
        <v>22221.221399999999</v>
      </c>
      <c r="M131" s="19"/>
      <c r="N131" s="174">
        <f t="shared" si="66"/>
        <v>976162.31550000014</v>
      </c>
      <c r="O131" s="19"/>
      <c r="P131" s="19"/>
    </row>
    <row r="132" spans="1:16" hidden="1">
      <c r="A132" s="129">
        <v>129</v>
      </c>
      <c r="B132" s="356">
        <v>45710</v>
      </c>
      <c r="C132" s="65" t="s">
        <v>195</v>
      </c>
      <c r="D132" s="65" t="s">
        <v>196</v>
      </c>
      <c r="E132" s="351" t="s">
        <v>197</v>
      </c>
      <c r="F132" s="19">
        <v>40</v>
      </c>
      <c r="G132" s="19">
        <v>89.9</v>
      </c>
      <c r="H132" s="53">
        <f>F132*G132</f>
        <v>3596</v>
      </c>
      <c r="I132" s="19"/>
      <c r="J132" s="19"/>
      <c r="K132" s="53">
        <f t="shared" si="68"/>
        <v>0</v>
      </c>
      <c r="L132" s="53">
        <f>H132+K132</f>
        <v>3596</v>
      </c>
      <c r="M132" s="19"/>
      <c r="N132" s="174">
        <f>N131+M132-L132</f>
        <v>972566.31550000014</v>
      </c>
      <c r="O132" s="19"/>
      <c r="P132" s="19"/>
    </row>
    <row r="133" spans="1:16" hidden="1">
      <c r="A133" s="129">
        <v>130</v>
      </c>
      <c r="B133" s="356">
        <v>45710</v>
      </c>
      <c r="C133" s="137" t="s">
        <v>211</v>
      </c>
      <c r="D133" s="137" t="s">
        <v>243</v>
      </c>
      <c r="E133" s="370" t="s">
        <v>213</v>
      </c>
      <c r="F133" s="19">
        <v>330</v>
      </c>
      <c r="G133" s="19">
        <v>90.23</v>
      </c>
      <c r="H133" s="53">
        <f t="shared" si="67"/>
        <v>29775.9</v>
      </c>
      <c r="I133" s="19"/>
      <c r="J133" s="19"/>
      <c r="K133" s="53">
        <f t="shared" si="68"/>
        <v>0</v>
      </c>
      <c r="L133" s="53">
        <f t="shared" si="69"/>
        <v>29775.9</v>
      </c>
      <c r="M133" s="19"/>
      <c r="N133" s="174">
        <f t="shared" si="66"/>
        <v>942790.41550000012</v>
      </c>
      <c r="O133" s="19"/>
      <c r="P133" s="19"/>
    </row>
    <row r="134" spans="1:16" hidden="1">
      <c r="A134" s="394">
        <v>131</v>
      </c>
      <c r="B134" s="356">
        <v>45710</v>
      </c>
      <c r="C134" s="19" t="s">
        <v>208</v>
      </c>
      <c r="D134" s="19" t="s">
        <v>209</v>
      </c>
      <c r="E134" s="369" t="s">
        <v>210</v>
      </c>
      <c r="F134" s="19">
        <v>556.91999999999996</v>
      </c>
      <c r="G134" s="19">
        <v>89.78</v>
      </c>
      <c r="H134" s="53">
        <f t="shared" si="67"/>
        <v>50000.277599999994</v>
      </c>
      <c r="I134" s="19"/>
      <c r="J134" s="19"/>
      <c r="K134" s="53">
        <f t="shared" si="68"/>
        <v>0</v>
      </c>
      <c r="L134" s="53">
        <f t="shared" si="69"/>
        <v>50000.277599999994</v>
      </c>
      <c r="M134" s="19"/>
      <c r="N134" s="174">
        <f t="shared" si="66"/>
        <v>892790.13790000009</v>
      </c>
      <c r="O134" s="19"/>
      <c r="P134" s="19"/>
    </row>
    <row r="135" spans="1:16" hidden="1">
      <c r="A135" s="129">
        <v>132</v>
      </c>
      <c r="B135" s="356">
        <v>45710</v>
      </c>
      <c r="C135" s="19" t="s">
        <v>247</v>
      </c>
      <c r="D135" s="19" t="s">
        <v>248</v>
      </c>
      <c r="E135" s="369" t="s">
        <v>249</v>
      </c>
      <c r="F135" s="19">
        <v>80</v>
      </c>
      <c r="G135" s="19">
        <v>89.58</v>
      </c>
      <c r="H135" s="53">
        <f t="shared" si="67"/>
        <v>7166.4</v>
      </c>
      <c r="I135" s="19"/>
      <c r="J135" s="19"/>
      <c r="K135" s="53">
        <f t="shared" si="68"/>
        <v>0</v>
      </c>
      <c r="L135" s="53">
        <f t="shared" si="69"/>
        <v>7166.4</v>
      </c>
      <c r="M135" s="19"/>
      <c r="N135" s="174">
        <f t="shared" si="66"/>
        <v>885623.73790000007</v>
      </c>
      <c r="O135" s="19"/>
      <c r="P135" s="19"/>
    </row>
    <row r="136" spans="1:16" hidden="1">
      <c r="A136" s="129">
        <v>133</v>
      </c>
      <c r="B136" s="356">
        <v>45710</v>
      </c>
      <c r="C136" s="137" t="s">
        <v>250</v>
      </c>
      <c r="D136" s="19" t="s">
        <v>251</v>
      </c>
      <c r="E136" s="369" t="s">
        <v>252</v>
      </c>
      <c r="F136" s="19">
        <v>2602.5500000000002</v>
      </c>
      <c r="G136" s="19">
        <v>96.06</v>
      </c>
      <c r="H136" s="53">
        <f t="shared" si="67"/>
        <v>250000.95300000004</v>
      </c>
      <c r="I136" s="19"/>
      <c r="J136" s="19"/>
      <c r="K136" s="53">
        <f t="shared" si="68"/>
        <v>0</v>
      </c>
      <c r="L136" s="393">
        <f t="shared" si="69"/>
        <v>250000.95300000004</v>
      </c>
      <c r="M136" s="19"/>
      <c r="N136" s="174">
        <f t="shared" si="66"/>
        <v>635622.78490000009</v>
      </c>
      <c r="O136" s="19"/>
      <c r="P136" s="19"/>
    </row>
    <row r="137" spans="1:16" hidden="1">
      <c r="A137" s="394">
        <v>134</v>
      </c>
      <c r="B137" s="356">
        <v>45710</v>
      </c>
      <c r="C137" s="137" t="s">
        <v>250</v>
      </c>
      <c r="D137" s="19" t="s">
        <v>251</v>
      </c>
      <c r="E137" s="369" t="s">
        <v>252</v>
      </c>
      <c r="F137" s="19"/>
      <c r="G137" s="19"/>
      <c r="H137" s="53">
        <v>50000</v>
      </c>
      <c r="I137" s="19"/>
      <c r="J137" s="19"/>
      <c r="K137" s="53"/>
      <c r="L137" s="393">
        <f t="shared" si="69"/>
        <v>50000</v>
      </c>
      <c r="M137" s="19"/>
      <c r="N137" s="174">
        <f>N136+M137-L137</f>
        <v>585622.78490000009</v>
      </c>
      <c r="O137" s="19"/>
      <c r="P137" s="19"/>
    </row>
    <row r="138" spans="1:16" hidden="1">
      <c r="A138" s="129">
        <v>135</v>
      </c>
      <c r="B138" s="356">
        <v>45710</v>
      </c>
      <c r="C138" s="19" t="s">
        <v>198</v>
      </c>
      <c r="D138" s="19" t="s">
        <v>133</v>
      </c>
      <c r="E138" s="19" t="s">
        <v>199</v>
      </c>
      <c r="F138" s="19"/>
      <c r="G138" s="19"/>
      <c r="H138" s="53">
        <f t="shared" si="67"/>
        <v>0</v>
      </c>
      <c r="I138" s="19">
        <v>4.84</v>
      </c>
      <c r="J138" s="19">
        <v>103.39</v>
      </c>
      <c r="K138" s="53">
        <f t="shared" si="68"/>
        <v>500.4076</v>
      </c>
      <c r="L138" s="53">
        <f>H138+K138</f>
        <v>500.4076</v>
      </c>
      <c r="M138" s="19"/>
      <c r="N138" s="174">
        <f>N137+M138-L138</f>
        <v>585122.37730000005</v>
      </c>
      <c r="O138" s="19"/>
      <c r="P138" s="19"/>
    </row>
    <row r="139" spans="1:16" hidden="1">
      <c r="A139" s="129">
        <v>136</v>
      </c>
      <c r="B139" s="356">
        <v>45710</v>
      </c>
      <c r="C139" s="137" t="s">
        <v>229</v>
      </c>
      <c r="D139" s="137" t="s">
        <v>230</v>
      </c>
      <c r="E139" s="370" t="s">
        <v>231</v>
      </c>
      <c r="F139" s="19">
        <v>15</v>
      </c>
      <c r="G139" s="19">
        <v>89.78</v>
      </c>
      <c r="H139" s="53">
        <f t="shared" si="67"/>
        <v>1346.7</v>
      </c>
      <c r="I139" s="19">
        <v>2</v>
      </c>
      <c r="J139" s="19">
        <v>103.76</v>
      </c>
      <c r="K139" s="53">
        <f t="shared" si="68"/>
        <v>207.52</v>
      </c>
      <c r="L139" s="53">
        <f>H139+K139</f>
        <v>1554.22</v>
      </c>
      <c r="M139" s="19"/>
      <c r="N139" s="174">
        <f>N138+M139-L139</f>
        <v>583568.15730000008</v>
      </c>
      <c r="O139" s="19"/>
      <c r="P139" s="19"/>
    </row>
    <row r="140" spans="1:16" hidden="1">
      <c r="A140" s="394">
        <v>137</v>
      </c>
      <c r="B140" s="356">
        <v>45710</v>
      </c>
      <c r="C140" s="137" t="s">
        <v>222</v>
      </c>
      <c r="D140" s="137" t="s">
        <v>223</v>
      </c>
      <c r="E140" s="370" t="s">
        <v>224</v>
      </c>
      <c r="F140" s="19">
        <v>100</v>
      </c>
      <c r="G140" s="19">
        <v>90.02</v>
      </c>
      <c r="H140" s="53">
        <f t="shared" si="67"/>
        <v>9002</v>
      </c>
      <c r="I140" s="19">
        <v>0</v>
      </c>
      <c r="J140" s="19">
        <v>0</v>
      </c>
      <c r="K140" s="53">
        <f t="shared" si="68"/>
        <v>0</v>
      </c>
      <c r="L140" s="53">
        <f>H140+K140</f>
        <v>9002</v>
      </c>
      <c r="M140" s="19"/>
      <c r="N140" s="174">
        <f>N139+M140-L140</f>
        <v>574566.15730000008</v>
      </c>
      <c r="O140" s="19"/>
      <c r="P140" s="19"/>
    </row>
    <row r="141" spans="1:16" hidden="1">
      <c r="A141" s="129">
        <v>138</v>
      </c>
      <c r="B141" s="356">
        <v>45711</v>
      </c>
      <c r="C141" s="137" t="s">
        <v>239</v>
      </c>
      <c r="D141" s="137" t="s">
        <v>125</v>
      </c>
      <c r="E141" s="370" t="s">
        <v>240</v>
      </c>
      <c r="F141" s="19">
        <v>89.75</v>
      </c>
      <c r="G141" s="19">
        <v>89.14</v>
      </c>
      <c r="H141" s="53">
        <f t="shared" si="67"/>
        <v>8000.3149999999996</v>
      </c>
      <c r="I141" s="19">
        <v>5</v>
      </c>
      <c r="J141" s="19">
        <v>103.05</v>
      </c>
      <c r="K141" s="53">
        <f t="shared" si="68"/>
        <v>515.25</v>
      </c>
      <c r="L141" s="53">
        <f t="shared" ref="L141:L176" si="70">H141+K141</f>
        <v>8515.5649999999987</v>
      </c>
      <c r="M141" s="19"/>
      <c r="N141" s="174">
        <f t="shared" ref="N141:N176" si="71">N140+M141-L141</f>
        <v>566050.59230000013</v>
      </c>
      <c r="O141" s="19"/>
      <c r="P141" s="19"/>
    </row>
    <row r="142" spans="1:16" hidden="1">
      <c r="A142" s="129">
        <v>139</v>
      </c>
      <c r="B142" s="356">
        <v>45711</v>
      </c>
      <c r="C142" s="137" t="s">
        <v>214</v>
      </c>
      <c r="D142" s="137" t="s">
        <v>215</v>
      </c>
      <c r="E142" s="370" t="s">
        <v>216</v>
      </c>
      <c r="F142" s="19">
        <v>54.66</v>
      </c>
      <c r="G142" s="19">
        <v>91.47</v>
      </c>
      <c r="H142" s="53">
        <f t="shared" si="67"/>
        <v>4999.7501999999995</v>
      </c>
      <c r="I142" s="19"/>
      <c r="J142" s="19"/>
      <c r="K142" s="53">
        <f t="shared" si="68"/>
        <v>0</v>
      </c>
      <c r="L142" s="53">
        <f t="shared" si="70"/>
        <v>4999.7501999999995</v>
      </c>
      <c r="M142" s="19"/>
      <c r="N142" s="174">
        <f t="shared" si="71"/>
        <v>561050.84210000013</v>
      </c>
      <c r="O142" s="19"/>
      <c r="P142" s="19"/>
    </row>
    <row r="143" spans="1:16" hidden="1">
      <c r="A143" s="395">
        <v>140</v>
      </c>
      <c r="B143" s="371">
        <v>45711</v>
      </c>
      <c r="C143" s="251" t="s">
        <v>222</v>
      </c>
      <c r="D143" s="251" t="s">
        <v>223</v>
      </c>
      <c r="E143" s="377" t="s">
        <v>224</v>
      </c>
      <c r="F143" s="126">
        <v>30</v>
      </c>
      <c r="G143" s="126">
        <v>90.02</v>
      </c>
      <c r="H143" s="360">
        <f t="shared" si="67"/>
        <v>2700.6</v>
      </c>
      <c r="I143" s="126"/>
      <c r="J143" s="126"/>
      <c r="K143" s="360">
        <f t="shared" si="68"/>
        <v>0</v>
      </c>
      <c r="L143" s="360">
        <f t="shared" si="70"/>
        <v>2700.6</v>
      </c>
      <c r="M143" s="126"/>
      <c r="N143" s="361">
        <f t="shared" si="71"/>
        <v>558350.24210000015</v>
      </c>
      <c r="O143" s="126"/>
      <c r="P143" s="126"/>
    </row>
    <row r="144" spans="1:16" hidden="1">
      <c r="A144" s="19">
        <v>141</v>
      </c>
      <c r="B144" s="356">
        <v>45712</v>
      </c>
      <c r="C144" s="137" t="s">
        <v>214</v>
      </c>
      <c r="D144" s="137" t="s">
        <v>215</v>
      </c>
      <c r="E144" s="370" t="s">
        <v>216</v>
      </c>
      <c r="F144" s="19">
        <v>38.270000000000003</v>
      </c>
      <c r="G144" s="19">
        <v>91.47</v>
      </c>
      <c r="H144" s="53">
        <f t="shared" si="67"/>
        <v>3500.5569</v>
      </c>
      <c r="I144" s="19"/>
      <c r="J144" s="19"/>
      <c r="K144" s="53">
        <f t="shared" si="68"/>
        <v>0</v>
      </c>
      <c r="L144" s="53">
        <f t="shared" si="70"/>
        <v>3500.5569</v>
      </c>
      <c r="M144" s="19"/>
      <c r="N144" s="174">
        <f t="shared" si="71"/>
        <v>554849.68520000018</v>
      </c>
      <c r="O144" s="19"/>
      <c r="P144" s="19"/>
    </row>
    <row r="145" spans="1:16" hidden="1">
      <c r="A145" s="19">
        <v>142</v>
      </c>
      <c r="B145" s="356">
        <v>45712</v>
      </c>
      <c r="C145" s="137" t="s">
        <v>96</v>
      </c>
      <c r="D145" s="19" t="s">
        <v>241</v>
      </c>
      <c r="E145" s="369" t="s">
        <v>242</v>
      </c>
      <c r="F145" s="19">
        <v>178.58</v>
      </c>
      <c r="G145" s="19">
        <v>90.24</v>
      </c>
      <c r="H145" s="53">
        <f t="shared" si="67"/>
        <v>16115.0592</v>
      </c>
      <c r="I145" s="19"/>
      <c r="J145" s="19"/>
      <c r="K145" s="53">
        <f t="shared" si="68"/>
        <v>0</v>
      </c>
      <c r="L145" s="53">
        <f t="shared" si="70"/>
        <v>16115.0592</v>
      </c>
      <c r="M145" s="19"/>
      <c r="N145" s="174">
        <f t="shared" si="71"/>
        <v>538734.62600000016</v>
      </c>
      <c r="O145" s="19"/>
      <c r="P145" s="19"/>
    </row>
    <row r="146" spans="1:16" hidden="1">
      <c r="A146" s="6">
        <v>143</v>
      </c>
      <c r="B146" s="356">
        <v>45712</v>
      </c>
      <c r="C146" s="19" t="s">
        <v>198</v>
      </c>
      <c r="D146" s="19" t="s">
        <v>133</v>
      </c>
      <c r="E146" s="19" t="s">
        <v>199</v>
      </c>
      <c r="F146" s="19">
        <v>55.9</v>
      </c>
      <c r="G146" s="19">
        <v>89.44</v>
      </c>
      <c r="H146" s="53">
        <f t="shared" si="67"/>
        <v>4999.6959999999999</v>
      </c>
      <c r="I146" s="19"/>
      <c r="J146" s="19"/>
      <c r="K146" s="53">
        <f t="shared" si="68"/>
        <v>0</v>
      </c>
      <c r="L146" s="53">
        <f t="shared" si="70"/>
        <v>4999.6959999999999</v>
      </c>
      <c r="M146" s="19"/>
      <c r="N146" s="174">
        <f t="shared" si="71"/>
        <v>533734.93000000017</v>
      </c>
      <c r="O146" s="19"/>
      <c r="P146" s="19"/>
    </row>
    <row r="147" spans="1:16" hidden="1">
      <c r="A147" s="19">
        <v>144</v>
      </c>
      <c r="B147" s="356">
        <v>45713</v>
      </c>
      <c r="C147" s="65" t="s">
        <v>195</v>
      </c>
      <c r="D147" s="65" t="s">
        <v>196</v>
      </c>
      <c r="E147" s="351" t="s">
        <v>197</v>
      </c>
      <c r="F147" s="19">
        <v>98.68</v>
      </c>
      <c r="G147" s="19">
        <v>89.44</v>
      </c>
      <c r="H147" s="53">
        <f t="shared" si="67"/>
        <v>8825.9392000000007</v>
      </c>
      <c r="I147" s="19"/>
      <c r="J147" s="19"/>
      <c r="K147" s="53">
        <f t="shared" si="68"/>
        <v>0</v>
      </c>
      <c r="L147" s="53">
        <f t="shared" si="70"/>
        <v>8825.9392000000007</v>
      </c>
      <c r="M147" s="19"/>
      <c r="N147" s="174">
        <f t="shared" si="71"/>
        <v>524908.99080000015</v>
      </c>
      <c r="O147" s="19"/>
      <c r="P147" s="19"/>
    </row>
    <row r="148" spans="1:16" hidden="1">
      <c r="A148" s="19">
        <v>145</v>
      </c>
      <c r="B148" s="356">
        <v>45713</v>
      </c>
      <c r="C148" s="137" t="s">
        <v>214</v>
      </c>
      <c r="D148" s="137" t="s">
        <v>215</v>
      </c>
      <c r="E148" s="370" t="s">
        <v>216</v>
      </c>
      <c r="F148" s="19">
        <v>35.65</v>
      </c>
      <c r="G148" s="19">
        <v>91.47</v>
      </c>
      <c r="H148" s="53">
        <f t="shared" si="67"/>
        <v>3260.9054999999998</v>
      </c>
      <c r="I148" s="19"/>
      <c r="J148" s="19"/>
      <c r="K148" s="53">
        <f t="shared" si="68"/>
        <v>0</v>
      </c>
      <c r="L148" s="53">
        <f t="shared" si="70"/>
        <v>3260.9054999999998</v>
      </c>
      <c r="M148" s="19"/>
      <c r="N148" s="174">
        <f t="shared" si="71"/>
        <v>521648.08530000015</v>
      </c>
      <c r="O148" s="19"/>
      <c r="P148" s="19"/>
    </row>
    <row r="149" spans="1:16" hidden="1">
      <c r="A149" s="6">
        <v>146</v>
      </c>
      <c r="B149" s="356">
        <v>45713</v>
      </c>
      <c r="C149" s="137" t="s">
        <v>202</v>
      </c>
      <c r="D149" s="137" t="s">
        <v>203</v>
      </c>
      <c r="E149" s="370" t="s">
        <v>204</v>
      </c>
      <c r="F149" s="19">
        <v>600.01</v>
      </c>
      <c r="G149" s="19">
        <v>89.47</v>
      </c>
      <c r="H149" s="53">
        <f t="shared" si="67"/>
        <v>53682.894699999997</v>
      </c>
      <c r="I149" s="19">
        <v>24</v>
      </c>
      <c r="J149" s="19">
        <v>103.4</v>
      </c>
      <c r="K149" s="53">
        <f t="shared" si="68"/>
        <v>2481.6000000000004</v>
      </c>
      <c r="L149" s="53">
        <f t="shared" si="70"/>
        <v>56164.494699999996</v>
      </c>
      <c r="M149" s="19"/>
      <c r="N149" s="174">
        <f t="shared" si="71"/>
        <v>465483.59060000017</v>
      </c>
      <c r="O149" s="19"/>
      <c r="P149" s="19"/>
    </row>
    <row r="150" spans="1:16" hidden="1">
      <c r="A150" s="19">
        <v>147</v>
      </c>
      <c r="B150" s="356">
        <v>45713</v>
      </c>
      <c r="C150" s="137" t="s">
        <v>236</v>
      </c>
      <c r="D150" s="137" t="s">
        <v>136</v>
      </c>
      <c r="E150" s="370" t="s">
        <v>237</v>
      </c>
      <c r="F150" s="19"/>
      <c r="G150" s="19"/>
      <c r="H150" s="53">
        <f t="shared" si="67"/>
        <v>0</v>
      </c>
      <c r="I150" s="19">
        <v>5.85</v>
      </c>
      <c r="J150" s="19">
        <v>102.46</v>
      </c>
      <c r="K150" s="53">
        <f t="shared" si="68"/>
        <v>599.39099999999996</v>
      </c>
      <c r="L150" s="53">
        <f t="shared" si="70"/>
        <v>599.39099999999996</v>
      </c>
      <c r="M150" s="19"/>
      <c r="N150" s="174">
        <f t="shared" si="71"/>
        <v>464884.19960000017</v>
      </c>
      <c r="O150" s="19"/>
      <c r="P150" s="19"/>
    </row>
    <row r="151" spans="1:16" hidden="1">
      <c r="A151" s="19">
        <v>148</v>
      </c>
      <c r="B151" s="356">
        <v>45713</v>
      </c>
      <c r="C151" s="65" t="s">
        <v>205</v>
      </c>
      <c r="D151" s="65" t="s">
        <v>253</v>
      </c>
      <c r="E151" s="351" t="s">
        <v>207</v>
      </c>
      <c r="F151" s="19">
        <v>2207.0100000000002</v>
      </c>
      <c r="G151" s="19">
        <v>90.23</v>
      </c>
      <c r="H151" s="53">
        <f t="shared" si="67"/>
        <v>199138.51230000003</v>
      </c>
      <c r="I151" s="19"/>
      <c r="J151" s="19"/>
      <c r="K151" s="53">
        <f t="shared" si="68"/>
        <v>0</v>
      </c>
      <c r="L151" s="53">
        <f t="shared" si="70"/>
        <v>199138.51230000003</v>
      </c>
      <c r="M151" s="19"/>
      <c r="N151" s="174">
        <f t="shared" si="71"/>
        <v>265745.68730000011</v>
      </c>
      <c r="O151" s="19"/>
      <c r="P151" s="19"/>
    </row>
    <row r="152" spans="1:16" hidden="1">
      <c r="A152" s="6">
        <v>149</v>
      </c>
      <c r="B152" s="356">
        <v>45713</v>
      </c>
      <c r="C152" s="137" t="s">
        <v>211</v>
      </c>
      <c r="D152" s="137" t="s">
        <v>243</v>
      </c>
      <c r="E152" s="370" t="s">
        <v>213</v>
      </c>
      <c r="F152" s="19">
        <v>300</v>
      </c>
      <c r="G152" s="19">
        <v>90.23</v>
      </c>
      <c r="H152" s="53">
        <f t="shared" si="67"/>
        <v>27069</v>
      </c>
      <c r="I152" s="19">
        <v>28</v>
      </c>
      <c r="J152" s="19">
        <v>104.13</v>
      </c>
      <c r="K152" s="53">
        <f t="shared" si="68"/>
        <v>2915.64</v>
      </c>
      <c r="L152" s="53">
        <f t="shared" si="70"/>
        <v>29984.639999999999</v>
      </c>
      <c r="M152" s="19"/>
      <c r="N152" s="174">
        <f t="shared" si="71"/>
        <v>235761.04730000009</v>
      </c>
      <c r="O152" s="19"/>
      <c r="P152" s="19"/>
    </row>
    <row r="153" spans="1:16" hidden="1">
      <c r="A153" s="19">
        <v>150</v>
      </c>
      <c r="B153" s="356">
        <v>45713</v>
      </c>
      <c r="C153" s="137" t="s">
        <v>220</v>
      </c>
      <c r="D153" s="137" t="s">
        <v>131</v>
      </c>
      <c r="E153" s="370" t="s">
        <v>221</v>
      </c>
      <c r="F153" s="19">
        <v>180</v>
      </c>
      <c r="G153" s="19">
        <v>89.22</v>
      </c>
      <c r="H153" s="53">
        <f t="shared" si="67"/>
        <v>16059.6</v>
      </c>
      <c r="I153" s="19"/>
      <c r="J153" s="19"/>
      <c r="K153" s="53">
        <f t="shared" si="68"/>
        <v>0</v>
      </c>
      <c r="L153" s="53">
        <f t="shared" si="70"/>
        <v>16059.6</v>
      </c>
      <c r="M153" s="19"/>
      <c r="N153" s="174">
        <f t="shared" si="71"/>
        <v>219701.44730000009</v>
      </c>
      <c r="O153" s="19"/>
      <c r="P153" s="19"/>
    </row>
    <row r="154" spans="1:16" hidden="1">
      <c r="A154" s="19">
        <v>151</v>
      </c>
      <c r="B154" s="356">
        <v>45713</v>
      </c>
      <c r="C154" s="137" t="s">
        <v>254</v>
      </c>
      <c r="D154" s="137" t="s">
        <v>255</v>
      </c>
      <c r="E154" s="370" t="s">
        <v>221</v>
      </c>
      <c r="F154" s="19"/>
      <c r="G154" s="19"/>
      <c r="H154" s="53">
        <f t="shared" si="67"/>
        <v>0</v>
      </c>
      <c r="I154" s="19">
        <v>4.8499999999999996</v>
      </c>
      <c r="J154" s="19">
        <v>103.15</v>
      </c>
      <c r="K154" s="53">
        <f t="shared" si="68"/>
        <v>500.27749999999997</v>
      </c>
      <c r="L154" s="53">
        <f t="shared" si="70"/>
        <v>500.27749999999997</v>
      </c>
      <c r="M154" s="19"/>
      <c r="N154" s="174">
        <f t="shared" si="71"/>
        <v>219201.16980000009</v>
      </c>
      <c r="O154" s="19"/>
      <c r="P154" s="19"/>
    </row>
    <row r="155" spans="1:16" hidden="1">
      <c r="A155" s="6">
        <v>152</v>
      </c>
      <c r="B155" s="356">
        <v>45713</v>
      </c>
      <c r="C155" s="137" t="s">
        <v>198</v>
      </c>
      <c r="D155" s="137" t="s">
        <v>133</v>
      </c>
      <c r="E155" s="370" t="s">
        <v>199</v>
      </c>
      <c r="F155" s="19">
        <v>33.54</v>
      </c>
      <c r="G155" s="19">
        <v>89.44</v>
      </c>
      <c r="H155" s="53">
        <f t="shared" si="67"/>
        <v>2999.8175999999999</v>
      </c>
      <c r="I155" s="19">
        <v>3.38</v>
      </c>
      <c r="J155" s="19">
        <v>103.39</v>
      </c>
      <c r="K155" s="53">
        <f t="shared" si="68"/>
        <v>349.45819999999998</v>
      </c>
      <c r="L155" s="53">
        <f t="shared" si="70"/>
        <v>3349.2757999999999</v>
      </c>
      <c r="M155" s="19"/>
      <c r="N155" s="174">
        <f t="shared" si="71"/>
        <v>215851.89400000009</v>
      </c>
      <c r="O155" s="19"/>
      <c r="P155" s="19"/>
    </row>
    <row r="156" spans="1:16" hidden="1">
      <c r="A156" s="19">
        <v>153</v>
      </c>
      <c r="B156" s="356">
        <v>45713</v>
      </c>
      <c r="C156" s="137" t="s">
        <v>200</v>
      </c>
      <c r="D156" s="137" t="s">
        <v>127</v>
      </c>
      <c r="E156" s="370" t="s">
        <v>201</v>
      </c>
      <c r="F156" s="19">
        <v>30</v>
      </c>
      <c r="G156" s="19">
        <v>89.49</v>
      </c>
      <c r="H156" s="53">
        <f t="shared" si="67"/>
        <v>2684.7</v>
      </c>
      <c r="I156" s="19"/>
      <c r="J156" s="19"/>
      <c r="K156" s="53">
        <f t="shared" si="68"/>
        <v>0</v>
      </c>
      <c r="L156" s="53">
        <f t="shared" si="70"/>
        <v>2684.7</v>
      </c>
      <c r="M156" s="19"/>
      <c r="N156" s="174">
        <f t="shared" si="71"/>
        <v>213167.19400000008</v>
      </c>
      <c r="O156" s="19"/>
      <c r="P156" s="19"/>
    </row>
    <row r="157" spans="1:16" hidden="1">
      <c r="A157" s="126">
        <v>154</v>
      </c>
      <c r="B157" s="371">
        <v>45713</v>
      </c>
      <c r="C157" s="251" t="s">
        <v>229</v>
      </c>
      <c r="D157" s="251" t="s">
        <v>230</v>
      </c>
      <c r="E157" s="377" t="s">
        <v>231</v>
      </c>
      <c r="F157" s="126"/>
      <c r="G157" s="126"/>
      <c r="H157" s="360">
        <f t="shared" si="67"/>
        <v>0</v>
      </c>
      <c r="I157" s="126">
        <v>2</v>
      </c>
      <c r="J157" s="126">
        <v>103.76</v>
      </c>
      <c r="K157" s="360">
        <f t="shared" si="68"/>
        <v>207.52</v>
      </c>
      <c r="L157" s="360">
        <f t="shared" si="70"/>
        <v>207.52</v>
      </c>
      <c r="M157" s="126"/>
      <c r="N157" s="361">
        <f t="shared" si="71"/>
        <v>212959.67400000009</v>
      </c>
      <c r="O157" s="126"/>
      <c r="P157" s="126"/>
    </row>
    <row r="158" spans="1:16" hidden="1">
      <c r="A158" s="19">
        <v>154</v>
      </c>
      <c r="B158" s="356">
        <v>45714</v>
      </c>
      <c r="C158" s="19" t="s">
        <v>195</v>
      </c>
      <c r="D158" s="19" t="s">
        <v>196</v>
      </c>
      <c r="E158" s="369" t="s">
        <v>197</v>
      </c>
      <c r="F158" s="19">
        <v>85</v>
      </c>
      <c r="G158" s="19">
        <v>89.9</v>
      </c>
      <c r="H158" s="53">
        <f t="shared" si="67"/>
        <v>7641.5000000000009</v>
      </c>
      <c r="I158" s="19"/>
      <c r="J158" s="19"/>
      <c r="K158" s="53">
        <f t="shared" si="68"/>
        <v>0</v>
      </c>
      <c r="L158" s="53">
        <f t="shared" si="70"/>
        <v>7641.5000000000009</v>
      </c>
      <c r="M158" s="19"/>
      <c r="N158" s="174">
        <f t="shared" si="71"/>
        <v>205318.17400000009</v>
      </c>
      <c r="O158" s="19"/>
      <c r="P158" s="19"/>
    </row>
    <row r="159" spans="1:16" hidden="1">
      <c r="A159" s="126">
        <v>155</v>
      </c>
      <c r="B159" s="371">
        <v>45714</v>
      </c>
      <c r="C159" s="251" t="s">
        <v>239</v>
      </c>
      <c r="D159" s="251" t="s">
        <v>125</v>
      </c>
      <c r="E159" s="377" t="s">
        <v>240</v>
      </c>
      <c r="F159" s="126">
        <v>10.1</v>
      </c>
      <c r="G159" s="126">
        <v>89.14</v>
      </c>
      <c r="H159" s="360">
        <f t="shared" si="67"/>
        <v>900.31399999999996</v>
      </c>
      <c r="I159" s="126">
        <v>5</v>
      </c>
      <c r="J159" s="126">
        <v>103.05</v>
      </c>
      <c r="K159" s="360">
        <f t="shared" si="68"/>
        <v>515.25</v>
      </c>
      <c r="L159" s="360">
        <f t="shared" si="70"/>
        <v>1415.5639999999999</v>
      </c>
      <c r="M159" s="126"/>
      <c r="N159" s="361">
        <f t="shared" si="71"/>
        <v>203902.61000000007</v>
      </c>
      <c r="O159" s="126"/>
      <c r="P159" s="126"/>
    </row>
    <row r="160" spans="1:16" hidden="1">
      <c r="A160" s="19">
        <v>156</v>
      </c>
      <c r="B160" s="356">
        <v>45714</v>
      </c>
      <c r="C160" s="137" t="s">
        <v>222</v>
      </c>
      <c r="D160" s="137" t="s">
        <v>223</v>
      </c>
      <c r="E160" s="370" t="s">
        <v>224</v>
      </c>
      <c r="F160" s="19">
        <v>241.61</v>
      </c>
      <c r="G160" s="19">
        <v>90.02</v>
      </c>
      <c r="H160" s="53">
        <f t="shared" si="67"/>
        <v>21749.732199999999</v>
      </c>
      <c r="I160" s="19"/>
      <c r="J160" s="19"/>
      <c r="K160" s="53">
        <f t="shared" si="68"/>
        <v>0</v>
      </c>
      <c r="L160" s="53">
        <f t="shared" si="70"/>
        <v>21749.732199999999</v>
      </c>
      <c r="M160" s="19"/>
      <c r="N160" s="174">
        <f t="shared" si="71"/>
        <v>182152.87780000007</v>
      </c>
      <c r="O160" s="19"/>
      <c r="P160" s="19"/>
    </row>
    <row r="161" spans="1:16" hidden="1">
      <c r="A161" s="19">
        <v>157</v>
      </c>
      <c r="B161" s="356">
        <v>45715</v>
      </c>
      <c r="C161" s="19" t="s">
        <v>195</v>
      </c>
      <c r="D161" s="19" t="s">
        <v>196</v>
      </c>
      <c r="E161" s="369" t="s">
        <v>197</v>
      </c>
      <c r="F161" s="19">
        <v>60</v>
      </c>
      <c r="G161" s="19">
        <v>89.9</v>
      </c>
      <c r="H161" s="53">
        <f t="shared" si="67"/>
        <v>5394</v>
      </c>
      <c r="I161" s="19">
        <v>5.77</v>
      </c>
      <c r="J161" s="19">
        <v>103.96</v>
      </c>
      <c r="K161" s="53">
        <f t="shared" si="68"/>
        <v>599.84919999999988</v>
      </c>
      <c r="L161" s="53">
        <f t="shared" si="70"/>
        <v>5993.8491999999997</v>
      </c>
      <c r="M161" s="19"/>
      <c r="N161" s="174">
        <f t="shared" si="71"/>
        <v>176159.02860000008</v>
      </c>
      <c r="O161" s="19"/>
      <c r="P161" s="19"/>
    </row>
    <row r="162" spans="1:16" hidden="1">
      <c r="A162" s="19">
        <v>158</v>
      </c>
      <c r="B162" s="356">
        <v>45715</v>
      </c>
      <c r="C162" s="137" t="s">
        <v>239</v>
      </c>
      <c r="D162" s="137" t="s">
        <v>125</v>
      </c>
      <c r="E162" s="370" t="s">
        <v>240</v>
      </c>
      <c r="F162" s="19"/>
      <c r="G162" s="19"/>
      <c r="H162" s="53">
        <f t="shared" si="67"/>
        <v>0</v>
      </c>
      <c r="I162" s="19">
        <v>5</v>
      </c>
      <c r="J162" s="19">
        <v>103.05</v>
      </c>
      <c r="K162" s="53">
        <f t="shared" si="68"/>
        <v>515.25</v>
      </c>
      <c r="L162" s="53">
        <f t="shared" si="70"/>
        <v>515.25</v>
      </c>
      <c r="M162" s="19"/>
      <c r="N162" s="174">
        <f t="shared" si="71"/>
        <v>175643.77860000008</v>
      </c>
      <c r="O162" s="19"/>
      <c r="P162" s="19"/>
    </row>
    <row r="163" spans="1:16" hidden="1">
      <c r="A163" s="19">
        <v>159</v>
      </c>
      <c r="B163" s="356">
        <v>45715</v>
      </c>
      <c r="C163" s="137" t="s">
        <v>211</v>
      </c>
      <c r="D163" s="137" t="s">
        <v>243</v>
      </c>
      <c r="E163" s="370" t="s">
        <v>213</v>
      </c>
      <c r="F163" s="19">
        <v>330</v>
      </c>
      <c r="G163" s="19">
        <v>90.23</v>
      </c>
      <c r="H163" s="53">
        <f t="shared" si="67"/>
        <v>29775.9</v>
      </c>
      <c r="I163" s="19"/>
      <c r="J163" s="19"/>
      <c r="K163" s="53">
        <f t="shared" si="68"/>
        <v>0</v>
      </c>
      <c r="L163" s="53">
        <f t="shared" si="70"/>
        <v>29775.9</v>
      </c>
      <c r="M163" s="19"/>
      <c r="N163" s="174">
        <f t="shared" si="71"/>
        <v>145867.87860000008</v>
      </c>
      <c r="O163" s="19"/>
      <c r="P163" s="19"/>
    </row>
    <row r="164" spans="1:16" hidden="1">
      <c r="A164" s="19">
        <v>160</v>
      </c>
      <c r="B164" s="356">
        <v>45715</v>
      </c>
      <c r="C164" s="19" t="s">
        <v>220</v>
      </c>
      <c r="D164" s="19" t="s">
        <v>131</v>
      </c>
      <c r="E164" s="369" t="s">
        <v>221</v>
      </c>
      <c r="F164" s="19">
        <v>50</v>
      </c>
      <c r="G164" s="19">
        <v>89.22</v>
      </c>
      <c r="H164" s="53">
        <f t="shared" si="67"/>
        <v>4461</v>
      </c>
      <c r="I164" s="19"/>
      <c r="J164" s="19"/>
      <c r="K164" s="53">
        <f t="shared" si="68"/>
        <v>0</v>
      </c>
      <c r="L164" s="53">
        <f t="shared" si="70"/>
        <v>4461</v>
      </c>
      <c r="M164" s="19"/>
      <c r="N164" s="174">
        <f t="shared" si="71"/>
        <v>141406.87860000008</v>
      </c>
      <c r="O164" s="19"/>
      <c r="P164" s="19"/>
    </row>
    <row r="165" spans="1:16" hidden="1">
      <c r="A165" s="126">
        <v>161</v>
      </c>
      <c r="B165" s="371">
        <v>45715</v>
      </c>
      <c r="C165" s="126" t="s">
        <v>225</v>
      </c>
      <c r="D165" s="126" t="s">
        <v>238</v>
      </c>
      <c r="E165" s="400" t="s">
        <v>221</v>
      </c>
      <c r="F165" s="126">
        <v>230</v>
      </c>
      <c r="G165" s="126">
        <v>89.33</v>
      </c>
      <c r="H165" s="360">
        <f t="shared" si="67"/>
        <v>20545.899999999998</v>
      </c>
      <c r="I165" s="126">
        <v>9.1</v>
      </c>
      <c r="J165" s="126">
        <v>103.26</v>
      </c>
      <c r="K165" s="360">
        <f t="shared" si="68"/>
        <v>939.66600000000005</v>
      </c>
      <c r="L165" s="360">
        <f t="shared" si="70"/>
        <v>21485.565999999999</v>
      </c>
      <c r="M165" s="126"/>
      <c r="N165" s="361">
        <f t="shared" si="71"/>
        <v>119921.31260000009</v>
      </c>
      <c r="O165" s="126"/>
      <c r="P165" s="126"/>
    </row>
    <row r="166" spans="1:16" hidden="1">
      <c r="A166" s="19">
        <v>162</v>
      </c>
      <c r="B166" s="356">
        <v>45715</v>
      </c>
      <c r="C166" s="137" t="s">
        <v>200</v>
      </c>
      <c r="D166" s="137" t="s">
        <v>127</v>
      </c>
      <c r="E166" s="370" t="s">
        <v>201</v>
      </c>
      <c r="F166" s="19">
        <v>33.520000000000003</v>
      </c>
      <c r="G166" s="19">
        <v>89.49</v>
      </c>
      <c r="H166" s="53">
        <f t="shared" si="67"/>
        <v>2999.7048</v>
      </c>
      <c r="I166" s="19"/>
      <c r="J166" s="19"/>
      <c r="K166" s="53">
        <f t="shared" si="68"/>
        <v>0</v>
      </c>
      <c r="L166" s="53">
        <f t="shared" si="70"/>
        <v>2999.7048</v>
      </c>
      <c r="M166" s="19"/>
      <c r="N166" s="174">
        <f t="shared" si="71"/>
        <v>116921.60780000009</v>
      </c>
      <c r="O166" s="19"/>
      <c r="P166" s="19"/>
    </row>
    <row r="167" spans="1:16" hidden="1">
      <c r="A167" s="19">
        <v>163</v>
      </c>
      <c r="B167" s="356">
        <v>45715</v>
      </c>
      <c r="C167" s="137" t="s">
        <v>222</v>
      </c>
      <c r="D167" s="137" t="s">
        <v>223</v>
      </c>
      <c r="E167" s="370" t="s">
        <v>224</v>
      </c>
      <c r="F167" s="19"/>
      <c r="G167" s="19"/>
      <c r="H167" s="53">
        <f t="shared" si="67"/>
        <v>0</v>
      </c>
      <c r="I167" s="19">
        <v>10</v>
      </c>
      <c r="J167" s="19">
        <v>104.02</v>
      </c>
      <c r="K167" s="53">
        <f t="shared" si="68"/>
        <v>1040.2</v>
      </c>
      <c r="L167" s="53">
        <f t="shared" si="70"/>
        <v>1040.2</v>
      </c>
      <c r="M167" s="19"/>
      <c r="N167" s="174">
        <f t="shared" si="71"/>
        <v>115881.40780000009</v>
      </c>
      <c r="O167" s="19"/>
      <c r="P167" s="19"/>
    </row>
    <row r="168" spans="1:16" hidden="1">
      <c r="A168" s="19">
        <v>164</v>
      </c>
      <c r="B168" s="356">
        <v>45716</v>
      </c>
      <c r="C168" s="19" t="s">
        <v>195</v>
      </c>
      <c r="D168" s="19" t="s">
        <v>196</v>
      </c>
      <c r="E168" s="369" t="s">
        <v>197</v>
      </c>
      <c r="F168" s="19">
        <v>100</v>
      </c>
      <c r="G168" s="19">
        <v>89.9</v>
      </c>
      <c r="H168" s="53">
        <f t="shared" si="67"/>
        <v>8990</v>
      </c>
      <c r="I168" s="19">
        <v>7.53</v>
      </c>
      <c r="J168" s="19">
        <v>103.96</v>
      </c>
      <c r="K168" s="53">
        <f t="shared" si="68"/>
        <v>782.81880000000001</v>
      </c>
      <c r="L168" s="53">
        <f t="shared" si="70"/>
        <v>9772.8188000000009</v>
      </c>
      <c r="M168" s="19"/>
      <c r="N168" s="174">
        <f t="shared" si="71"/>
        <v>106108.58900000009</v>
      </c>
      <c r="O168" s="19"/>
      <c r="P168" s="19"/>
    </row>
    <row r="169" spans="1:16" hidden="1">
      <c r="A169" s="19">
        <v>165</v>
      </c>
      <c r="B169" s="356">
        <v>45716</v>
      </c>
      <c r="C169" s="137" t="s">
        <v>202</v>
      </c>
      <c r="D169" s="137" t="s">
        <v>203</v>
      </c>
      <c r="E169" s="370" t="s">
        <v>204</v>
      </c>
      <c r="F169" s="19">
        <v>281.88</v>
      </c>
      <c r="G169" s="19">
        <v>89.47</v>
      </c>
      <c r="H169" s="53">
        <f t="shared" si="67"/>
        <v>25219.803599999999</v>
      </c>
      <c r="I169" s="19">
        <v>12</v>
      </c>
      <c r="J169" s="19">
        <v>103.4</v>
      </c>
      <c r="K169" s="53">
        <f t="shared" si="68"/>
        <v>1240.8000000000002</v>
      </c>
      <c r="L169" s="53">
        <f t="shared" si="70"/>
        <v>26460.603599999999</v>
      </c>
      <c r="M169" s="19"/>
      <c r="N169" s="174">
        <f t="shared" si="71"/>
        <v>79647.985400000092</v>
      </c>
      <c r="O169" s="19"/>
      <c r="P169" s="19"/>
    </row>
    <row r="170" spans="1:16" hidden="1">
      <c r="A170" s="19">
        <v>166</v>
      </c>
      <c r="B170" s="356">
        <v>45716</v>
      </c>
      <c r="C170" s="137" t="s">
        <v>236</v>
      </c>
      <c r="D170" s="137" t="s">
        <v>136</v>
      </c>
      <c r="E170" s="370" t="s">
        <v>237</v>
      </c>
      <c r="F170" s="19"/>
      <c r="G170" s="19"/>
      <c r="H170" s="53">
        <f t="shared" si="67"/>
        <v>0</v>
      </c>
      <c r="I170" s="19">
        <v>8.93</v>
      </c>
      <c r="J170" s="19">
        <v>102.46</v>
      </c>
      <c r="K170" s="53">
        <f t="shared" si="68"/>
        <v>914.9677999999999</v>
      </c>
      <c r="L170" s="53">
        <f t="shared" si="70"/>
        <v>914.9677999999999</v>
      </c>
      <c r="M170" s="19"/>
      <c r="N170" s="174">
        <f t="shared" si="71"/>
        <v>78733.017600000094</v>
      </c>
      <c r="O170" s="19"/>
      <c r="P170" s="19"/>
    </row>
    <row r="171" spans="1:16" hidden="1">
      <c r="A171" s="19">
        <v>167</v>
      </c>
      <c r="B171" s="356">
        <v>45716</v>
      </c>
      <c r="C171" s="137" t="s">
        <v>247</v>
      </c>
      <c r="D171" s="137" t="s">
        <v>248</v>
      </c>
      <c r="E171" s="370" t="s">
        <v>249</v>
      </c>
      <c r="F171" s="19">
        <v>60</v>
      </c>
      <c r="G171" s="19">
        <v>89.58</v>
      </c>
      <c r="H171" s="53">
        <f t="shared" si="67"/>
        <v>5374.8</v>
      </c>
      <c r="I171" s="19">
        <v>6.51</v>
      </c>
      <c r="J171" s="19">
        <v>103.53</v>
      </c>
      <c r="K171" s="53">
        <f t="shared" si="68"/>
        <v>673.98029999999994</v>
      </c>
      <c r="L171" s="53">
        <f t="shared" si="70"/>
        <v>6048.7803000000004</v>
      </c>
      <c r="M171" s="19"/>
      <c r="N171" s="174">
        <f t="shared" si="71"/>
        <v>72684.237300000095</v>
      </c>
      <c r="O171" s="19"/>
      <c r="P171" s="19"/>
    </row>
    <row r="172" spans="1:16" hidden="1">
      <c r="A172" s="19">
        <v>168</v>
      </c>
      <c r="B172" s="356">
        <v>45716</v>
      </c>
      <c r="C172" s="137" t="s">
        <v>220</v>
      </c>
      <c r="D172" s="137" t="s">
        <v>131</v>
      </c>
      <c r="E172" s="370" t="s">
        <v>221</v>
      </c>
      <c r="F172" s="19">
        <v>20</v>
      </c>
      <c r="G172" s="19">
        <v>89.22</v>
      </c>
      <c r="H172" s="53">
        <f t="shared" si="67"/>
        <v>1784.4</v>
      </c>
      <c r="I172" s="19"/>
      <c r="J172" s="19"/>
      <c r="K172" s="53">
        <f t="shared" si="68"/>
        <v>0</v>
      </c>
      <c r="L172" s="53">
        <f t="shared" si="70"/>
        <v>1784.4</v>
      </c>
      <c r="M172" s="19"/>
      <c r="N172" s="174">
        <f t="shared" si="71"/>
        <v>70899.837300000101</v>
      </c>
      <c r="O172" s="19"/>
      <c r="P172" s="19"/>
    </row>
    <row r="173" spans="1:16" hidden="1">
      <c r="A173" s="19">
        <v>169</v>
      </c>
      <c r="B173" s="356">
        <v>45716</v>
      </c>
      <c r="C173" s="137" t="s">
        <v>225</v>
      </c>
      <c r="D173" s="137" t="s">
        <v>238</v>
      </c>
      <c r="E173" s="370" t="s">
        <v>221</v>
      </c>
      <c r="F173" s="19">
        <v>50</v>
      </c>
      <c r="G173" s="19">
        <v>89.33</v>
      </c>
      <c r="H173" s="53">
        <f t="shared" si="67"/>
        <v>4466.5</v>
      </c>
      <c r="I173" s="19"/>
      <c r="J173" s="19"/>
      <c r="K173" s="53">
        <f t="shared" si="68"/>
        <v>0</v>
      </c>
      <c r="L173" s="53">
        <f t="shared" si="70"/>
        <v>4466.5</v>
      </c>
      <c r="M173" s="19"/>
      <c r="N173" s="174">
        <f t="shared" si="71"/>
        <v>66433.337300000101</v>
      </c>
      <c r="O173" s="19"/>
      <c r="P173" s="19"/>
    </row>
    <row r="174" spans="1:16" hidden="1">
      <c r="A174" s="19">
        <v>170</v>
      </c>
      <c r="B174" s="356">
        <v>45716</v>
      </c>
      <c r="C174" s="137" t="s">
        <v>200</v>
      </c>
      <c r="D174" s="137" t="s">
        <v>127</v>
      </c>
      <c r="E174" s="370" t="s">
        <v>201</v>
      </c>
      <c r="F174" s="19">
        <v>42.88</v>
      </c>
      <c r="G174" s="19">
        <v>89.49</v>
      </c>
      <c r="H174" s="53">
        <f t="shared" si="67"/>
        <v>3837.3312000000001</v>
      </c>
      <c r="I174" s="19">
        <v>9.66</v>
      </c>
      <c r="J174" s="19">
        <v>103.44</v>
      </c>
      <c r="K174" s="53">
        <f t="shared" si="68"/>
        <v>999.23040000000003</v>
      </c>
      <c r="L174" s="53">
        <f t="shared" si="70"/>
        <v>4836.5616</v>
      </c>
      <c r="M174" s="19"/>
      <c r="N174" s="174">
        <f t="shared" si="71"/>
        <v>61596.7757000001</v>
      </c>
      <c r="O174" s="19"/>
      <c r="P174" s="19"/>
    </row>
    <row r="175" spans="1:16" hidden="1">
      <c r="A175" s="19">
        <v>171</v>
      </c>
      <c r="B175" s="356">
        <v>45716</v>
      </c>
      <c r="C175" s="137" t="s">
        <v>229</v>
      </c>
      <c r="D175" s="137" t="s">
        <v>230</v>
      </c>
      <c r="E175" s="370" t="s">
        <v>231</v>
      </c>
      <c r="F175" s="19">
        <v>90</v>
      </c>
      <c r="G175" s="19">
        <v>89.78</v>
      </c>
      <c r="H175" s="53">
        <f t="shared" si="67"/>
        <v>8080.2</v>
      </c>
      <c r="I175" s="19">
        <v>6</v>
      </c>
      <c r="J175" s="19">
        <v>103.76</v>
      </c>
      <c r="K175" s="53">
        <f t="shared" si="68"/>
        <v>622.56000000000006</v>
      </c>
      <c r="L175" s="53">
        <f t="shared" si="70"/>
        <v>8702.76</v>
      </c>
      <c r="M175" s="19"/>
      <c r="N175" s="174">
        <f t="shared" si="71"/>
        <v>52894.015700000098</v>
      </c>
      <c r="O175" s="19"/>
      <c r="P175" s="19"/>
    </row>
    <row r="176" spans="1:16" hidden="1">
      <c r="A176" s="19">
        <v>172</v>
      </c>
      <c r="B176" s="356">
        <v>45716</v>
      </c>
      <c r="C176" s="137" t="s">
        <v>222</v>
      </c>
      <c r="D176" s="137" t="s">
        <v>223</v>
      </c>
      <c r="E176" s="370" t="s">
        <v>224</v>
      </c>
      <c r="F176" s="19">
        <v>165</v>
      </c>
      <c r="G176" s="19">
        <v>90.02</v>
      </c>
      <c r="H176" s="53">
        <f t="shared" si="67"/>
        <v>14853.3</v>
      </c>
      <c r="I176" s="19"/>
      <c r="J176" s="19"/>
      <c r="K176" s="19"/>
      <c r="L176" s="53">
        <f t="shared" si="70"/>
        <v>14853.3</v>
      </c>
      <c r="M176" s="19"/>
      <c r="N176" s="174">
        <f t="shared" si="71"/>
        <v>38040.715700000103</v>
      </c>
      <c r="O176" s="19"/>
      <c r="P176" s="19"/>
    </row>
    <row r="180" spans="10:14">
      <c r="J180" t="s">
        <v>256</v>
      </c>
    </row>
    <row r="181" spans="10:14">
      <c r="N181" s="399">
        <v>37954.49</v>
      </c>
    </row>
    <row r="182" spans="10:14">
      <c r="N182" s="230">
        <f>N176-N181</f>
        <v>86.225700000104553</v>
      </c>
    </row>
  </sheetData>
  <autoFilter ref="A2:P176" xr:uid="{685F041A-D552-4E9C-82CE-6FE0FE7DB884}">
    <filterColumn colId="4">
      <filters>
        <filter val="7161000000114868"/>
      </filters>
    </filterColumn>
  </autoFilter>
  <mergeCells count="2">
    <mergeCell ref="A3:K3"/>
    <mergeCell ref="A1:P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775-471E-4146-8F7D-1D2F90FA3D32}">
  <sheetPr>
    <tabColor theme="7" tint="0.79998168889431442"/>
  </sheetPr>
  <dimension ref="A1:U70"/>
  <sheetViews>
    <sheetView topLeftCell="A13" workbookViewId="0">
      <selection activeCell="K10" sqref="K10"/>
    </sheetView>
  </sheetViews>
  <sheetFormatPr defaultRowHeight="15"/>
  <cols>
    <col min="1" max="1" width="5.140625" bestFit="1" customWidth="1"/>
    <col min="2" max="2" width="10.42578125" bestFit="1" customWidth="1"/>
    <col min="3" max="3" width="37.42578125" customWidth="1"/>
    <col min="4" max="4" width="14.28515625" bestFit="1" customWidth="1"/>
    <col min="5" max="5" width="10.7109375" bestFit="1" customWidth="1"/>
    <col min="6" max="6" width="7.28515625" customWidth="1"/>
    <col min="7" max="7" width="11.42578125" style="24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7" bestFit="1" customWidth="1"/>
    <col min="13" max="13" width="11.5703125" bestFit="1" customWidth="1"/>
    <col min="14" max="16" width="9.28515625" bestFit="1" customWidth="1"/>
    <col min="18" max="18" width="10.42578125" bestFit="1" customWidth="1"/>
  </cols>
  <sheetData>
    <row r="1" spans="1:19" ht="15.75">
      <c r="A1" s="429" t="s">
        <v>257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</row>
    <row r="2" spans="1:19">
      <c r="A2" s="89" t="s">
        <v>1</v>
      </c>
      <c r="B2" s="113" t="s">
        <v>2</v>
      </c>
      <c r="C2" s="113" t="s">
        <v>189</v>
      </c>
      <c r="D2" s="113" t="s">
        <v>191</v>
      </c>
      <c r="E2" s="113" t="s">
        <v>5</v>
      </c>
      <c r="F2" s="113" t="s">
        <v>6</v>
      </c>
      <c r="G2" s="121" t="s">
        <v>7</v>
      </c>
      <c r="H2" s="113" t="s">
        <v>8</v>
      </c>
      <c r="I2" s="113" t="s">
        <v>6</v>
      </c>
      <c r="J2" s="121" t="s">
        <v>7</v>
      </c>
      <c r="K2" s="89" t="s">
        <v>9</v>
      </c>
      <c r="L2" s="122" t="s">
        <v>192</v>
      </c>
      <c r="M2" s="115" t="s">
        <v>11</v>
      </c>
      <c r="N2" s="113" t="s">
        <v>12</v>
      </c>
      <c r="O2" s="113" t="s">
        <v>193</v>
      </c>
    </row>
    <row r="3" spans="1:19">
      <c r="A3" s="472" t="s">
        <v>13</v>
      </c>
      <c r="B3" s="472"/>
      <c r="C3" s="472"/>
      <c r="D3" s="472"/>
      <c r="E3" s="435"/>
      <c r="F3" s="435"/>
      <c r="G3" s="435"/>
      <c r="H3" s="435"/>
      <c r="I3" s="435"/>
      <c r="J3" s="435"/>
      <c r="K3" s="336">
        <v>186460.81180000011</v>
      </c>
      <c r="L3" s="68"/>
      <c r="M3" s="19"/>
      <c r="N3" s="19"/>
      <c r="O3" s="19"/>
    </row>
    <row r="4" spans="1:19">
      <c r="A4" s="213">
        <v>1</v>
      </c>
      <c r="B4" s="337"/>
      <c r="C4" s="214"/>
      <c r="D4" s="213"/>
      <c r="E4" s="215"/>
      <c r="F4" s="213"/>
      <c r="G4" s="216"/>
      <c r="H4" s="213"/>
      <c r="I4" s="213"/>
      <c r="J4" s="216"/>
      <c r="K4" s="216"/>
      <c r="L4" s="216"/>
      <c r="M4" s="216">
        <f>K3+L4-K4</f>
        <v>186460.81180000011</v>
      </c>
      <c r="N4" s="213"/>
      <c r="O4" s="213"/>
    </row>
    <row r="5" spans="1:19">
      <c r="A5" s="19">
        <v>2</v>
      </c>
      <c r="B5" s="338">
        <v>45689</v>
      </c>
      <c r="C5" s="137" t="s">
        <v>258</v>
      </c>
      <c r="D5" s="137" t="s">
        <v>259</v>
      </c>
      <c r="E5" s="19">
        <v>50</v>
      </c>
      <c r="F5" s="19">
        <v>88.89</v>
      </c>
      <c r="G5" s="216">
        <f t="shared" ref="G5:G69" si="0">E5*F5</f>
        <v>4444.5</v>
      </c>
      <c r="H5" s="19"/>
      <c r="I5" s="19"/>
      <c r="J5" s="19"/>
      <c r="K5" s="216">
        <f t="shared" ref="K5:K25" si="1">G5+J5</f>
        <v>4444.5</v>
      </c>
      <c r="L5" s="19">
        <v>2000000</v>
      </c>
      <c r="M5" s="216">
        <f>M4+L5-K5</f>
        <v>2182016.3118000003</v>
      </c>
      <c r="N5" s="19"/>
      <c r="O5" s="19"/>
    </row>
    <row r="6" spans="1:19">
      <c r="A6" s="19">
        <v>3</v>
      </c>
      <c r="B6" s="338">
        <v>45689</v>
      </c>
      <c r="C6" s="137" t="s">
        <v>260</v>
      </c>
      <c r="D6" s="137" t="s">
        <v>261</v>
      </c>
      <c r="E6" s="19">
        <v>10447.17</v>
      </c>
      <c r="F6" s="19">
        <v>95.72</v>
      </c>
      <c r="G6" s="216">
        <f t="shared" si="0"/>
        <v>1000003.1124</v>
      </c>
      <c r="H6" s="19"/>
      <c r="I6" s="19"/>
      <c r="J6" s="19"/>
      <c r="K6" s="216">
        <f t="shared" si="1"/>
        <v>1000003.1124</v>
      </c>
      <c r="L6" s="19"/>
      <c r="M6" s="216">
        <f t="shared" ref="M6:M48" si="2">M5+L6-K6</f>
        <v>1182013.1994000003</v>
      </c>
      <c r="N6" s="19"/>
      <c r="O6" s="19"/>
    </row>
    <row r="7" spans="1:19">
      <c r="A7" s="213">
        <v>4</v>
      </c>
      <c r="B7" s="338">
        <v>45689</v>
      </c>
      <c r="C7" s="137" t="s">
        <v>262</v>
      </c>
      <c r="D7" s="137" t="s">
        <v>263</v>
      </c>
      <c r="E7" s="19">
        <v>10371.33</v>
      </c>
      <c r="F7" s="19">
        <v>96.42</v>
      </c>
      <c r="G7" s="216">
        <f t="shared" si="0"/>
        <v>1000003.6386000001</v>
      </c>
      <c r="H7" s="19"/>
      <c r="I7" s="19"/>
      <c r="J7" s="19"/>
      <c r="K7" s="216">
        <f t="shared" si="1"/>
        <v>1000003.6386000001</v>
      </c>
      <c r="L7" s="19"/>
      <c r="M7" s="216">
        <f t="shared" si="2"/>
        <v>182009.56080000021</v>
      </c>
      <c r="N7" s="19"/>
      <c r="O7" s="19"/>
    </row>
    <row r="8" spans="1:19">
      <c r="A8" s="19">
        <v>5</v>
      </c>
      <c r="B8" s="338">
        <v>45691</v>
      </c>
      <c r="C8" s="214" t="s">
        <v>264</v>
      </c>
      <c r="D8" s="137" t="s">
        <v>265</v>
      </c>
      <c r="E8" s="19">
        <v>40</v>
      </c>
      <c r="F8" s="19">
        <v>89.26</v>
      </c>
      <c r="G8" s="216">
        <f t="shared" si="0"/>
        <v>3570.4</v>
      </c>
      <c r="H8" s="19">
        <v>6</v>
      </c>
      <c r="I8" s="19">
        <v>103.18</v>
      </c>
      <c r="J8" s="216">
        <f>H8*I8</f>
        <v>619.08000000000004</v>
      </c>
      <c r="K8" s="216">
        <f t="shared" si="1"/>
        <v>4189.4800000000005</v>
      </c>
      <c r="L8" s="19"/>
      <c r="M8" s="216">
        <f t="shared" si="2"/>
        <v>177820.0808000002</v>
      </c>
      <c r="N8" s="19"/>
      <c r="O8" s="19"/>
    </row>
    <row r="9" spans="1:19">
      <c r="A9" s="19">
        <v>6</v>
      </c>
      <c r="B9" s="339">
        <v>45691</v>
      </c>
      <c r="C9" s="251" t="s">
        <v>258</v>
      </c>
      <c r="D9" s="251" t="s">
        <v>259</v>
      </c>
      <c r="E9" s="126"/>
      <c r="F9" s="126"/>
      <c r="G9" s="217">
        <f t="shared" si="0"/>
        <v>0</v>
      </c>
      <c r="H9" s="126">
        <v>14.6</v>
      </c>
      <c r="I9" s="126">
        <v>102.77</v>
      </c>
      <c r="J9" s="217">
        <f>H9*I9</f>
        <v>1500.442</v>
      </c>
      <c r="K9" s="217">
        <f t="shared" si="1"/>
        <v>1500.442</v>
      </c>
      <c r="L9" s="126"/>
      <c r="M9" s="217">
        <f t="shared" si="2"/>
        <v>176319.63880000019</v>
      </c>
      <c r="N9" s="126"/>
      <c r="O9" s="126"/>
    </row>
    <row r="10" spans="1:19">
      <c r="A10" s="213">
        <v>7</v>
      </c>
      <c r="B10" s="338">
        <v>45692</v>
      </c>
      <c r="C10" s="214" t="s">
        <v>266</v>
      </c>
      <c r="D10" s="137" t="s">
        <v>267</v>
      </c>
      <c r="E10" s="19"/>
      <c r="F10" s="19"/>
      <c r="G10" s="216">
        <f t="shared" si="0"/>
        <v>0</v>
      </c>
      <c r="H10" s="19">
        <v>3.84</v>
      </c>
      <c r="I10" s="19">
        <v>107.46</v>
      </c>
      <c r="J10" s="216">
        <f>H10*I10</f>
        <v>412.64639999999997</v>
      </c>
      <c r="K10" s="216">
        <f t="shared" si="1"/>
        <v>412.64639999999997</v>
      </c>
      <c r="L10" s="19"/>
      <c r="M10" s="216">
        <f t="shared" si="2"/>
        <v>175906.99240000019</v>
      </c>
      <c r="N10" s="19"/>
      <c r="O10" s="19"/>
    </row>
    <row r="11" spans="1:19">
      <c r="A11" s="19">
        <v>8</v>
      </c>
      <c r="B11" s="338">
        <v>45692</v>
      </c>
      <c r="C11" s="214" t="s">
        <v>264</v>
      </c>
      <c r="D11" s="137" t="s">
        <v>265</v>
      </c>
      <c r="E11" s="19">
        <v>64.989999999999995</v>
      </c>
      <c r="F11" s="19">
        <v>89.26</v>
      </c>
      <c r="G11" s="216">
        <f t="shared" si="0"/>
        <v>5801.0073999999995</v>
      </c>
      <c r="H11" s="19">
        <v>12</v>
      </c>
      <c r="I11" s="19">
        <v>103.18</v>
      </c>
      <c r="J11" s="216">
        <f>H11*I11</f>
        <v>1238.1600000000001</v>
      </c>
      <c r="K11" s="216">
        <f t="shared" si="1"/>
        <v>7039.1673999999994</v>
      </c>
      <c r="L11" s="19"/>
      <c r="M11" s="216">
        <f t="shared" si="2"/>
        <v>168867.82500000019</v>
      </c>
      <c r="N11" s="19"/>
      <c r="O11" s="19"/>
    </row>
    <row r="12" spans="1:19">
      <c r="A12" s="19">
        <v>9</v>
      </c>
      <c r="B12" s="338">
        <v>45692</v>
      </c>
      <c r="C12" s="251" t="s">
        <v>258</v>
      </c>
      <c r="D12" s="251" t="s">
        <v>259</v>
      </c>
      <c r="E12" s="126">
        <v>33.75</v>
      </c>
      <c r="F12" s="126">
        <v>88.89</v>
      </c>
      <c r="G12" s="217">
        <f t="shared" si="0"/>
        <v>3000.0374999999999</v>
      </c>
      <c r="H12" s="126">
        <v>0</v>
      </c>
      <c r="I12" s="126"/>
      <c r="J12" s="216">
        <f t="shared" ref="J12:J25" si="3">H12*I12</f>
        <v>0</v>
      </c>
      <c r="K12" s="217">
        <f t="shared" si="1"/>
        <v>3000.0374999999999</v>
      </c>
      <c r="L12" s="126"/>
      <c r="M12" s="217">
        <f t="shared" si="2"/>
        <v>165867.78750000018</v>
      </c>
      <c r="N12" s="126"/>
      <c r="O12" s="126"/>
    </row>
    <row r="13" spans="1:19">
      <c r="A13" s="213">
        <v>10</v>
      </c>
      <c r="B13" s="340">
        <v>45693</v>
      </c>
      <c r="C13" s="19" t="s">
        <v>268</v>
      </c>
      <c r="D13" s="137" t="s">
        <v>269</v>
      </c>
      <c r="E13" s="19">
        <v>16458.18</v>
      </c>
      <c r="F13" s="19">
        <v>91.14</v>
      </c>
      <c r="G13" s="216">
        <f t="shared" si="0"/>
        <v>1499998.5252</v>
      </c>
      <c r="H13" s="126">
        <v>0</v>
      </c>
      <c r="I13" s="19"/>
      <c r="J13" s="216">
        <f t="shared" si="3"/>
        <v>0</v>
      </c>
      <c r="K13" s="216">
        <f t="shared" si="1"/>
        <v>1499998.5252</v>
      </c>
      <c r="L13" s="19">
        <v>3500000</v>
      </c>
      <c r="M13" s="216">
        <f t="shared" si="2"/>
        <v>2165869.2623000001</v>
      </c>
      <c r="N13" s="19"/>
      <c r="O13" s="19"/>
    </row>
    <row r="14" spans="1:19">
      <c r="A14" s="126">
        <v>11</v>
      </c>
      <c r="B14" s="341">
        <v>45693</v>
      </c>
      <c r="C14" s="251" t="s">
        <v>260</v>
      </c>
      <c r="D14" s="251" t="s">
        <v>261</v>
      </c>
      <c r="E14" s="126">
        <v>10447.17</v>
      </c>
      <c r="F14" s="126">
        <v>95.72</v>
      </c>
      <c r="G14" s="217">
        <f t="shared" si="0"/>
        <v>1000003.1124</v>
      </c>
      <c r="H14" s="126">
        <v>0</v>
      </c>
      <c r="I14" s="126"/>
      <c r="J14" s="217">
        <f t="shared" si="3"/>
        <v>0</v>
      </c>
      <c r="K14" s="217">
        <f t="shared" si="1"/>
        <v>1000003.1124</v>
      </c>
      <c r="L14" s="126"/>
      <c r="M14" s="217">
        <f t="shared" si="2"/>
        <v>1165866.1499000001</v>
      </c>
      <c r="N14" s="126"/>
      <c r="O14" s="126"/>
    </row>
    <row r="15" spans="1:19">
      <c r="A15" s="19">
        <v>12</v>
      </c>
      <c r="B15" s="250">
        <v>45693</v>
      </c>
      <c r="C15" s="137" t="s">
        <v>262</v>
      </c>
      <c r="D15" s="137" t="s">
        <v>263</v>
      </c>
      <c r="E15" s="19">
        <v>10371.33</v>
      </c>
      <c r="F15" s="19">
        <v>96.42</v>
      </c>
      <c r="G15" s="216">
        <f t="shared" si="0"/>
        <v>1000003.6386000001</v>
      </c>
      <c r="H15" s="126">
        <v>0</v>
      </c>
      <c r="I15" s="19"/>
      <c r="J15" s="216">
        <f t="shared" si="3"/>
        <v>0</v>
      </c>
      <c r="K15" s="216">
        <f t="shared" si="1"/>
        <v>1000003.6386000001</v>
      </c>
      <c r="L15" s="19"/>
      <c r="M15" s="216">
        <f t="shared" si="2"/>
        <v>165862.51130000001</v>
      </c>
      <c r="N15" s="19"/>
      <c r="O15" s="19"/>
    </row>
    <row r="16" spans="1:19">
      <c r="A16" s="213">
        <v>13</v>
      </c>
      <c r="B16" s="250">
        <v>45693</v>
      </c>
      <c r="C16" s="214" t="s">
        <v>264</v>
      </c>
      <c r="D16" s="137" t="s">
        <v>265</v>
      </c>
      <c r="E16" s="19">
        <v>70</v>
      </c>
      <c r="F16" s="19">
        <v>89.26</v>
      </c>
      <c r="G16" s="216">
        <f t="shared" si="0"/>
        <v>6248.2000000000007</v>
      </c>
      <c r="H16" s="126">
        <v>0</v>
      </c>
      <c r="I16" s="19"/>
      <c r="J16" s="216">
        <f t="shared" si="3"/>
        <v>0</v>
      </c>
      <c r="K16" s="216">
        <f t="shared" si="1"/>
        <v>6248.2000000000007</v>
      </c>
      <c r="L16" s="19"/>
      <c r="M16" s="216">
        <f t="shared" si="2"/>
        <v>159614.3113</v>
      </c>
      <c r="N16" s="19"/>
      <c r="O16" s="19"/>
      <c r="R16" s="216"/>
      <c r="S16" s="24"/>
    </row>
    <row r="17" spans="1:15">
      <c r="A17" s="19">
        <v>14</v>
      </c>
      <c r="B17" s="250">
        <v>45693</v>
      </c>
      <c r="C17" s="137" t="s">
        <v>258</v>
      </c>
      <c r="D17" s="137" t="s">
        <v>259</v>
      </c>
      <c r="E17" s="19">
        <v>39.369999999999997</v>
      </c>
      <c r="F17" s="19">
        <v>88.89</v>
      </c>
      <c r="G17" s="216">
        <f t="shared" si="0"/>
        <v>3499.5992999999999</v>
      </c>
      <c r="H17" s="126">
        <v>0</v>
      </c>
      <c r="I17" s="19"/>
      <c r="J17" s="216">
        <f t="shared" si="3"/>
        <v>0</v>
      </c>
      <c r="K17" s="216">
        <f t="shared" si="1"/>
        <v>3499.5992999999999</v>
      </c>
      <c r="L17" s="19"/>
      <c r="M17" s="216">
        <f t="shared" si="2"/>
        <v>156114.712</v>
      </c>
      <c r="N17" s="19"/>
      <c r="O17" s="19"/>
    </row>
    <row r="18" spans="1:15">
      <c r="A18" s="19">
        <v>15</v>
      </c>
      <c r="B18" s="250">
        <v>45694</v>
      </c>
      <c r="C18" s="19" t="s">
        <v>270</v>
      </c>
      <c r="D18" s="137" t="s">
        <v>267</v>
      </c>
      <c r="E18" s="137">
        <v>57.47</v>
      </c>
      <c r="F18" s="137">
        <v>95.7</v>
      </c>
      <c r="G18" s="216">
        <f t="shared" si="0"/>
        <v>5499.8789999999999</v>
      </c>
      <c r="H18" s="126">
        <v>0</v>
      </c>
      <c r="I18" s="19"/>
      <c r="J18" s="216">
        <f t="shared" si="3"/>
        <v>0</v>
      </c>
      <c r="K18" s="216">
        <f t="shared" si="1"/>
        <v>5499.8789999999999</v>
      </c>
      <c r="L18" s="19"/>
      <c r="M18" s="216">
        <f t="shared" si="2"/>
        <v>150614.83300000001</v>
      </c>
      <c r="N18" s="19"/>
      <c r="O18" s="19"/>
    </row>
    <row r="19" spans="1:15">
      <c r="A19" s="213">
        <v>16</v>
      </c>
      <c r="B19" s="250">
        <v>45694</v>
      </c>
      <c r="C19" s="214" t="s">
        <v>264</v>
      </c>
      <c r="D19" s="137" t="s">
        <v>265</v>
      </c>
      <c r="E19" s="19">
        <v>85.98</v>
      </c>
      <c r="F19" s="19">
        <v>89.26</v>
      </c>
      <c r="G19" s="216">
        <f t="shared" si="0"/>
        <v>7674.5748000000012</v>
      </c>
      <c r="H19" s="126">
        <v>0</v>
      </c>
      <c r="I19" s="19"/>
      <c r="J19" s="216">
        <f t="shared" si="3"/>
        <v>0</v>
      </c>
      <c r="K19" s="216">
        <f t="shared" si="1"/>
        <v>7674.5748000000012</v>
      </c>
      <c r="L19" s="19"/>
      <c r="M19" s="216">
        <f t="shared" si="2"/>
        <v>142940.25820000001</v>
      </c>
      <c r="N19" s="19"/>
      <c r="O19" s="19"/>
    </row>
    <row r="20" spans="1:15">
      <c r="A20" s="19">
        <v>17</v>
      </c>
      <c r="B20" s="250">
        <v>45694</v>
      </c>
      <c r="C20" s="137" t="s">
        <v>258</v>
      </c>
      <c r="D20" s="137" t="s">
        <v>259</v>
      </c>
      <c r="E20" s="137">
        <v>56.25</v>
      </c>
      <c r="F20" s="19">
        <v>88.89</v>
      </c>
      <c r="G20" s="216">
        <f t="shared" si="0"/>
        <v>5000.0625</v>
      </c>
      <c r="H20" s="126">
        <v>0</v>
      </c>
      <c r="I20" s="19"/>
      <c r="J20" s="216">
        <f t="shared" si="3"/>
        <v>0</v>
      </c>
      <c r="K20" s="216">
        <f t="shared" si="1"/>
        <v>5000.0625</v>
      </c>
      <c r="L20" s="19"/>
      <c r="M20" s="216">
        <f t="shared" si="2"/>
        <v>137940.19570000001</v>
      </c>
      <c r="N20" s="19"/>
      <c r="O20" s="19"/>
    </row>
    <row r="21" spans="1:15">
      <c r="A21" s="19">
        <v>18</v>
      </c>
      <c r="B21" s="250">
        <v>45695</v>
      </c>
      <c r="C21" s="214" t="s">
        <v>264</v>
      </c>
      <c r="D21" s="137" t="s">
        <v>265</v>
      </c>
      <c r="E21" s="19">
        <v>124.99</v>
      </c>
      <c r="F21" s="19">
        <v>89.26</v>
      </c>
      <c r="G21" s="216">
        <f t="shared" si="0"/>
        <v>11156.607400000001</v>
      </c>
      <c r="H21" s="126">
        <v>0</v>
      </c>
      <c r="I21" s="19"/>
      <c r="J21" s="216">
        <f t="shared" si="3"/>
        <v>0</v>
      </c>
      <c r="K21" s="216">
        <f t="shared" si="1"/>
        <v>11156.607400000001</v>
      </c>
      <c r="L21" s="19"/>
      <c r="M21" s="216">
        <f t="shared" si="2"/>
        <v>126783.5883</v>
      </c>
      <c r="N21" s="19"/>
      <c r="O21" s="19"/>
    </row>
    <row r="22" spans="1:15">
      <c r="A22" s="213">
        <v>19</v>
      </c>
      <c r="B22" s="250">
        <v>45695</v>
      </c>
      <c r="C22" s="137" t="s">
        <v>258</v>
      </c>
      <c r="D22" s="251" t="s">
        <v>259</v>
      </c>
      <c r="E22" s="19">
        <v>90</v>
      </c>
      <c r="F22" s="19">
        <v>88.89</v>
      </c>
      <c r="G22" s="216">
        <f t="shared" si="0"/>
        <v>8000.1</v>
      </c>
      <c r="H22" s="126">
        <v>0</v>
      </c>
      <c r="I22" s="19"/>
      <c r="J22" s="216">
        <f t="shared" si="3"/>
        <v>0</v>
      </c>
      <c r="K22" s="216">
        <f t="shared" si="1"/>
        <v>8000.1</v>
      </c>
      <c r="L22" s="19"/>
      <c r="M22" s="216">
        <f t="shared" si="2"/>
        <v>118783.4883</v>
      </c>
      <c r="N22" s="19"/>
      <c r="O22" s="19"/>
    </row>
    <row r="23" spans="1:15">
      <c r="A23" s="19">
        <v>20</v>
      </c>
      <c r="B23" s="250">
        <v>45695</v>
      </c>
      <c r="C23" s="343" t="s">
        <v>271</v>
      </c>
      <c r="D23" s="19" t="s">
        <v>267</v>
      </c>
      <c r="E23" s="345">
        <v>26.64</v>
      </c>
      <c r="F23" s="19">
        <v>95.84</v>
      </c>
      <c r="G23" s="216">
        <f t="shared" si="0"/>
        <v>2553.1776</v>
      </c>
      <c r="H23" s="126">
        <v>0</v>
      </c>
      <c r="I23" s="19"/>
      <c r="J23" s="216">
        <f t="shared" si="3"/>
        <v>0</v>
      </c>
      <c r="K23" s="216">
        <f t="shared" si="1"/>
        <v>2553.1776</v>
      </c>
      <c r="L23" s="19"/>
      <c r="M23" s="216">
        <f t="shared" si="2"/>
        <v>116230.3107</v>
      </c>
      <c r="N23" s="19"/>
      <c r="O23" s="19"/>
    </row>
    <row r="24" spans="1:15">
      <c r="A24" s="19">
        <v>21</v>
      </c>
      <c r="B24" s="250">
        <v>45696</v>
      </c>
      <c r="C24" s="214" t="s">
        <v>264</v>
      </c>
      <c r="D24" s="346" t="s">
        <v>265</v>
      </c>
      <c r="E24" s="19">
        <v>90</v>
      </c>
      <c r="F24" s="19">
        <v>89.26</v>
      </c>
      <c r="G24" s="216">
        <f t="shared" si="0"/>
        <v>8033.4000000000005</v>
      </c>
      <c r="H24" s="126">
        <v>0</v>
      </c>
      <c r="I24" s="19"/>
      <c r="J24" s="216">
        <f t="shared" si="3"/>
        <v>0</v>
      </c>
      <c r="K24" s="216">
        <f t="shared" si="1"/>
        <v>8033.4000000000005</v>
      </c>
      <c r="L24" s="19"/>
      <c r="M24" s="216">
        <f t="shared" si="2"/>
        <v>108196.91070000001</v>
      </c>
      <c r="N24" s="19"/>
      <c r="O24" s="19"/>
    </row>
    <row r="25" spans="1:15">
      <c r="A25" s="213">
        <v>22</v>
      </c>
      <c r="B25" s="250">
        <v>45696</v>
      </c>
      <c r="C25" s="137" t="s">
        <v>258</v>
      </c>
      <c r="D25" s="137" t="s">
        <v>259</v>
      </c>
      <c r="E25" s="19">
        <v>101.25</v>
      </c>
      <c r="F25" s="19">
        <v>88.89</v>
      </c>
      <c r="G25" s="216">
        <f t="shared" si="0"/>
        <v>9000.1124999999993</v>
      </c>
      <c r="H25" s="19">
        <v>0</v>
      </c>
      <c r="I25" s="19">
        <v>0</v>
      </c>
      <c r="J25" s="216">
        <f t="shared" si="3"/>
        <v>0</v>
      </c>
      <c r="K25" s="216">
        <f t="shared" si="1"/>
        <v>9000.1124999999993</v>
      </c>
      <c r="L25" s="19"/>
      <c r="M25" s="216">
        <f t="shared" si="2"/>
        <v>99196.798200000005</v>
      </c>
      <c r="N25" s="19"/>
      <c r="O25" s="19"/>
    </row>
    <row r="26" spans="1:15">
      <c r="A26" s="19">
        <v>23</v>
      </c>
      <c r="B26" s="250">
        <v>45696</v>
      </c>
      <c r="C26" s="137" t="s">
        <v>272</v>
      </c>
      <c r="D26" s="137" t="s">
        <v>267</v>
      </c>
      <c r="E26" s="126">
        <v>0</v>
      </c>
      <c r="F26" s="126">
        <v>0</v>
      </c>
      <c r="G26" s="217">
        <f t="shared" si="0"/>
        <v>0</v>
      </c>
      <c r="H26" s="126">
        <v>3.25</v>
      </c>
      <c r="I26" s="126">
        <v>107.46</v>
      </c>
      <c r="J26" s="217">
        <f t="shared" ref="J26:J36" si="4">H26*I26</f>
        <v>349.245</v>
      </c>
      <c r="K26" s="217">
        <f t="shared" ref="K26:K37" si="5">G26+J26</f>
        <v>349.245</v>
      </c>
      <c r="L26" s="126"/>
      <c r="M26" s="217">
        <f t="shared" si="2"/>
        <v>98847.553200000009</v>
      </c>
      <c r="N26" s="126"/>
      <c r="O26" s="126"/>
    </row>
    <row r="27" spans="1:15">
      <c r="A27" s="19">
        <v>24</v>
      </c>
      <c r="B27" s="250">
        <v>45697</v>
      </c>
      <c r="C27" s="214" t="s">
        <v>264</v>
      </c>
      <c r="D27" s="343" t="s">
        <v>265</v>
      </c>
      <c r="E27" s="19">
        <v>59.99</v>
      </c>
      <c r="F27" s="19">
        <v>89.26</v>
      </c>
      <c r="G27" s="216">
        <f t="shared" si="0"/>
        <v>5354.7074000000002</v>
      </c>
      <c r="H27" s="19">
        <v>1</v>
      </c>
      <c r="I27" s="19">
        <v>103.18</v>
      </c>
      <c r="J27" s="216">
        <f t="shared" si="4"/>
        <v>103.18</v>
      </c>
      <c r="K27" s="216">
        <f t="shared" si="5"/>
        <v>5457.8874000000005</v>
      </c>
      <c r="L27" s="19"/>
      <c r="M27" s="216">
        <f t="shared" si="2"/>
        <v>93389.665800000002</v>
      </c>
      <c r="N27" s="19"/>
      <c r="O27" s="19"/>
    </row>
    <row r="28" spans="1:15">
      <c r="A28" s="213">
        <v>25</v>
      </c>
      <c r="B28" s="250">
        <v>45697</v>
      </c>
      <c r="C28" s="137" t="s">
        <v>258</v>
      </c>
      <c r="D28" s="343" t="s">
        <v>259</v>
      </c>
      <c r="E28" s="19"/>
      <c r="F28" s="19"/>
      <c r="G28" s="216">
        <f t="shared" si="0"/>
        <v>0</v>
      </c>
      <c r="H28" s="19">
        <v>9.73</v>
      </c>
      <c r="I28" s="19">
        <v>102.77</v>
      </c>
      <c r="J28" s="216">
        <f t="shared" si="4"/>
        <v>999.95209999999997</v>
      </c>
      <c r="K28" s="216">
        <f t="shared" si="5"/>
        <v>999.95209999999997</v>
      </c>
      <c r="L28" s="19"/>
      <c r="M28" s="216">
        <f t="shared" si="2"/>
        <v>92389.713700000008</v>
      </c>
      <c r="N28" s="19"/>
      <c r="O28" s="19"/>
    </row>
    <row r="29" spans="1:15">
      <c r="A29" s="19">
        <v>26</v>
      </c>
      <c r="B29" s="250">
        <v>45698</v>
      </c>
      <c r="C29" s="214" t="s">
        <v>264</v>
      </c>
      <c r="D29" s="343" t="s">
        <v>265</v>
      </c>
      <c r="E29" s="19">
        <v>104.98</v>
      </c>
      <c r="F29" s="19">
        <v>89.26</v>
      </c>
      <c r="G29" s="216">
        <f t="shared" si="0"/>
        <v>9370.5148000000008</v>
      </c>
      <c r="H29" s="19">
        <v>12</v>
      </c>
      <c r="I29" s="19">
        <v>103.18</v>
      </c>
      <c r="J29" s="216">
        <f t="shared" si="4"/>
        <v>1238.1600000000001</v>
      </c>
      <c r="K29" s="216">
        <f t="shared" si="5"/>
        <v>10608.674800000001</v>
      </c>
      <c r="L29" s="19"/>
      <c r="M29" s="216">
        <f t="shared" si="2"/>
        <v>81781.038900000014</v>
      </c>
      <c r="N29" s="19"/>
      <c r="O29" s="19"/>
    </row>
    <row r="30" spans="1:15">
      <c r="A30" s="19">
        <v>27</v>
      </c>
      <c r="B30" s="342">
        <v>45698</v>
      </c>
      <c r="C30" s="251" t="s">
        <v>258</v>
      </c>
      <c r="D30" s="344" t="s">
        <v>259</v>
      </c>
      <c r="E30" s="19">
        <v>39.369999999999997</v>
      </c>
      <c r="F30" s="19">
        <v>88.89</v>
      </c>
      <c r="G30" s="216">
        <f t="shared" si="0"/>
        <v>3499.5992999999999</v>
      </c>
      <c r="H30" s="19"/>
      <c r="I30" s="19"/>
      <c r="J30" s="216">
        <f t="shared" si="4"/>
        <v>0</v>
      </c>
      <c r="K30" s="216">
        <f t="shared" si="5"/>
        <v>3499.5992999999999</v>
      </c>
      <c r="L30" s="19"/>
      <c r="M30" s="216">
        <f t="shared" si="2"/>
        <v>78281.439600000012</v>
      </c>
      <c r="N30" s="19"/>
      <c r="O30" s="19"/>
    </row>
    <row r="31" spans="1:15">
      <c r="A31" s="213">
        <v>28</v>
      </c>
      <c r="B31" s="250">
        <v>45699</v>
      </c>
      <c r="C31" s="214" t="s">
        <v>264</v>
      </c>
      <c r="D31" s="343" t="s">
        <v>265</v>
      </c>
      <c r="E31" s="19">
        <v>259.99</v>
      </c>
      <c r="F31" s="19">
        <v>89.26</v>
      </c>
      <c r="G31" s="216">
        <f t="shared" si="0"/>
        <v>23206.707400000003</v>
      </c>
      <c r="H31" s="19">
        <v>6</v>
      </c>
      <c r="I31" s="19">
        <v>103.18</v>
      </c>
      <c r="J31" s="216">
        <f t="shared" si="4"/>
        <v>619.08000000000004</v>
      </c>
      <c r="K31" s="216">
        <f t="shared" si="5"/>
        <v>23825.787400000005</v>
      </c>
      <c r="L31" s="19"/>
      <c r="M31" s="216">
        <f t="shared" si="2"/>
        <v>54455.652200000011</v>
      </c>
      <c r="N31" s="19"/>
      <c r="O31" s="19"/>
    </row>
    <row r="32" spans="1:15">
      <c r="A32" s="19">
        <v>29</v>
      </c>
      <c r="B32" s="250">
        <v>45699</v>
      </c>
      <c r="C32" s="137" t="s">
        <v>258</v>
      </c>
      <c r="D32" s="343" t="s">
        <v>259</v>
      </c>
      <c r="E32" s="19">
        <v>56.26</v>
      </c>
      <c r="F32" s="19">
        <v>89.26</v>
      </c>
      <c r="G32" s="216">
        <f t="shared" si="0"/>
        <v>5021.7676000000001</v>
      </c>
      <c r="H32" s="19"/>
      <c r="I32" s="19"/>
      <c r="J32" s="216">
        <f t="shared" si="4"/>
        <v>0</v>
      </c>
      <c r="K32" s="216">
        <f t="shared" si="5"/>
        <v>5021.7676000000001</v>
      </c>
      <c r="L32" s="19"/>
      <c r="M32" s="216">
        <f t="shared" si="2"/>
        <v>49433.884600000012</v>
      </c>
      <c r="N32" s="19"/>
      <c r="O32" s="19"/>
    </row>
    <row r="33" spans="1:21">
      <c r="A33" s="126">
        <v>30</v>
      </c>
      <c r="B33" s="342">
        <v>45699</v>
      </c>
      <c r="C33" s="251" t="s">
        <v>273</v>
      </c>
      <c r="D33" s="344" t="s">
        <v>274</v>
      </c>
      <c r="E33" s="126">
        <v>36</v>
      </c>
      <c r="F33" s="126">
        <v>95.7</v>
      </c>
      <c r="G33" s="217">
        <f t="shared" si="0"/>
        <v>3445.2000000000003</v>
      </c>
      <c r="H33" s="126"/>
      <c r="I33" s="126"/>
      <c r="J33" s="217">
        <f t="shared" si="4"/>
        <v>0</v>
      </c>
      <c r="K33" s="217">
        <f t="shared" si="5"/>
        <v>3445.2000000000003</v>
      </c>
      <c r="L33" s="126"/>
      <c r="M33" s="217">
        <f t="shared" si="2"/>
        <v>45988.684600000015</v>
      </c>
      <c r="N33" s="126"/>
      <c r="O33" s="126"/>
    </row>
    <row r="34" spans="1:21">
      <c r="A34" s="19">
        <v>31</v>
      </c>
      <c r="B34" s="250">
        <v>45700</v>
      </c>
      <c r="C34" s="214" t="s">
        <v>264</v>
      </c>
      <c r="D34" s="137" t="s">
        <v>265</v>
      </c>
      <c r="E34" s="19">
        <v>130</v>
      </c>
      <c r="F34" s="19">
        <v>89.26</v>
      </c>
      <c r="G34" s="216">
        <f t="shared" si="0"/>
        <v>11603.800000000001</v>
      </c>
      <c r="H34" s="19"/>
      <c r="I34" s="19"/>
      <c r="J34" s="216">
        <f t="shared" si="4"/>
        <v>0</v>
      </c>
      <c r="K34" s="216">
        <f t="shared" si="5"/>
        <v>11603.800000000001</v>
      </c>
      <c r="L34" s="19"/>
      <c r="M34" s="216">
        <f t="shared" si="2"/>
        <v>34384.884600000012</v>
      </c>
      <c r="N34" s="345"/>
      <c r="O34" s="19"/>
    </row>
    <row r="35" spans="1:21">
      <c r="A35" s="126">
        <v>32</v>
      </c>
      <c r="B35" s="342">
        <v>45700</v>
      </c>
      <c r="C35" s="251" t="s">
        <v>275</v>
      </c>
      <c r="D35" s="251" t="s">
        <v>267</v>
      </c>
      <c r="E35" s="126"/>
      <c r="F35" s="126"/>
      <c r="G35" s="217">
        <f t="shared" si="0"/>
        <v>0</v>
      </c>
      <c r="H35" s="126">
        <v>3.97</v>
      </c>
      <c r="I35" s="126">
        <v>107.46</v>
      </c>
      <c r="J35" s="217">
        <f t="shared" si="4"/>
        <v>426.61619999999999</v>
      </c>
      <c r="K35" s="217">
        <f t="shared" si="5"/>
        <v>426.61619999999999</v>
      </c>
      <c r="L35" s="126"/>
      <c r="M35" s="217">
        <f t="shared" si="2"/>
        <v>33958.268400000015</v>
      </c>
      <c r="N35" s="375"/>
      <c r="O35" s="126"/>
    </row>
    <row r="36" spans="1:21">
      <c r="A36" s="126">
        <v>33</v>
      </c>
      <c r="B36" s="342">
        <v>45701</v>
      </c>
      <c r="C36" s="251" t="s">
        <v>258</v>
      </c>
      <c r="D36" s="251" t="s">
        <v>259</v>
      </c>
      <c r="E36" s="126">
        <v>33.74</v>
      </c>
      <c r="F36" s="126">
        <v>88.89</v>
      </c>
      <c r="G36" s="217">
        <f t="shared" si="0"/>
        <v>2999.1486</v>
      </c>
      <c r="H36" s="126">
        <v>9.74</v>
      </c>
      <c r="I36" s="126">
        <v>102.77</v>
      </c>
      <c r="J36" s="217">
        <f t="shared" si="4"/>
        <v>1000.9798</v>
      </c>
      <c r="K36" s="217">
        <f t="shared" si="5"/>
        <v>4000.1284000000001</v>
      </c>
      <c r="L36" s="126"/>
      <c r="M36" s="217">
        <f t="shared" si="2"/>
        <v>29958.140000000014</v>
      </c>
      <c r="N36" s="126"/>
      <c r="O36" s="126"/>
    </row>
    <row r="37" spans="1:21">
      <c r="A37" s="19">
        <v>34</v>
      </c>
      <c r="B37" s="250">
        <v>45701</v>
      </c>
      <c r="C37" s="137" t="s">
        <v>258</v>
      </c>
      <c r="D37" s="137" t="s">
        <v>259</v>
      </c>
      <c r="E37" s="19">
        <v>105</v>
      </c>
      <c r="F37" s="19">
        <v>89.26</v>
      </c>
      <c r="G37" s="216">
        <f t="shared" si="0"/>
        <v>9372.3000000000011</v>
      </c>
      <c r="H37" s="19"/>
      <c r="I37" s="19"/>
      <c r="J37" s="216">
        <f t="shared" ref="J37:J38" si="6">H37*I37</f>
        <v>0</v>
      </c>
      <c r="K37" s="216">
        <f t="shared" ref="K37:K38" si="7">G37+J37</f>
        <v>9372.3000000000011</v>
      </c>
      <c r="L37" s="19"/>
      <c r="M37" s="216">
        <f t="shared" si="2"/>
        <v>20585.840000000011</v>
      </c>
      <c r="N37" s="19"/>
      <c r="O37" s="19"/>
    </row>
    <row r="38" spans="1:21">
      <c r="A38" s="19">
        <v>35</v>
      </c>
      <c r="B38" s="250">
        <v>45702</v>
      </c>
      <c r="C38" s="214" t="s">
        <v>264</v>
      </c>
      <c r="D38" s="137" t="s">
        <v>265</v>
      </c>
      <c r="E38" s="19">
        <v>80</v>
      </c>
      <c r="F38" s="19">
        <v>89.26</v>
      </c>
      <c r="G38" s="216">
        <f t="shared" si="0"/>
        <v>7140.8</v>
      </c>
      <c r="H38" s="19">
        <v>4.3600000000000003</v>
      </c>
      <c r="I38" s="19">
        <v>103.18</v>
      </c>
      <c r="J38" s="216">
        <f t="shared" si="6"/>
        <v>449.86480000000006</v>
      </c>
      <c r="K38" s="216">
        <f t="shared" si="7"/>
        <v>7590.6648000000005</v>
      </c>
      <c r="L38" s="19"/>
      <c r="M38" s="216">
        <f t="shared" si="2"/>
        <v>12995.175200000011</v>
      </c>
      <c r="N38" s="19"/>
      <c r="O38" s="19"/>
    </row>
    <row r="39" spans="1:21">
      <c r="A39" s="126">
        <v>36</v>
      </c>
      <c r="B39" s="342">
        <v>45702</v>
      </c>
      <c r="C39" s="251" t="s">
        <v>258</v>
      </c>
      <c r="D39" s="251" t="s">
        <v>259</v>
      </c>
      <c r="E39" s="126">
        <v>112.5</v>
      </c>
      <c r="F39" s="126">
        <v>88.89</v>
      </c>
      <c r="G39" s="217">
        <f t="shared" si="0"/>
        <v>10000.125</v>
      </c>
      <c r="H39" s="126">
        <v>0</v>
      </c>
      <c r="I39" s="126">
        <v>103.18</v>
      </c>
      <c r="J39" s="217">
        <f t="shared" ref="J39:J42" si="8">H39*I39</f>
        <v>0</v>
      </c>
      <c r="K39" s="217">
        <f t="shared" ref="K39:K42" si="9">G39+J39</f>
        <v>10000.125</v>
      </c>
      <c r="L39" s="126"/>
      <c r="M39" s="217">
        <f t="shared" si="2"/>
        <v>2995.0502000000106</v>
      </c>
      <c r="N39" s="126"/>
      <c r="O39" s="126"/>
      <c r="U39" s="216"/>
    </row>
    <row r="40" spans="1:21">
      <c r="A40" s="19">
        <v>37</v>
      </c>
      <c r="B40" s="250">
        <v>45703</v>
      </c>
      <c r="C40" s="214" t="s">
        <v>264</v>
      </c>
      <c r="D40" s="137" t="s">
        <v>265</v>
      </c>
      <c r="E40" s="19">
        <v>109.99</v>
      </c>
      <c r="F40" s="19">
        <v>89.26</v>
      </c>
      <c r="G40" s="216">
        <f t="shared" si="0"/>
        <v>9817.7073999999993</v>
      </c>
      <c r="H40" s="19"/>
      <c r="I40" s="19"/>
      <c r="J40" s="216">
        <f t="shared" si="8"/>
        <v>0</v>
      </c>
      <c r="K40" s="216">
        <f t="shared" si="9"/>
        <v>9817.7073999999993</v>
      </c>
      <c r="L40" s="19">
        <v>200000</v>
      </c>
      <c r="M40" s="216">
        <f t="shared" si="2"/>
        <v>193177.34279999998</v>
      </c>
      <c r="N40" s="19"/>
      <c r="O40" s="216"/>
      <c r="P40" s="24"/>
    </row>
    <row r="41" spans="1:21">
      <c r="A41" s="19">
        <v>38</v>
      </c>
      <c r="B41" s="250">
        <v>45704</v>
      </c>
      <c r="C41" s="137" t="s">
        <v>258</v>
      </c>
      <c r="D41" s="137" t="s">
        <v>259</v>
      </c>
      <c r="E41" s="19"/>
      <c r="F41" s="19"/>
      <c r="G41" s="216">
        <f t="shared" si="0"/>
        <v>0</v>
      </c>
      <c r="H41" s="19">
        <v>4.87</v>
      </c>
      <c r="I41" s="19">
        <v>102.77</v>
      </c>
      <c r="J41" s="216">
        <f t="shared" si="8"/>
        <v>500.48989999999998</v>
      </c>
      <c r="K41" s="216">
        <f t="shared" si="9"/>
        <v>500.48989999999998</v>
      </c>
      <c r="L41" s="19"/>
      <c r="M41" s="216">
        <f t="shared" si="2"/>
        <v>192676.8529</v>
      </c>
      <c r="N41" s="378"/>
      <c r="O41" s="19"/>
    </row>
    <row r="42" spans="1:21">
      <c r="A42" s="126">
        <v>39</v>
      </c>
      <c r="B42" s="342">
        <v>45704</v>
      </c>
      <c r="C42" s="251" t="s">
        <v>272</v>
      </c>
      <c r="D42" s="251" t="s">
        <v>267</v>
      </c>
      <c r="E42" s="126"/>
      <c r="F42" s="126"/>
      <c r="G42" s="217">
        <f t="shared" si="0"/>
        <v>0</v>
      </c>
      <c r="H42" s="126">
        <v>4.46</v>
      </c>
      <c r="I42" s="126">
        <v>107.46</v>
      </c>
      <c r="J42" s="217">
        <f t="shared" si="8"/>
        <v>479.27159999999998</v>
      </c>
      <c r="K42" s="217">
        <f t="shared" si="9"/>
        <v>479.27159999999998</v>
      </c>
      <c r="L42" s="126"/>
      <c r="M42" s="217">
        <f t="shared" si="2"/>
        <v>192197.58129999999</v>
      </c>
      <c r="N42" s="126"/>
      <c r="O42" s="126"/>
    </row>
    <row r="43" spans="1:21" ht="13.5" customHeight="1">
      <c r="A43" s="19">
        <v>40</v>
      </c>
      <c r="B43" s="250">
        <v>45705</v>
      </c>
      <c r="C43" s="214" t="s">
        <v>264</v>
      </c>
      <c r="D43" s="137" t="s">
        <v>265</v>
      </c>
      <c r="E43" s="19">
        <v>309.99</v>
      </c>
      <c r="F43" s="19">
        <v>89.26</v>
      </c>
      <c r="G43" s="216">
        <f t="shared" si="0"/>
        <v>27669.707400000003</v>
      </c>
      <c r="H43" s="19"/>
      <c r="I43" s="19"/>
      <c r="J43" s="216">
        <f t="shared" ref="J43:J70" si="10">H43*I43</f>
        <v>0</v>
      </c>
      <c r="K43" s="216">
        <f t="shared" ref="K43:K48" si="11">G43+J43</f>
        <v>27669.707400000003</v>
      </c>
      <c r="L43" s="19"/>
      <c r="M43" s="216">
        <f t="shared" si="2"/>
        <v>164527.87389999998</v>
      </c>
      <c r="N43" s="19"/>
      <c r="O43" s="19"/>
    </row>
    <row r="44" spans="1:21">
      <c r="A44" s="126">
        <v>41</v>
      </c>
      <c r="B44" s="342">
        <v>45705</v>
      </c>
      <c r="C44" s="251" t="s">
        <v>258</v>
      </c>
      <c r="D44" s="251" t="s">
        <v>259</v>
      </c>
      <c r="E44" s="126">
        <v>33.75</v>
      </c>
      <c r="F44" s="126">
        <v>88.89</v>
      </c>
      <c r="G44" s="217">
        <f t="shared" si="0"/>
        <v>3000.0374999999999</v>
      </c>
      <c r="H44" s="126">
        <v>4.87</v>
      </c>
      <c r="I44" s="126">
        <v>102.77</v>
      </c>
      <c r="J44" s="217">
        <f t="shared" si="10"/>
        <v>500.48989999999998</v>
      </c>
      <c r="K44" s="217">
        <f t="shared" si="11"/>
        <v>3500.5273999999999</v>
      </c>
      <c r="L44" s="126"/>
      <c r="M44" s="217">
        <f t="shared" si="2"/>
        <v>161027.34649999999</v>
      </c>
      <c r="N44" s="126"/>
      <c r="O44" s="126"/>
    </row>
    <row r="45" spans="1:21">
      <c r="A45" s="19">
        <v>42</v>
      </c>
      <c r="B45" s="250">
        <v>45706</v>
      </c>
      <c r="C45" s="137" t="s">
        <v>260</v>
      </c>
      <c r="D45" s="137" t="s">
        <v>261</v>
      </c>
      <c r="E45" s="19">
        <v>15670.76</v>
      </c>
      <c r="F45" s="19">
        <v>95.72</v>
      </c>
      <c r="G45" s="216">
        <f t="shared" si="0"/>
        <v>1500005.1472</v>
      </c>
      <c r="H45" s="19"/>
      <c r="I45" s="19"/>
      <c r="J45" s="217">
        <f t="shared" si="10"/>
        <v>0</v>
      </c>
      <c r="K45" s="216">
        <f t="shared" si="11"/>
        <v>1500005.1472</v>
      </c>
      <c r="L45" s="19">
        <v>2500000</v>
      </c>
      <c r="M45" s="216">
        <f t="shared" si="2"/>
        <v>1161022.1993</v>
      </c>
      <c r="N45" s="19"/>
      <c r="O45" s="19"/>
    </row>
    <row r="46" spans="1:21">
      <c r="A46" s="19">
        <v>43</v>
      </c>
      <c r="B46" s="250">
        <v>45706</v>
      </c>
      <c r="C46" s="137" t="s">
        <v>262</v>
      </c>
      <c r="D46" s="137" t="s">
        <v>263</v>
      </c>
      <c r="E46" s="19">
        <v>10371.33</v>
      </c>
      <c r="F46" s="19">
        <v>96.42</v>
      </c>
      <c r="G46" s="216">
        <f t="shared" si="0"/>
        <v>1000003.6386000001</v>
      </c>
      <c r="H46" s="19"/>
      <c r="I46" s="19"/>
      <c r="J46" s="217">
        <f t="shared" si="10"/>
        <v>0</v>
      </c>
      <c r="K46" s="216">
        <f t="shared" si="11"/>
        <v>1000003.6386000001</v>
      </c>
      <c r="L46" s="19"/>
      <c r="M46" s="216">
        <f t="shared" si="2"/>
        <v>161018.56069999991</v>
      </c>
      <c r="N46" s="19"/>
      <c r="O46" s="19"/>
    </row>
    <row r="47" spans="1:21">
      <c r="A47" s="126">
        <v>44</v>
      </c>
      <c r="B47" s="342">
        <v>45706</v>
      </c>
      <c r="C47" s="388" t="s">
        <v>264</v>
      </c>
      <c r="D47" s="251" t="s">
        <v>265</v>
      </c>
      <c r="E47" s="126">
        <v>80</v>
      </c>
      <c r="F47" s="126">
        <v>89.26</v>
      </c>
      <c r="G47" s="217">
        <f t="shared" si="0"/>
        <v>7140.8</v>
      </c>
      <c r="H47" s="126"/>
      <c r="I47" s="126"/>
      <c r="J47" s="217">
        <f t="shared" si="10"/>
        <v>0</v>
      </c>
      <c r="K47" s="217">
        <f t="shared" si="11"/>
        <v>7140.8</v>
      </c>
      <c r="L47" s="126"/>
      <c r="M47" s="217">
        <f t="shared" si="2"/>
        <v>153877.76069999993</v>
      </c>
      <c r="N47" s="126"/>
      <c r="O47" s="126"/>
    </row>
    <row r="48" spans="1:21">
      <c r="A48" s="19">
        <v>45</v>
      </c>
      <c r="B48" s="250">
        <v>45706</v>
      </c>
      <c r="C48" s="137" t="s">
        <v>258</v>
      </c>
      <c r="D48" s="137" t="s">
        <v>259</v>
      </c>
      <c r="E48" s="19">
        <v>67.5</v>
      </c>
      <c r="F48" s="19">
        <v>88.89</v>
      </c>
      <c r="G48" s="216">
        <f t="shared" si="0"/>
        <v>6000.0749999999998</v>
      </c>
      <c r="H48" s="19"/>
      <c r="I48" s="19"/>
      <c r="J48" s="217">
        <f t="shared" si="10"/>
        <v>0</v>
      </c>
      <c r="K48" s="216">
        <f t="shared" si="11"/>
        <v>6000.0749999999998</v>
      </c>
      <c r="L48" s="19"/>
      <c r="M48" s="216">
        <f t="shared" si="2"/>
        <v>147877.68569999991</v>
      </c>
      <c r="N48" s="19"/>
      <c r="O48" s="19"/>
    </row>
    <row r="49" spans="1:15">
      <c r="A49" s="126">
        <v>46</v>
      </c>
      <c r="B49" s="342">
        <v>45707</v>
      </c>
      <c r="C49" s="388" t="s">
        <v>264</v>
      </c>
      <c r="D49" s="251" t="s">
        <v>265</v>
      </c>
      <c r="E49" s="126">
        <v>95</v>
      </c>
      <c r="F49" s="126">
        <v>89.26</v>
      </c>
      <c r="G49" s="217">
        <f t="shared" si="0"/>
        <v>8479.7000000000007</v>
      </c>
      <c r="H49" s="126"/>
      <c r="I49" s="126"/>
      <c r="J49" s="217">
        <f t="shared" si="10"/>
        <v>0</v>
      </c>
      <c r="K49" s="217">
        <f t="shared" ref="K49:K70" si="12">G49+J49</f>
        <v>8479.7000000000007</v>
      </c>
      <c r="L49" s="126"/>
      <c r="M49" s="217">
        <f t="shared" ref="M49:M70" si="13">M48+L49-K49</f>
        <v>139397.9856999999</v>
      </c>
      <c r="N49" s="126"/>
      <c r="O49" s="126"/>
    </row>
    <row r="50" spans="1:15">
      <c r="A50" s="19">
        <v>47</v>
      </c>
      <c r="B50" s="250">
        <v>45707</v>
      </c>
      <c r="C50" s="137" t="s">
        <v>258</v>
      </c>
      <c r="D50" s="137" t="s">
        <v>259</v>
      </c>
      <c r="E50" s="19">
        <v>101.25</v>
      </c>
      <c r="F50" s="19">
        <v>88.89</v>
      </c>
      <c r="G50" s="216">
        <f t="shared" si="0"/>
        <v>9000.1124999999993</v>
      </c>
      <c r="H50" s="19"/>
      <c r="I50" s="19"/>
      <c r="J50" s="216">
        <f t="shared" si="10"/>
        <v>0</v>
      </c>
      <c r="K50" s="216">
        <f t="shared" si="12"/>
        <v>9000.1124999999993</v>
      </c>
      <c r="L50" s="19"/>
      <c r="M50" s="216">
        <f t="shared" si="13"/>
        <v>130397.8731999999</v>
      </c>
      <c r="N50" s="19"/>
      <c r="O50" s="19"/>
    </row>
    <row r="51" spans="1:15">
      <c r="A51" s="19">
        <v>48</v>
      </c>
      <c r="B51" s="250">
        <v>45708</v>
      </c>
      <c r="C51" s="137" t="s">
        <v>276</v>
      </c>
      <c r="D51" s="19" t="s">
        <v>274</v>
      </c>
      <c r="E51" s="19">
        <v>43.9</v>
      </c>
      <c r="F51" s="19">
        <v>95.7</v>
      </c>
      <c r="G51" s="216">
        <f t="shared" si="0"/>
        <v>4201.2299999999996</v>
      </c>
      <c r="H51" s="19"/>
      <c r="I51" s="19"/>
      <c r="J51" s="216">
        <f t="shared" si="10"/>
        <v>0</v>
      </c>
      <c r="K51" s="216">
        <f t="shared" si="12"/>
        <v>4201.2299999999996</v>
      </c>
      <c r="L51" s="19"/>
      <c r="M51" s="216">
        <f t="shared" si="13"/>
        <v>126196.6431999999</v>
      </c>
      <c r="N51" s="19"/>
      <c r="O51" s="19"/>
    </row>
    <row r="52" spans="1:15">
      <c r="A52" s="19">
        <v>49</v>
      </c>
      <c r="B52" s="250">
        <v>45708</v>
      </c>
      <c r="C52" s="137" t="s">
        <v>275</v>
      </c>
      <c r="D52" s="137" t="s">
        <v>267</v>
      </c>
      <c r="E52" s="19"/>
      <c r="F52" s="19"/>
      <c r="G52" s="216">
        <f t="shared" si="0"/>
        <v>0</v>
      </c>
      <c r="H52" s="19">
        <v>4.54</v>
      </c>
      <c r="I52" s="19">
        <v>107.46</v>
      </c>
      <c r="J52" s="216">
        <f t="shared" si="10"/>
        <v>487.86839999999995</v>
      </c>
      <c r="K52" s="216">
        <f t="shared" si="12"/>
        <v>487.86839999999995</v>
      </c>
      <c r="L52" s="19"/>
      <c r="M52" s="216">
        <f t="shared" si="13"/>
        <v>125708.7747999999</v>
      </c>
      <c r="N52" s="19"/>
      <c r="O52" s="19"/>
    </row>
    <row r="53" spans="1:15">
      <c r="A53" s="19">
        <v>50</v>
      </c>
      <c r="B53" s="250">
        <v>45708</v>
      </c>
      <c r="C53" s="214" t="s">
        <v>264</v>
      </c>
      <c r="D53" s="137" t="s">
        <v>265</v>
      </c>
      <c r="E53" s="19">
        <v>79.989999999999995</v>
      </c>
      <c r="F53" s="19">
        <v>89.26</v>
      </c>
      <c r="G53" s="216">
        <f t="shared" si="0"/>
        <v>7139.9074000000001</v>
      </c>
      <c r="H53" s="19"/>
      <c r="I53" s="19"/>
      <c r="J53" s="216">
        <f t="shared" si="10"/>
        <v>0</v>
      </c>
      <c r="K53" s="216">
        <f t="shared" si="12"/>
        <v>7139.9074000000001</v>
      </c>
      <c r="L53" s="19"/>
      <c r="M53" s="216">
        <f t="shared" si="13"/>
        <v>118568.8673999999</v>
      </c>
      <c r="N53" s="19"/>
      <c r="O53" s="19"/>
    </row>
    <row r="54" spans="1:15">
      <c r="A54" s="126">
        <v>51</v>
      </c>
      <c r="B54" s="342">
        <v>45708</v>
      </c>
      <c r="C54" s="251" t="s">
        <v>258</v>
      </c>
      <c r="D54" s="251" t="s">
        <v>259</v>
      </c>
      <c r="E54" s="126">
        <v>135</v>
      </c>
      <c r="F54" s="126">
        <v>88.89</v>
      </c>
      <c r="G54" s="217">
        <f t="shared" si="0"/>
        <v>12000.15</v>
      </c>
      <c r="H54" s="126"/>
      <c r="I54" s="126"/>
      <c r="J54" s="217">
        <f t="shared" si="10"/>
        <v>0</v>
      </c>
      <c r="K54" s="217">
        <f t="shared" si="12"/>
        <v>12000.15</v>
      </c>
      <c r="L54" s="126"/>
      <c r="M54" s="217">
        <f t="shared" si="13"/>
        <v>106568.71739999991</v>
      </c>
      <c r="N54" s="126"/>
      <c r="O54" s="126"/>
    </row>
    <row r="55" spans="1:15">
      <c r="A55" s="19">
        <v>52</v>
      </c>
      <c r="B55" s="250">
        <v>45709</v>
      </c>
      <c r="C55" s="214" t="s">
        <v>264</v>
      </c>
      <c r="D55" s="137" t="s">
        <v>265</v>
      </c>
      <c r="E55" s="19">
        <v>50</v>
      </c>
      <c r="F55" s="19">
        <v>89.26</v>
      </c>
      <c r="G55" s="216">
        <f t="shared" si="0"/>
        <v>4463</v>
      </c>
      <c r="H55" s="19">
        <v>12</v>
      </c>
      <c r="I55" s="19">
        <v>103.18</v>
      </c>
      <c r="J55" s="216">
        <f t="shared" si="10"/>
        <v>1238.1600000000001</v>
      </c>
      <c r="K55" s="216">
        <f t="shared" si="12"/>
        <v>5701.16</v>
      </c>
      <c r="L55" s="19"/>
      <c r="M55" s="216">
        <f t="shared" si="13"/>
        <v>100867.5573999999</v>
      </c>
      <c r="N55" s="19"/>
      <c r="O55" s="19"/>
    </row>
    <row r="56" spans="1:15">
      <c r="A56" s="19">
        <v>53</v>
      </c>
      <c r="B56" s="250">
        <v>45709</v>
      </c>
      <c r="C56" s="137" t="s">
        <v>258</v>
      </c>
      <c r="D56" s="137" t="s">
        <v>259</v>
      </c>
      <c r="E56" s="19"/>
      <c r="F56" s="19"/>
      <c r="G56" s="216">
        <f t="shared" si="0"/>
        <v>0</v>
      </c>
      <c r="H56" s="19">
        <v>4.87</v>
      </c>
      <c r="I56" s="19">
        <v>102.77</v>
      </c>
      <c r="J56" s="216">
        <f t="shared" si="10"/>
        <v>500.48989999999998</v>
      </c>
      <c r="K56" s="216">
        <f t="shared" si="12"/>
        <v>500.48989999999998</v>
      </c>
      <c r="L56" s="19"/>
      <c r="M56" s="216">
        <f t="shared" si="13"/>
        <v>100367.0674999999</v>
      </c>
      <c r="N56" s="19"/>
      <c r="O56" s="19"/>
    </row>
    <row r="57" spans="1:15">
      <c r="A57" s="19">
        <v>54</v>
      </c>
      <c r="B57" s="250">
        <v>45710</v>
      </c>
      <c r="C57" s="214" t="s">
        <v>264</v>
      </c>
      <c r="D57" s="137" t="s">
        <v>265</v>
      </c>
      <c r="E57" s="19">
        <v>5</v>
      </c>
      <c r="F57" s="19">
        <v>89.26</v>
      </c>
      <c r="G57" s="216">
        <f t="shared" si="0"/>
        <v>446.3</v>
      </c>
      <c r="H57" s="19"/>
      <c r="I57" s="19"/>
      <c r="J57" s="216">
        <f t="shared" si="10"/>
        <v>0</v>
      </c>
      <c r="K57" s="216">
        <f t="shared" si="12"/>
        <v>446.3</v>
      </c>
      <c r="L57" s="19"/>
      <c r="M57" s="216">
        <f t="shared" si="13"/>
        <v>99920.7674999999</v>
      </c>
      <c r="N57" s="19"/>
      <c r="O57" s="19"/>
    </row>
    <row r="58" spans="1:15">
      <c r="A58" s="19">
        <v>55</v>
      </c>
      <c r="B58" s="250">
        <v>45710</v>
      </c>
      <c r="C58" s="137" t="s">
        <v>258</v>
      </c>
      <c r="D58" s="137" t="s">
        <v>259</v>
      </c>
      <c r="E58" s="19">
        <v>111.58</v>
      </c>
      <c r="F58" s="19">
        <v>88.89</v>
      </c>
      <c r="G58" s="216">
        <f t="shared" si="0"/>
        <v>9918.3462</v>
      </c>
      <c r="H58" s="19">
        <v>9.73</v>
      </c>
      <c r="I58" s="19">
        <v>102.77</v>
      </c>
      <c r="J58" s="216">
        <f t="shared" si="10"/>
        <v>999.95209999999997</v>
      </c>
      <c r="K58" s="216">
        <f t="shared" si="12"/>
        <v>10918.2983</v>
      </c>
      <c r="L58" s="19"/>
      <c r="M58" s="216">
        <f t="shared" si="13"/>
        <v>89002.469199999905</v>
      </c>
      <c r="N58" s="19"/>
      <c r="O58" s="19"/>
    </row>
    <row r="59" spans="1:15">
      <c r="A59" s="126">
        <v>56</v>
      </c>
      <c r="B59" s="342">
        <v>45711</v>
      </c>
      <c r="C59" s="388" t="s">
        <v>264</v>
      </c>
      <c r="D59" s="251" t="s">
        <v>265</v>
      </c>
      <c r="E59" s="126">
        <v>40</v>
      </c>
      <c r="F59" s="126">
        <v>89.26</v>
      </c>
      <c r="G59" s="217">
        <f t="shared" si="0"/>
        <v>3570.4</v>
      </c>
      <c r="H59" s="126">
        <v>7.56</v>
      </c>
      <c r="I59" s="126">
        <v>103.18</v>
      </c>
      <c r="J59" s="217">
        <f t="shared" si="10"/>
        <v>780.04079999999999</v>
      </c>
      <c r="K59" s="217">
        <f t="shared" si="12"/>
        <v>4350.4408000000003</v>
      </c>
      <c r="L59" s="126"/>
      <c r="M59" s="217">
        <f t="shared" si="13"/>
        <v>84652.028399999908</v>
      </c>
      <c r="N59" s="126"/>
      <c r="O59" s="126"/>
    </row>
    <row r="60" spans="1:15">
      <c r="A60" s="19">
        <v>57</v>
      </c>
      <c r="B60" s="250">
        <v>45712</v>
      </c>
      <c r="C60" s="137" t="s">
        <v>275</v>
      </c>
      <c r="D60" s="137" t="s">
        <v>267</v>
      </c>
      <c r="E60" s="19"/>
      <c r="F60" s="19"/>
      <c r="G60" s="216">
        <f t="shared" si="0"/>
        <v>0</v>
      </c>
      <c r="H60" s="19">
        <v>3.89</v>
      </c>
      <c r="I60" s="19">
        <v>107.46</v>
      </c>
      <c r="J60" s="216">
        <f t="shared" si="10"/>
        <v>418.01939999999996</v>
      </c>
      <c r="K60" s="216">
        <f t="shared" si="12"/>
        <v>418.01939999999996</v>
      </c>
      <c r="L60" s="19"/>
      <c r="M60" s="216">
        <f t="shared" si="13"/>
        <v>84234.008999999904</v>
      </c>
      <c r="N60" s="19"/>
      <c r="O60" s="19"/>
    </row>
    <row r="61" spans="1:15">
      <c r="A61" s="19">
        <v>58</v>
      </c>
      <c r="B61" s="250">
        <v>45712</v>
      </c>
      <c r="C61" s="214" t="s">
        <v>264</v>
      </c>
      <c r="D61" s="137" t="s">
        <v>265</v>
      </c>
      <c r="E61" s="19">
        <v>20</v>
      </c>
      <c r="F61" s="19">
        <v>89.26</v>
      </c>
      <c r="G61" s="216">
        <f t="shared" si="0"/>
        <v>1785.2</v>
      </c>
      <c r="H61" s="19"/>
      <c r="I61" s="19"/>
      <c r="J61" s="216">
        <f t="shared" si="10"/>
        <v>0</v>
      </c>
      <c r="K61" s="216">
        <f t="shared" si="12"/>
        <v>1785.2</v>
      </c>
      <c r="L61" s="19"/>
      <c r="M61" s="216">
        <f t="shared" si="13"/>
        <v>82448.808999999907</v>
      </c>
      <c r="N61" s="19"/>
      <c r="O61" s="19"/>
    </row>
    <row r="62" spans="1:15">
      <c r="A62" s="19">
        <v>59</v>
      </c>
      <c r="B62" s="250">
        <v>45712</v>
      </c>
      <c r="C62" s="137" t="s">
        <v>258</v>
      </c>
      <c r="D62" s="137" t="s">
        <v>259</v>
      </c>
      <c r="E62" s="19">
        <v>33.75</v>
      </c>
      <c r="F62" s="19">
        <v>88.89</v>
      </c>
      <c r="G62" s="216">
        <f t="shared" si="0"/>
        <v>3000.0374999999999</v>
      </c>
      <c r="H62" s="19"/>
      <c r="I62" s="19"/>
      <c r="J62" s="216">
        <f t="shared" si="10"/>
        <v>0</v>
      </c>
      <c r="K62" s="216">
        <f t="shared" si="12"/>
        <v>3000.0374999999999</v>
      </c>
      <c r="L62" s="19"/>
      <c r="M62" s="216">
        <f t="shared" si="13"/>
        <v>79448.771499999901</v>
      </c>
      <c r="N62" s="19"/>
      <c r="O62" s="19"/>
    </row>
    <row r="63" spans="1:15">
      <c r="A63" s="126">
        <v>60</v>
      </c>
      <c r="B63" s="342">
        <v>45712</v>
      </c>
      <c r="C63" s="126" t="s">
        <v>277</v>
      </c>
      <c r="D63" s="251" t="s">
        <v>274</v>
      </c>
      <c r="E63" s="126">
        <v>25.37</v>
      </c>
      <c r="F63" s="126">
        <v>95.94</v>
      </c>
      <c r="G63" s="217">
        <f t="shared" si="0"/>
        <v>2433.9978000000001</v>
      </c>
      <c r="H63" s="126"/>
      <c r="I63" s="126"/>
      <c r="J63" s="216">
        <f t="shared" si="10"/>
        <v>0</v>
      </c>
      <c r="K63" s="217">
        <f t="shared" si="12"/>
        <v>2433.9978000000001</v>
      </c>
      <c r="L63" s="126"/>
      <c r="M63" s="217">
        <f t="shared" si="13"/>
        <v>77014.773699999903</v>
      </c>
      <c r="N63" s="126"/>
      <c r="O63" s="126"/>
    </row>
    <row r="64" spans="1:15">
      <c r="A64" s="19">
        <v>61</v>
      </c>
      <c r="B64" s="250">
        <v>45713</v>
      </c>
      <c r="C64" s="214" t="s">
        <v>264</v>
      </c>
      <c r="D64" s="137" t="s">
        <v>265</v>
      </c>
      <c r="E64" s="19">
        <v>114.99</v>
      </c>
      <c r="F64" s="19">
        <v>89.26</v>
      </c>
      <c r="G64" s="216">
        <f t="shared" si="0"/>
        <v>10264.0074</v>
      </c>
      <c r="H64" s="19"/>
      <c r="I64" s="19"/>
      <c r="J64" s="216">
        <f t="shared" si="10"/>
        <v>0</v>
      </c>
      <c r="K64" s="216">
        <f t="shared" si="12"/>
        <v>10264.0074</v>
      </c>
      <c r="L64" s="19"/>
      <c r="M64" s="216">
        <f t="shared" si="13"/>
        <v>66750.766299999901</v>
      </c>
      <c r="N64" s="19"/>
      <c r="O64" s="19"/>
    </row>
    <row r="65" spans="1:15">
      <c r="A65" s="19">
        <v>62</v>
      </c>
      <c r="B65" s="250">
        <v>45713</v>
      </c>
      <c r="C65" s="137" t="s">
        <v>258</v>
      </c>
      <c r="D65" s="137" t="s">
        <v>259</v>
      </c>
      <c r="E65" s="19">
        <v>67.5</v>
      </c>
      <c r="F65" s="19">
        <v>88.89</v>
      </c>
      <c r="G65" s="216">
        <f t="shared" si="0"/>
        <v>6000.0749999999998</v>
      </c>
      <c r="H65" s="19"/>
      <c r="I65" s="19"/>
      <c r="J65" s="216">
        <f t="shared" si="10"/>
        <v>0</v>
      </c>
      <c r="K65" s="216">
        <f t="shared" si="12"/>
        <v>6000.0749999999998</v>
      </c>
      <c r="L65" s="19"/>
      <c r="M65" s="216">
        <f t="shared" si="13"/>
        <v>60750.691299999904</v>
      </c>
      <c r="N65" s="19"/>
      <c r="O65" s="19"/>
    </row>
    <row r="66" spans="1:15">
      <c r="A66" s="126">
        <v>63</v>
      </c>
      <c r="B66" s="342">
        <v>45714</v>
      </c>
      <c r="C66" s="388" t="s">
        <v>264</v>
      </c>
      <c r="D66" s="251" t="s">
        <v>265</v>
      </c>
      <c r="E66" s="126">
        <v>27</v>
      </c>
      <c r="F66" s="126">
        <v>89.26</v>
      </c>
      <c r="G66" s="217">
        <f t="shared" si="0"/>
        <v>2410.02</v>
      </c>
      <c r="H66" s="126"/>
      <c r="I66" s="126"/>
      <c r="J66" s="217">
        <f t="shared" si="10"/>
        <v>0</v>
      </c>
      <c r="K66" s="217">
        <f t="shared" si="12"/>
        <v>2410.02</v>
      </c>
      <c r="L66" s="126"/>
      <c r="M66" s="217">
        <f t="shared" si="13"/>
        <v>58340.671299999907</v>
      </c>
      <c r="N66" s="126"/>
      <c r="O66" s="126"/>
    </row>
    <row r="67" spans="1:15">
      <c r="A67" s="126">
        <v>64</v>
      </c>
      <c r="B67" s="342">
        <v>45715</v>
      </c>
      <c r="C67" s="251" t="s">
        <v>258</v>
      </c>
      <c r="D67" s="251" t="s">
        <v>259</v>
      </c>
      <c r="E67" s="126">
        <v>59.62</v>
      </c>
      <c r="F67" s="126">
        <v>88.89</v>
      </c>
      <c r="G67" s="217">
        <f t="shared" si="0"/>
        <v>5299.6217999999999</v>
      </c>
      <c r="H67" s="126">
        <v>4.87</v>
      </c>
      <c r="I67" s="126">
        <v>102.77</v>
      </c>
      <c r="J67" s="217">
        <f t="shared" si="10"/>
        <v>500.48989999999998</v>
      </c>
      <c r="K67" s="217">
        <f t="shared" si="12"/>
        <v>5800.1116999999995</v>
      </c>
      <c r="L67" s="126"/>
      <c r="M67" s="217">
        <f t="shared" si="13"/>
        <v>52540.559599999906</v>
      </c>
      <c r="N67" s="126"/>
      <c r="O67" s="126"/>
    </row>
    <row r="68" spans="1:15">
      <c r="A68" s="19">
        <v>65</v>
      </c>
      <c r="B68" s="250">
        <v>45715</v>
      </c>
      <c r="C68" s="214" t="s">
        <v>264</v>
      </c>
      <c r="D68" s="137" t="s">
        <v>265</v>
      </c>
      <c r="E68" s="19">
        <v>79.989999999999995</v>
      </c>
      <c r="F68" s="19">
        <v>89.26</v>
      </c>
      <c r="G68" s="216">
        <f t="shared" si="0"/>
        <v>7139.9074000000001</v>
      </c>
      <c r="H68" s="19"/>
      <c r="I68" s="19"/>
      <c r="J68" s="216">
        <f t="shared" si="10"/>
        <v>0</v>
      </c>
      <c r="K68" s="216">
        <f t="shared" si="12"/>
        <v>7139.9074000000001</v>
      </c>
      <c r="L68" s="19"/>
      <c r="M68" s="216">
        <f t="shared" si="13"/>
        <v>45400.652199999909</v>
      </c>
      <c r="N68" s="19"/>
      <c r="O68" s="19"/>
    </row>
    <row r="69" spans="1:15">
      <c r="A69" s="19">
        <v>66</v>
      </c>
      <c r="B69" s="250">
        <v>45716</v>
      </c>
      <c r="C69" s="137" t="s">
        <v>258</v>
      </c>
      <c r="D69" s="137" t="s">
        <v>259</v>
      </c>
      <c r="E69" s="19">
        <v>33.75</v>
      </c>
      <c r="F69" s="19">
        <v>88.89</v>
      </c>
      <c r="G69" s="216">
        <f t="shared" si="0"/>
        <v>3000.0374999999999</v>
      </c>
      <c r="H69" s="19"/>
      <c r="I69" s="19"/>
      <c r="J69" s="216">
        <f t="shared" si="10"/>
        <v>0</v>
      </c>
      <c r="K69" s="216">
        <f t="shared" si="12"/>
        <v>3000.0374999999999</v>
      </c>
      <c r="L69" s="19"/>
      <c r="M69" s="216">
        <f t="shared" si="13"/>
        <v>42400.614699999911</v>
      </c>
      <c r="N69" s="19"/>
      <c r="O69" s="19"/>
    </row>
    <row r="70" spans="1:15">
      <c r="A70" s="19">
        <v>67</v>
      </c>
      <c r="B70" s="250">
        <v>45716</v>
      </c>
      <c r="C70" s="214" t="s">
        <v>264</v>
      </c>
      <c r="D70" s="137" t="s">
        <v>265</v>
      </c>
      <c r="E70" s="19">
        <v>300</v>
      </c>
      <c r="F70" s="19">
        <v>89.26</v>
      </c>
      <c r="G70" s="216">
        <f t="shared" ref="G70" si="14">E70*F70</f>
        <v>26778</v>
      </c>
      <c r="H70" s="19">
        <v>5.82</v>
      </c>
      <c r="I70" s="19">
        <v>103.18</v>
      </c>
      <c r="J70" s="216">
        <f t="shared" si="10"/>
        <v>600.50760000000002</v>
      </c>
      <c r="K70" s="216">
        <f t="shared" si="12"/>
        <v>27378.507600000001</v>
      </c>
      <c r="L70" s="19"/>
      <c r="M70" s="216">
        <f t="shared" si="13"/>
        <v>15022.10709999991</v>
      </c>
      <c r="N70" s="19"/>
      <c r="O70" s="19"/>
    </row>
  </sheetData>
  <mergeCells count="2">
    <mergeCell ref="A3:J3"/>
    <mergeCell ref="A1:O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A01-D8B3-4AA7-B6CF-B1195EFA2C63}">
  <sheetPr>
    <tabColor theme="9" tint="0.79998168889431442"/>
  </sheetPr>
  <dimension ref="A1:I40"/>
  <sheetViews>
    <sheetView workbookViewId="0">
      <pane ySplit="2" topLeftCell="E15" activePane="bottomLeft" state="frozen"/>
      <selection pane="bottomLeft" activeCell="E15" sqref="E15"/>
    </sheetView>
  </sheetViews>
  <sheetFormatPr defaultRowHeight="15"/>
  <cols>
    <col min="1" max="1" width="12.140625" style="106" bestFit="1" customWidth="1"/>
    <col min="2" max="2" width="16" style="106" customWidth="1"/>
    <col min="3" max="3" width="9.28515625" style="106" bestFit="1" customWidth="1"/>
    <col min="4" max="4" width="10.28515625" style="106" bestFit="1" customWidth="1"/>
    <col min="5" max="5" width="50.7109375" style="106" bestFit="1" customWidth="1"/>
    <col min="6" max="6" width="20.140625" style="106" bestFit="1" customWidth="1"/>
    <col min="7" max="7" width="12.5703125" style="106" bestFit="1" customWidth="1"/>
    <col min="8" max="8" width="17.5703125" style="106" customWidth="1"/>
    <col min="9" max="16384" width="9.140625" style="106"/>
  </cols>
  <sheetData>
    <row r="1" spans="1:9" ht="15.75">
      <c r="A1" s="429" t="s">
        <v>278</v>
      </c>
      <c r="B1" s="429"/>
      <c r="C1" s="429"/>
      <c r="D1" s="429"/>
      <c r="E1" s="429"/>
      <c r="F1" s="429"/>
      <c r="G1" s="429"/>
      <c r="H1" s="429"/>
      <c r="I1" s="429"/>
    </row>
    <row r="2" spans="1:9">
      <c r="A2" s="89" t="s">
        <v>2</v>
      </c>
      <c r="B2" s="113" t="s">
        <v>13</v>
      </c>
      <c r="C2" s="113" t="s">
        <v>279</v>
      </c>
      <c r="D2" s="113" t="s">
        <v>280</v>
      </c>
      <c r="E2" s="113" t="s">
        <v>281</v>
      </c>
      <c r="F2" s="113" t="s">
        <v>190</v>
      </c>
      <c r="G2" s="121" t="s">
        <v>282</v>
      </c>
      <c r="H2" s="113" t="s">
        <v>283</v>
      </c>
      <c r="I2" s="113" t="s">
        <v>12</v>
      </c>
    </row>
    <row r="3" spans="1:9">
      <c r="A3" s="250">
        <v>45689</v>
      </c>
      <c r="B3" s="242">
        <v>122250.85</v>
      </c>
      <c r="C3" s="242">
        <v>1000000</v>
      </c>
      <c r="D3" s="242">
        <v>1000000</v>
      </c>
      <c r="E3" s="242" t="s">
        <v>284</v>
      </c>
      <c r="F3" s="242" t="s">
        <v>285</v>
      </c>
      <c r="G3" s="242"/>
      <c r="H3" s="242">
        <f>B3+C3-D3</f>
        <v>122250.85000000009</v>
      </c>
      <c r="I3" s="243" t="s">
        <v>14</v>
      </c>
    </row>
    <row r="4" spans="1:9">
      <c r="A4" s="250">
        <v>45693</v>
      </c>
      <c r="B4" s="242">
        <v>122250.85</v>
      </c>
      <c r="C4" s="242">
        <v>1000000</v>
      </c>
      <c r="D4" s="242">
        <v>1000000</v>
      </c>
      <c r="E4" s="242" t="s">
        <v>284</v>
      </c>
      <c r="F4" s="242" t="s">
        <v>285</v>
      </c>
      <c r="G4" s="242"/>
      <c r="H4" s="242">
        <f>B4+C4-D4</f>
        <v>122250.85000000009</v>
      </c>
      <c r="I4" s="243" t="s">
        <v>14</v>
      </c>
    </row>
    <row r="5" spans="1:9">
      <c r="A5" s="250">
        <v>45706</v>
      </c>
      <c r="B5" s="242">
        <v>122250.85</v>
      </c>
      <c r="C5" s="242">
        <v>2500000</v>
      </c>
      <c r="D5" s="242">
        <v>2500000</v>
      </c>
      <c r="E5" s="242" t="s">
        <v>284</v>
      </c>
      <c r="F5" s="242" t="s">
        <v>285</v>
      </c>
      <c r="G5" s="242"/>
      <c r="H5" s="242">
        <f>B5+C5-D5</f>
        <v>122250.85000000009</v>
      </c>
      <c r="I5" s="243" t="s">
        <v>14</v>
      </c>
    </row>
    <row r="6" spans="1:9">
      <c r="A6" s="241"/>
      <c r="B6" s="242"/>
      <c r="C6" s="242"/>
      <c r="D6" s="242"/>
      <c r="E6" s="244"/>
      <c r="F6" s="242"/>
      <c r="G6" s="242"/>
      <c r="H6" s="242"/>
      <c r="I6" s="243" t="s">
        <v>14</v>
      </c>
    </row>
    <row r="7" spans="1:9">
      <c r="A7" s="241"/>
      <c r="B7" s="242"/>
      <c r="C7" s="242"/>
      <c r="D7" s="242"/>
      <c r="E7" s="244"/>
      <c r="F7" s="242"/>
      <c r="G7" s="242"/>
      <c r="H7" s="242"/>
      <c r="I7" s="243" t="s">
        <v>14</v>
      </c>
    </row>
    <row r="8" spans="1:9">
      <c r="A8" s="245"/>
      <c r="B8" s="242"/>
      <c r="C8" s="242"/>
      <c r="D8" s="242"/>
      <c r="E8" s="242"/>
      <c r="F8" s="242"/>
      <c r="G8" s="242"/>
      <c r="H8" s="242"/>
      <c r="I8" s="243" t="s">
        <v>14</v>
      </c>
    </row>
    <row r="9" spans="1:9">
      <c r="A9" s="241"/>
      <c r="B9" s="242"/>
      <c r="C9" s="242"/>
      <c r="D9" s="242"/>
      <c r="E9" s="244"/>
      <c r="F9" s="242"/>
      <c r="G9" s="242"/>
      <c r="H9" s="242"/>
      <c r="I9" s="243" t="s">
        <v>14</v>
      </c>
    </row>
    <row r="10" spans="1:9">
      <c r="A10" s="241"/>
      <c r="B10" s="242"/>
      <c r="C10" s="242"/>
      <c r="D10" s="242"/>
      <c r="E10" s="244"/>
      <c r="F10" s="242"/>
      <c r="G10" s="242"/>
      <c r="H10" s="242"/>
      <c r="I10" s="243" t="s">
        <v>14</v>
      </c>
    </row>
    <row r="11" spans="1:9">
      <c r="A11" s="241"/>
      <c r="B11" s="242"/>
      <c r="C11" s="242"/>
      <c r="D11" s="242"/>
      <c r="E11" s="244"/>
      <c r="F11" s="242"/>
      <c r="G11" s="242"/>
      <c r="H11" s="242"/>
      <c r="I11" s="243" t="s">
        <v>14</v>
      </c>
    </row>
    <row r="12" spans="1:9">
      <c r="A12" s="241"/>
      <c r="B12" s="242"/>
      <c r="C12" s="242"/>
      <c r="D12" s="242"/>
      <c r="E12" s="242"/>
      <c r="F12" s="242"/>
      <c r="G12" s="242"/>
      <c r="H12" s="242"/>
      <c r="I12" s="243" t="s">
        <v>14</v>
      </c>
    </row>
    <row r="13" spans="1:9">
      <c r="A13" s="241"/>
      <c r="B13" s="242"/>
      <c r="C13" s="242"/>
      <c r="D13" s="242"/>
      <c r="E13" s="244"/>
      <c r="F13" s="242"/>
      <c r="G13" s="242"/>
      <c r="H13" s="242"/>
      <c r="I13" s="243" t="s">
        <v>14</v>
      </c>
    </row>
    <row r="14" spans="1:9">
      <c r="A14" s="245"/>
      <c r="B14" s="242"/>
      <c r="C14" s="242"/>
      <c r="D14" s="242"/>
      <c r="E14" s="244"/>
      <c r="F14" s="242"/>
      <c r="G14" s="242"/>
      <c r="H14" s="242"/>
      <c r="I14" s="243" t="s">
        <v>14</v>
      </c>
    </row>
    <row r="15" spans="1:9">
      <c r="A15" s="245"/>
      <c r="B15" s="242"/>
      <c r="C15" s="242"/>
      <c r="D15" s="242"/>
      <c r="E15" s="244"/>
      <c r="F15" s="242"/>
      <c r="G15" s="242"/>
      <c r="H15" s="242"/>
      <c r="I15" s="243" t="s">
        <v>14</v>
      </c>
    </row>
    <row r="16" spans="1:9">
      <c r="A16" s="241"/>
      <c r="B16" s="242"/>
      <c r="C16" s="242"/>
      <c r="D16" s="242"/>
      <c r="E16" s="242"/>
      <c r="F16" s="242"/>
      <c r="G16" s="242"/>
      <c r="H16" s="242"/>
      <c r="I16" s="243" t="s">
        <v>14</v>
      </c>
    </row>
    <row r="17" spans="1:9">
      <c r="A17" s="241"/>
      <c r="B17" s="242"/>
      <c r="C17" s="242"/>
      <c r="D17" s="242"/>
      <c r="E17" s="244"/>
      <c r="F17" s="242"/>
      <c r="G17" s="242"/>
      <c r="H17" s="242"/>
      <c r="I17" s="243" t="s">
        <v>14</v>
      </c>
    </row>
    <row r="18" spans="1:9">
      <c r="A18" s="241"/>
      <c r="B18" s="242"/>
      <c r="C18" s="242"/>
      <c r="D18" s="242"/>
      <c r="E18" s="244"/>
      <c r="F18" s="242"/>
      <c r="G18" s="242"/>
      <c r="H18" s="242"/>
      <c r="I18" s="243" t="s">
        <v>14</v>
      </c>
    </row>
    <row r="19" spans="1:9">
      <c r="A19" s="241"/>
      <c r="B19" s="242"/>
      <c r="C19" s="242"/>
      <c r="D19" s="242"/>
      <c r="E19" s="242"/>
      <c r="F19" s="242"/>
      <c r="G19" s="242"/>
      <c r="H19" s="242"/>
      <c r="I19" s="243" t="s">
        <v>14</v>
      </c>
    </row>
    <row r="20" spans="1:9">
      <c r="A20" s="241"/>
      <c r="B20" s="242"/>
      <c r="C20" s="242"/>
      <c r="D20" s="242"/>
      <c r="E20" s="244"/>
      <c r="F20" s="242"/>
      <c r="G20" s="242"/>
      <c r="H20" s="242"/>
      <c r="I20" s="243" t="s">
        <v>14</v>
      </c>
    </row>
    <row r="21" spans="1:9">
      <c r="A21" s="241"/>
      <c r="B21" s="242"/>
      <c r="C21" s="242"/>
      <c r="D21" s="242"/>
      <c r="E21" s="242"/>
      <c r="F21" s="242"/>
      <c r="G21" s="242"/>
      <c r="H21" s="242"/>
      <c r="I21" s="243" t="s">
        <v>14</v>
      </c>
    </row>
    <row r="22" spans="1:9">
      <c r="A22" s="245"/>
      <c r="B22" s="242"/>
      <c r="C22" s="242"/>
      <c r="D22" s="242"/>
      <c r="E22" s="244"/>
      <c r="F22" s="242"/>
      <c r="G22" s="242"/>
      <c r="H22" s="242"/>
      <c r="I22" s="243" t="s">
        <v>14</v>
      </c>
    </row>
    <row r="23" spans="1:9">
      <c r="A23" s="245"/>
      <c r="B23" s="242"/>
      <c r="C23" s="242"/>
      <c r="D23" s="242"/>
      <c r="E23" s="242"/>
      <c r="F23" s="242"/>
      <c r="G23" s="242"/>
      <c r="H23" s="242"/>
      <c r="I23" s="243" t="s">
        <v>14</v>
      </c>
    </row>
    <row r="24" spans="1:9">
      <c r="A24" s="241"/>
      <c r="B24" s="242"/>
      <c r="C24" s="242"/>
      <c r="D24" s="242"/>
      <c r="E24" s="244"/>
      <c r="F24" s="244"/>
      <c r="G24" s="244"/>
      <c r="H24" s="242"/>
      <c r="I24" s="243" t="s">
        <v>14</v>
      </c>
    </row>
    <row r="25" spans="1:9">
      <c r="A25" s="241"/>
      <c r="B25" s="242"/>
      <c r="C25" s="242"/>
      <c r="D25" s="242"/>
      <c r="E25" s="244"/>
      <c r="F25" s="244"/>
      <c r="G25" s="244"/>
      <c r="H25" s="242"/>
      <c r="I25" s="243" t="s">
        <v>14</v>
      </c>
    </row>
    <row r="26" spans="1:9">
      <c r="A26" s="241"/>
      <c r="B26" s="242"/>
      <c r="C26" s="242"/>
      <c r="D26" s="242"/>
      <c r="E26" s="244"/>
      <c r="F26" s="244"/>
      <c r="G26" s="244"/>
      <c r="H26" s="242"/>
      <c r="I26" s="243" t="s">
        <v>14</v>
      </c>
    </row>
    <row r="27" spans="1:9">
      <c r="A27" s="241"/>
      <c r="B27" s="242"/>
      <c r="C27" s="242"/>
      <c r="D27" s="242"/>
      <c r="E27" s="244"/>
      <c r="F27" s="244"/>
      <c r="G27" s="244"/>
      <c r="H27" s="242"/>
      <c r="I27" s="243" t="s">
        <v>14</v>
      </c>
    </row>
    <row r="28" spans="1:9">
      <c r="A28" s="241"/>
      <c r="B28" s="242"/>
      <c r="C28" s="242"/>
      <c r="D28" s="242"/>
      <c r="E28" s="244"/>
      <c r="F28" s="244"/>
      <c r="G28" s="244"/>
      <c r="H28" s="242"/>
      <c r="I28" s="243" t="s">
        <v>14</v>
      </c>
    </row>
    <row r="29" spans="1:9">
      <c r="A29" s="241"/>
      <c r="B29" s="242"/>
      <c r="C29" s="242"/>
      <c r="D29" s="242"/>
      <c r="E29" s="242"/>
      <c r="F29" s="242"/>
      <c r="G29" s="242"/>
      <c r="H29" s="242"/>
      <c r="I29" s="243" t="s">
        <v>14</v>
      </c>
    </row>
    <row r="30" spans="1:9">
      <c r="A30" s="241"/>
      <c r="B30" s="242"/>
      <c r="C30" s="242"/>
      <c r="D30" s="242"/>
      <c r="E30" s="244"/>
      <c r="F30" s="244"/>
      <c r="G30" s="244"/>
      <c r="H30" s="242"/>
      <c r="I30" s="243" t="s">
        <v>14</v>
      </c>
    </row>
    <row r="31" spans="1:9">
      <c r="A31" s="241"/>
      <c r="B31" s="242"/>
      <c r="C31" s="242"/>
      <c r="D31" s="242"/>
      <c r="E31" s="244"/>
      <c r="F31" s="244"/>
      <c r="G31" s="244"/>
      <c r="H31" s="242"/>
      <c r="I31" s="243" t="s">
        <v>14</v>
      </c>
    </row>
    <row r="32" spans="1:9">
      <c r="A32" s="245"/>
      <c r="B32" s="242"/>
      <c r="C32" s="242"/>
      <c r="D32" s="242"/>
      <c r="E32" s="244"/>
      <c r="F32" s="244"/>
      <c r="G32" s="244"/>
      <c r="H32" s="242"/>
      <c r="I32" s="243" t="s">
        <v>14</v>
      </c>
    </row>
    <row r="33" spans="1:9">
      <c r="A33" s="245"/>
      <c r="B33" s="242"/>
      <c r="C33" s="242"/>
      <c r="D33" s="242"/>
      <c r="E33" s="244"/>
      <c r="F33" s="244"/>
      <c r="G33" s="244"/>
      <c r="H33" s="242"/>
      <c r="I33" s="243" t="s">
        <v>14</v>
      </c>
    </row>
    <row r="34" spans="1:9">
      <c r="A34" s="245"/>
      <c r="B34" s="242"/>
      <c r="C34" s="242"/>
      <c r="D34" s="242"/>
      <c r="E34" s="244"/>
      <c r="F34" s="244"/>
      <c r="G34" s="244"/>
      <c r="H34" s="242"/>
      <c r="I34" s="243" t="s">
        <v>14</v>
      </c>
    </row>
    <row r="35" spans="1:9">
      <c r="A35" s="245"/>
      <c r="B35" s="242"/>
      <c r="C35" s="242"/>
      <c r="D35" s="242"/>
      <c r="E35" s="244"/>
      <c r="F35" s="244"/>
      <c r="G35" s="244"/>
      <c r="H35" s="242"/>
      <c r="I35" s="243" t="s">
        <v>14</v>
      </c>
    </row>
    <row r="36" spans="1:9">
      <c r="A36" s="245"/>
      <c r="B36" s="242"/>
      <c r="C36" s="242"/>
      <c r="D36" s="242"/>
      <c r="E36" s="242"/>
      <c r="F36" s="242"/>
      <c r="G36" s="242"/>
      <c r="H36" s="242"/>
      <c r="I36" s="243" t="s">
        <v>14</v>
      </c>
    </row>
    <row r="37" spans="1:9">
      <c r="A37" s="241"/>
      <c r="B37" s="242"/>
      <c r="C37" s="242"/>
      <c r="D37" s="242"/>
      <c r="E37" s="242"/>
      <c r="F37" s="242"/>
      <c r="G37" s="242"/>
      <c r="H37" s="242"/>
      <c r="I37" s="243" t="s">
        <v>14</v>
      </c>
    </row>
    <row r="38" spans="1:9">
      <c r="A38" s="284"/>
      <c r="B38" s="285"/>
      <c r="C38" s="285"/>
      <c r="D38" s="285"/>
      <c r="E38" s="286"/>
      <c r="F38" s="286"/>
      <c r="G38" s="286"/>
      <c r="H38" s="285"/>
      <c r="I38" s="287" t="s">
        <v>14</v>
      </c>
    </row>
    <row r="39" spans="1:9">
      <c r="A39" s="298"/>
      <c r="B39" s="218"/>
      <c r="C39" s="298"/>
      <c r="D39" s="298"/>
      <c r="E39" s="299"/>
      <c r="F39" s="299"/>
      <c r="G39" s="298"/>
      <c r="H39" s="218"/>
      <c r="I39" s="298"/>
    </row>
    <row r="40" spans="1:9">
      <c r="A40" s="282"/>
      <c r="B40" s="68"/>
      <c r="C40" s="282"/>
      <c r="D40" s="282"/>
      <c r="E40" s="283"/>
      <c r="F40" s="283"/>
      <c r="G40" s="282"/>
      <c r="H40" s="68"/>
      <c r="I40" s="282"/>
    </row>
  </sheetData>
  <mergeCells count="1">
    <mergeCell ref="A1:I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1628-6EC8-401B-BD80-B5DE7B61D478}">
  <dimension ref="A1:W38"/>
  <sheetViews>
    <sheetView topLeftCell="A6" workbookViewId="0">
      <selection activeCell="Z34" sqref="Z34"/>
    </sheetView>
  </sheetViews>
  <sheetFormatPr defaultRowHeight="15"/>
  <cols>
    <col min="1" max="1" width="5.140625" bestFit="1" customWidth="1"/>
    <col min="2" max="2" width="10.85546875" bestFit="1" customWidth="1"/>
    <col min="5" max="5" width="6.140625" bestFit="1" customWidth="1"/>
    <col min="6" max="6" width="9.28515625" bestFit="1" customWidth="1"/>
    <col min="8" max="8" width="7.140625" bestFit="1" customWidth="1"/>
    <col min="9" max="9" width="8.7109375" bestFit="1" customWidth="1"/>
    <col min="10" max="10" width="13.5703125" bestFit="1" customWidth="1"/>
    <col min="11" max="11" width="16.5703125" bestFit="1" customWidth="1"/>
    <col min="12" max="12" width="11.5703125" bestFit="1" customWidth="1"/>
    <col min="13" max="13" width="13.5703125" bestFit="1" customWidth="1"/>
    <col min="14" max="14" width="10.42578125" bestFit="1" customWidth="1"/>
  </cols>
  <sheetData>
    <row r="1" spans="1:19" ht="15.75">
      <c r="A1" s="429" t="s">
        <v>89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</row>
    <row r="2" spans="1:19" ht="30.75">
      <c r="A2" s="89" t="s">
        <v>1</v>
      </c>
      <c r="B2" s="113" t="s">
        <v>2</v>
      </c>
      <c r="C2" s="113" t="s">
        <v>139</v>
      </c>
      <c r="D2" s="113" t="s">
        <v>5</v>
      </c>
      <c r="E2" s="113" t="s">
        <v>6</v>
      </c>
      <c r="F2" s="121" t="s">
        <v>7</v>
      </c>
      <c r="G2" s="113" t="s">
        <v>8</v>
      </c>
      <c r="H2" s="113" t="s">
        <v>6</v>
      </c>
      <c r="I2" s="121" t="s">
        <v>7</v>
      </c>
      <c r="J2" s="89" t="s">
        <v>9</v>
      </c>
      <c r="K2" s="122" t="s">
        <v>140</v>
      </c>
      <c r="L2" s="163" t="s">
        <v>11</v>
      </c>
      <c r="M2" s="161" t="s">
        <v>12</v>
      </c>
    </row>
    <row r="3" spans="1:19">
      <c r="A3" s="441" t="s">
        <v>141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3">
        <v>0</v>
      </c>
      <c r="M3" s="444"/>
    </row>
    <row r="4" spans="1:19">
      <c r="A4" s="6">
        <v>1</v>
      </c>
      <c r="B4" s="107" t="s">
        <v>142</v>
      </c>
      <c r="C4" s="6"/>
      <c r="D4" s="90">
        <v>444.62</v>
      </c>
      <c r="E4" s="6">
        <v>96.36</v>
      </c>
      <c r="F4" s="91">
        <f>D4*E4</f>
        <v>42843.583200000001</v>
      </c>
      <c r="G4" s="90"/>
      <c r="H4" s="6"/>
      <c r="I4" s="91">
        <f>G4*H4</f>
        <v>0</v>
      </c>
      <c r="J4" s="91">
        <f>F4+I4</f>
        <v>42843.583200000001</v>
      </c>
      <c r="K4" s="208"/>
      <c r="L4" s="227">
        <f>L3+J4-K4</f>
        <v>42843.583200000001</v>
      </c>
      <c r="M4" s="301" t="s">
        <v>143</v>
      </c>
    </row>
    <row r="5" spans="1:19">
      <c r="A5" s="6">
        <v>2</v>
      </c>
      <c r="B5" s="107" t="s">
        <v>144</v>
      </c>
      <c r="C5" s="6"/>
      <c r="D5" s="90">
        <v>0</v>
      </c>
      <c r="E5" s="6">
        <v>96.36</v>
      </c>
      <c r="F5" s="91">
        <f t="shared" ref="F5:F32" si="0">D5*E5</f>
        <v>0</v>
      </c>
      <c r="G5" s="90">
        <v>10</v>
      </c>
      <c r="H5" s="6">
        <v>108.17</v>
      </c>
      <c r="I5" s="91">
        <f>G5*H5</f>
        <v>1081.7</v>
      </c>
      <c r="J5" s="91">
        <f>F5+I5</f>
        <v>1081.7</v>
      </c>
      <c r="K5" s="208"/>
      <c r="L5" s="227">
        <f>L4+J5-K5</f>
        <v>43925.283199999998</v>
      </c>
      <c r="M5" s="67" t="s">
        <v>143</v>
      </c>
    </row>
    <row r="6" spans="1:19">
      <c r="A6" s="6">
        <v>3</v>
      </c>
      <c r="B6" s="107" t="s">
        <v>145</v>
      </c>
      <c r="C6" s="6"/>
      <c r="D6" s="90">
        <v>420.97</v>
      </c>
      <c r="E6" s="6">
        <v>96.36</v>
      </c>
      <c r="F6" s="91">
        <f t="shared" si="0"/>
        <v>40564.669200000004</v>
      </c>
      <c r="G6" s="90">
        <v>5</v>
      </c>
      <c r="H6" s="6">
        <v>108.17</v>
      </c>
      <c r="I6" s="91">
        <f t="shared" ref="I6:I33" si="1">G6*H6</f>
        <v>540.85</v>
      </c>
      <c r="J6" s="91">
        <f t="shared" ref="J6:J20" si="2">F6+I6</f>
        <v>41105.519200000002</v>
      </c>
      <c r="K6" s="208"/>
      <c r="L6" s="227">
        <f t="shared" ref="L4:L8" si="3">L5+J6-K6</f>
        <v>85030.8024</v>
      </c>
      <c r="M6" s="67" t="s">
        <v>143</v>
      </c>
    </row>
    <row r="7" spans="1:19">
      <c r="A7" s="6">
        <v>4</v>
      </c>
      <c r="B7" s="107" t="s">
        <v>146</v>
      </c>
      <c r="C7" s="6"/>
      <c r="D7" s="90">
        <v>0</v>
      </c>
      <c r="E7" s="6">
        <v>96.36</v>
      </c>
      <c r="F7" s="91">
        <f t="shared" si="0"/>
        <v>0</v>
      </c>
      <c r="G7" s="90"/>
      <c r="H7" s="6"/>
      <c r="I7" s="91">
        <f t="shared" si="1"/>
        <v>0</v>
      </c>
      <c r="J7" s="91">
        <f t="shared" si="2"/>
        <v>0</v>
      </c>
      <c r="K7" s="208"/>
      <c r="L7" s="227">
        <f t="shared" si="3"/>
        <v>85030.8024</v>
      </c>
      <c r="M7" s="67" t="s">
        <v>143</v>
      </c>
      <c r="S7" s="24"/>
    </row>
    <row r="8" spans="1:19">
      <c r="A8" s="6">
        <v>5</v>
      </c>
      <c r="B8" s="223" t="s">
        <v>147</v>
      </c>
      <c r="C8" s="222"/>
      <c r="D8" s="224">
        <v>0</v>
      </c>
      <c r="E8" s="6">
        <v>96.36</v>
      </c>
      <c r="F8" s="91">
        <f t="shared" si="0"/>
        <v>0</v>
      </c>
      <c r="G8" s="224"/>
      <c r="H8" s="222"/>
      <c r="I8" s="91">
        <f t="shared" si="1"/>
        <v>0</v>
      </c>
      <c r="J8" s="91">
        <f t="shared" si="2"/>
        <v>0</v>
      </c>
      <c r="K8" s="208"/>
      <c r="L8" s="227">
        <f t="shared" si="3"/>
        <v>85030.8024</v>
      </c>
      <c r="M8" s="328" t="s">
        <v>143</v>
      </c>
    </row>
    <row r="9" spans="1:19">
      <c r="A9" s="6">
        <v>6</v>
      </c>
      <c r="B9" s="107" t="s">
        <v>148</v>
      </c>
      <c r="C9" s="6"/>
      <c r="D9" s="90">
        <v>400</v>
      </c>
      <c r="E9" s="6">
        <v>96.36</v>
      </c>
      <c r="F9" s="91">
        <f t="shared" si="0"/>
        <v>38544</v>
      </c>
      <c r="G9" s="90">
        <v>0</v>
      </c>
      <c r="H9" s="6">
        <v>0</v>
      </c>
      <c r="I9" s="91">
        <f t="shared" si="1"/>
        <v>0</v>
      </c>
      <c r="J9" s="91">
        <f t="shared" si="2"/>
        <v>38544</v>
      </c>
      <c r="K9" s="208">
        <v>100000</v>
      </c>
      <c r="L9" s="227">
        <f>L8+J9-K9</f>
        <v>23574.8024</v>
      </c>
      <c r="M9" s="67"/>
    </row>
    <row r="10" spans="1:19">
      <c r="A10" s="6">
        <v>7</v>
      </c>
      <c r="B10" s="107" t="s">
        <v>149</v>
      </c>
      <c r="C10" s="6"/>
      <c r="D10" s="90">
        <v>20</v>
      </c>
      <c r="E10" s="6">
        <v>96.36</v>
      </c>
      <c r="F10" s="91">
        <f t="shared" si="0"/>
        <v>1927.2</v>
      </c>
      <c r="G10" s="90">
        <v>5</v>
      </c>
      <c r="H10" s="6">
        <v>108.17</v>
      </c>
      <c r="I10" s="91">
        <f t="shared" si="1"/>
        <v>540.85</v>
      </c>
      <c r="J10" s="91">
        <f>F10+I10</f>
        <v>2468.0500000000002</v>
      </c>
      <c r="K10" s="208"/>
      <c r="L10" s="227">
        <f>L9+J10-K10</f>
        <v>26042.8524</v>
      </c>
      <c r="M10" s="67"/>
    </row>
    <row r="11" spans="1:19">
      <c r="A11" s="6">
        <v>8</v>
      </c>
      <c r="B11" s="107" t="s">
        <v>150</v>
      </c>
      <c r="C11" s="6"/>
      <c r="D11" s="90">
        <v>400</v>
      </c>
      <c r="E11" s="6">
        <v>96.36</v>
      </c>
      <c r="F11" s="91">
        <f t="shared" si="0"/>
        <v>38544</v>
      </c>
      <c r="G11" s="90"/>
      <c r="H11" s="6">
        <v>108.17</v>
      </c>
      <c r="I11" s="91">
        <f t="shared" si="1"/>
        <v>0</v>
      </c>
      <c r="J11" s="91">
        <f t="shared" si="2"/>
        <v>38544</v>
      </c>
      <c r="K11" s="208"/>
      <c r="L11" s="227">
        <f t="shared" ref="L11:L32" si="4">L10+J11-K11</f>
        <v>64586.852400000003</v>
      </c>
      <c r="M11" s="67"/>
    </row>
    <row r="12" spans="1:19">
      <c r="A12" s="6">
        <v>9</v>
      </c>
      <c r="B12" s="107" t="s">
        <v>151</v>
      </c>
      <c r="C12" s="6"/>
      <c r="D12" s="90">
        <v>20</v>
      </c>
      <c r="E12" s="6">
        <v>96.36</v>
      </c>
      <c r="F12" s="91">
        <f t="shared" si="0"/>
        <v>1927.2</v>
      </c>
      <c r="G12" s="90">
        <v>5</v>
      </c>
      <c r="H12" s="6">
        <v>108.17</v>
      </c>
      <c r="I12" s="91">
        <f t="shared" si="1"/>
        <v>540.85</v>
      </c>
      <c r="J12" s="91">
        <f t="shared" si="2"/>
        <v>2468.0500000000002</v>
      </c>
      <c r="K12" s="208"/>
      <c r="L12" s="227">
        <f t="shared" si="4"/>
        <v>67054.902400000006</v>
      </c>
      <c r="M12" s="67"/>
      <c r="N12">
        <v>269165.92</v>
      </c>
    </row>
    <row r="13" spans="1:19">
      <c r="A13" s="6">
        <v>10</v>
      </c>
      <c r="B13" s="107" t="s">
        <v>152</v>
      </c>
      <c r="C13" s="6"/>
      <c r="D13" s="90">
        <v>400</v>
      </c>
      <c r="E13" s="6">
        <v>96.36</v>
      </c>
      <c r="F13" s="91">
        <f t="shared" si="0"/>
        <v>38544</v>
      </c>
      <c r="G13" s="90">
        <v>5</v>
      </c>
      <c r="H13" s="6">
        <v>108.17</v>
      </c>
      <c r="I13" s="91">
        <f t="shared" si="1"/>
        <v>540.85</v>
      </c>
      <c r="J13" s="91">
        <f t="shared" si="2"/>
        <v>39084.85</v>
      </c>
      <c r="K13" s="208"/>
      <c r="L13" s="227">
        <f t="shared" si="4"/>
        <v>106139.7524</v>
      </c>
      <c r="M13" s="67"/>
    </row>
    <row r="14" spans="1:19">
      <c r="A14" s="6">
        <v>11</v>
      </c>
      <c r="B14" s="107" t="s">
        <v>153</v>
      </c>
      <c r="C14" s="6"/>
      <c r="D14" s="90">
        <v>420</v>
      </c>
      <c r="E14" s="6">
        <v>96.36</v>
      </c>
      <c r="F14" s="91">
        <f t="shared" si="0"/>
        <v>40471.199999999997</v>
      </c>
      <c r="G14" s="90">
        <v>5</v>
      </c>
      <c r="H14" s="6">
        <v>108.17</v>
      </c>
      <c r="I14" s="91">
        <f t="shared" si="1"/>
        <v>540.85</v>
      </c>
      <c r="J14" s="91">
        <f>F14+I14</f>
        <v>41012.049999999996</v>
      </c>
      <c r="K14" s="208"/>
      <c r="L14" s="227">
        <f t="shared" si="4"/>
        <v>147151.80239999999</v>
      </c>
      <c r="M14" s="67"/>
    </row>
    <row r="15" spans="1:19">
      <c r="A15" s="6">
        <v>12</v>
      </c>
      <c r="B15" s="107" t="s">
        <v>154</v>
      </c>
      <c r="C15" s="6"/>
      <c r="D15" s="90">
        <v>200</v>
      </c>
      <c r="E15" s="6">
        <v>96.36</v>
      </c>
      <c r="F15" s="91">
        <f t="shared" si="0"/>
        <v>19272</v>
      </c>
      <c r="G15" s="90"/>
      <c r="H15" s="6"/>
      <c r="I15" s="91">
        <f t="shared" si="1"/>
        <v>0</v>
      </c>
      <c r="J15" s="91">
        <f t="shared" si="2"/>
        <v>19272</v>
      </c>
      <c r="K15" s="208"/>
      <c r="L15" s="227">
        <f t="shared" si="4"/>
        <v>166423.80239999999</v>
      </c>
      <c r="M15" s="67"/>
    </row>
    <row r="16" spans="1:19">
      <c r="A16" s="6">
        <v>13</v>
      </c>
      <c r="B16" s="107" t="s">
        <v>155</v>
      </c>
      <c r="C16" s="6"/>
      <c r="D16" s="90">
        <v>420</v>
      </c>
      <c r="E16" s="6">
        <v>96.36</v>
      </c>
      <c r="F16" s="91">
        <f t="shared" si="0"/>
        <v>40471.199999999997</v>
      </c>
      <c r="G16" s="90"/>
      <c r="H16" s="6"/>
      <c r="I16" s="91">
        <f t="shared" si="1"/>
        <v>0</v>
      </c>
      <c r="J16" s="91">
        <f t="shared" si="2"/>
        <v>40471.199999999997</v>
      </c>
      <c r="K16" s="208"/>
      <c r="L16" s="227">
        <f t="shared" si="4"/>
        <v>206895.0024</v>
      </c>
      <c r="M16" s="67"/>
    </row>
    <row r="17" spans="1:23">
      <c r="A17" s="6">
        <v>14</v>
      </c>
      <c r="B17" s="107" t="s">
        <v>156</v>
      </c>
      <c r="C17" s="6"/>
      <c r="D17" s="90">
        <v>400</v>
      </c>
      <c r="E17" s="6">
        <v>96.36</v>
      </c>
      <c r="F17" s="91">
        <f t="shared" si="0"/>
        <v>38544</v>
      </c>
      <c r="G17" s="90">
        <v>10</v>
      </c>
      <c r="H17" s="6">
        <v>108.17</v>
      </c>
      <c r="I17" s="91">
        <f t="shared" si="1"/>
        <v>1081.7</v>
      </c>
      <c r="J17" s="91">
        <f t="shared" si="2"/>
        <v>39625.699999999997</v>
      </c>
      <c r="K17" s="208"/>
      <c r="L17" s="227">
        <f t="shared" si="4"/>
        <v>246520.70240000001</v>
      </c>
      <c r="M17" s="67"/>
    </row>
    <row r="18" spans="1:23">
      <c r="A18" s="6">
        <v>15</v>
      </c>
      <c r="B18" s="107" t="s">
        <v>157</v>
      </c>
      <c r="C18" s="6"/>
      <c r="D18" s="90">
        <v>0</v>
      </c>
      <c r="E18" s="6">
        <v>96.36</v>
      </c>
      <c r="F18" s="91">
        <f t="shared" si="0"/>
        <v>0</v>
      </c>
      <c r="G18" s="90">
        <v>5</v>
      </c>
      <c r="H18" s="6">
        <v>108.17</v>
      </c>
      <c r="I18" s="91">
        <f t="shared" si="1"/>
        <v>540.85</v>
      </c>
      <c r="J18" s="91">
        <f t="shared" si="2"/>
        <v>540.85</v>
      </c>
      <c r="K18" s="208"/>
      <c r="L18" s="227">
        <f t="shared" si="4"/>
        <v>247061.55240000002</v>
      </c>
      <c r="M18" s="67"/>
    </row>
    <row r="19" spans="1:23">
      <c r="A19" s="6">
        <v>16</v>
      </c>
      <c r="B19" s="107" t="s">
        <v>158</v>
      </c>
      <c r="C19" s="6"/>
      <c r="D19" s="90">
        <v>400</v>
      </c>
      <c r="E19" s="6">
        <v>96.36</v>
      </c>
      <c r="F19" s="91">
        <f t="shared" si="0"/>
        <v>38544</v>
      </c>
      <c r="G19" s="90">
        <v>15</v>
      </c>
      <c r="H19" s="6">
        <v>108.17</v>
      </c>
      <c r="I19" s="91">
        <f t="shared" si="1"/>
        <v>1622.55</v>
      </c>
      <c r="J19" s="91">
        <f>F19+I19</f>
        <v>40166.550000000003</v>
      </c>
      <c r="K19" s="208"/>
      <c r="L19" s="227">
        <f t="shared" si="4"/>
        <v>287228.10240000003</v>
      </c>
      <c r="M19" s="67"/>
    </row>
    <row r="20" spans="1:23">
      <c r="A20" s="6">
        <v>17</v>
      </c>
      <c r="B20" s="107" t="s">
        <v>159</v>
      </c>
      <c r="C20" s="6"/>
      <c r="D20" s="90">
        <v>438.92</v>
      </c>
      <c r="E20" s="6">
        <v>96.36</v>
      </c>
      <c r="F20" s="91">
        <f t="shared" si="0"/>
        <v>42294.331200000001</v>
      </c>
      <c r="G20" s="90"/>
      <c r="H20" s="6">
        <v>108.17</v>
      </c>
      <c r="I20" s="91">
        <f t="shared" si="1"/>
        <v>0</v>
      </c>
      <c r="J20" s="91">
        <f t="shared" ref="J20:J24" si="5">F20+I20</f>
        <v>42294.331200000001</v>
      </c>
      <c r="K20" s="208"/>
      <c r="L20" s="227">
        <f t="shared" si="4"/>
        <v>329522.43360000005</v>
      </c>
      <c r="M20" s="67"/>
    </row>
    <row r="21" spans="1:23">
      <c r="A21" s="6">
        <v>18</v>
      </c>
      <c r="B21" s="107" t="s">
        <v>160</v>
      </c>
      <c r="C21" s="6"/>
      <c r="D21" s="90">
        <v>420</v>
      </c>
      <c r="E21" s="6">
        <v>96.36</v>
      </c>
      <c r="F21" s="91">
        <f t="shared" si="0"/>
        <v>40471.199999999997</v>
      </c>
      <c r="G21" s="90">
        <v>5</v>
      </c>
      <c r="H21" s="6">
        <v>108.17</v>
      </c>
      <c r="I21" s="91">
        <f t="shared" si="1"/>
        <v>540.85</v>
      </c>
      <c r="J21" s="91">
        <f t="shared" si="5"/>
        <v>41012.049999999996</v>
      </c>
      <c r="K21" s="208"/>
      <c r="L21" s="227">
        <f t="shared" si="4"/>
        <v>370534.48360000004</v>
      </c>
      <c r="M21" s="67"/>
    </row>
    <row r="22" spans="1:23">
      <c r="A22" s="6">
        <v>19</v>
      </c>
      <c r="B22" s="107" t="s">
        <v>161</v>
      </c>
      <c r="C22" s="6"/>
      <c r="D22" s="90">
        <v>0</v>
      </c>
      <c r="E22" s="6">
        <v>96.36</v>
      </c>
      <c r="F22" s="91">
        <f t="shared" si="0"/>
        <v>0</v>
      </c>
      <c r="G22" s="90"/>
      <c r="H22" s="6"/>
      <c r="I22" s="91">
        <f t="shared" si="1"/>
        <v>0</v>
      </c>
      <c r="J22" s="91">
        <f t="shared" si="5"/>
        <v>0</v>
      </c>
      <c r="K22" s="194">
        <v>5000</v>
      </c>
      <c r="L22" s="227">
        <f t="shared" si="4"/>
        <v>365534.48360000004</v>
      </c>
      <c r="M22" s="67"/>
    </row>
    <row r="23" spans="1:23">
      <c r="A23" s="6">
        <v>20</v>
      </c>
      <c r="B23" s="107" t="s">
        <v>162</v>
      </c>
      <c r="C23" s="6"/>
      <c r="D23" s="90">
        <v>433.01</v>
      </c>
      <c r="E23" s="6">
        <v>96.36</v>
      </c>
      <c r="F23" s="91">
        <f t="shared" si="0"/>
        <v>41724.8436</v>
      </c>
      <c r="G23" s="90"/>
      <c r="H23" s="6"/>
      <c r="I23" s="91">
        <f t="shared" si="1"/>
        <v>0</v>
      </c>
      <c r="J23" s="91">
        <f t="shared" si="5"/>
        <v>41724.8436</v>
      </c>
      <c r="K23" s="227">
        <v>1000</v>
      </c>
      <c r="L23" s="227">
        <f t="shared" si="4"/>
        <v>406259.32720000006</v>
      </c>
      <c r="M23" s="67"/>
    </row>
    <row r="24" spans="1:23">
      <c r="A24" s="6">
        <v>21</v>
      </c>
      <c r="B24" s="107" t="s">
        <v>163</v>
      </c>
      <c r="C24" s="6"/>
      <c r="D24" s="90">
        <v>220</v>
      </c>
      <c r="E24" s="6">
        <v>96.36</v>
      </c>
      <c r="F24" s="91">
        <f t="shared" si="0"/>
        <v>21199.200000000001</v>
      </c>
      <c r="G24" s="90">
        <v>15</v>
      </c>
      <c r="H24" s="6">
        <v>108.17</v>
      </c>
      <c r="I24" s="91">
        <f t="shared" si="1"/>
        <v>1622.55</v>
      </c>
      <c r="J24" s="91">
        <f>F24+I24</f>
        <v>22821.75</v>
      </c>
      <c r="K24" s="208">
        <v>199000</v>
      </c>
      <c r="L24" s="227">
        <f t="shared" si="4"/>
        <v>230081.07720000006</v>
      </c>
      <c r="M24" s="145"/>
      <c r="N24">
        <v>199000</v>
      </c>
      <c r="W24" t="s">
        <v>286</v>
      </c>
    </row>
    <row r="25" spans="1:23">
      <c r="A25" s="222">
        <v>22</v>
      </c>
      <c r="B25" s="223" t="s">
        <v>164</v>
      </c>
      <c r="C25" s="222"/>
      <c r="D25" s="224">
        <v>400</v>
      </c>
      <c r="E25" s="222">
        <v>96.36</v>
      </c>
      <c r="F25" s="225">
        <f t="shared" si="0"/>
        <v>38544</v>
      </c>
      <c r="G25" s="392">
        <v>10</v>
      </c>
      <c r="H25" s="222">
        <v>108.17</v>
      </c>
      <c r="I25" s="225">
        <f t="shared" si="1"/>
        <v>1081.7</v>
      </c>
      <c r="J25" s="225">
        <f>F25+I25</f>
        <v>39625.699999999997</v>
      </c>
      <c r="K25" s="208"/>
      <c r="L25" s="227">
        <f t="shared" si="4"/>
        <v>269706.77720000007</v>
      </c>
      <c r="M25" s="390"/>
    </row>
    <row r="26" spans="1:23">
      <c r="A26" s="222">
        <v>23</v>
      </c>
      <c r="B26" s="223" t="s">
        <v>165</v>
      </c>
      <c r="C26" s="222"/>
      <c r="D26" s="224">
        <v>400</v>
      </c>
      <c r="E26" s="222">
        <v>96.36</v>
      </c>
      <c r="F26" s="225">
        <f t="shared" si="0"/>
        <v>38544</v>
      </c>
      <c r="G26" s="224">
        <v>0</v>
      </c>
      <c r="H26" s="222"/>
      <c r="I26" s="225">
        <f t="shared" si="1"/>
        <v>0</v>
      </c>
      <c r="J26" s="225">
        <f>F26+I26</f>
        <v>38544</v>
      </c>
      <c r="K26" s="208"/>
      <c r="L26" s="227">
        <f t="shared" si="4"/>
        <v>308250.77720000007</v>
      </c>
      <c r="M26" s="390"/>
    </row>
    <row r="27" spans="1:23">
      <c r="A27" s="222">
        <v>24</v>
      </c>
      <c r="B27" s="223" t="s">
        <v>166</v>
      </c>
      <c r="C27" s="222"/>
      <c r="D27" s="224">
        <v>400</v>
      </c>
      <c r="E27" s="222">
        <v>96.36</v>
      </c>
      <c r="F27" s="225">
        <f t="shared" si="0"/>
        <v>38544</v>
      </c>
      <c r="G27" s="224">
        <v>5</v>
      </c>
      <c r="H27" s="222">
        <v>108.17</v>
      </c>
      <c r="I27" s="225">
        <f t="shared" si="1"/>
        <v>540.85</v>
      </c>
      <c r="J27" s="225">
        <f>F27+I27</f>
        <v>39084.85</v>
      </c>
      <c r="K27" s="208"/>
      <c r="L27" s="227">
        <f t="shared" si="4"/>
        <v>347335.62720000005</v>
      </c>
      <c r="M27" s="390"/>
    </row>
    <row r="28" spans="1:23">
      <c r="A28" s="222">
        <v>25</v>
      </c>
      <c r="B28" s="223" t="s">
        <v>167</v>
      </c>
      <c r="C28" s="222"/>
      <c r="D28" s="224">
        <v>460.19</v>
      </c>
      <c r="E28" s="222">
        <v>96.36</v>
      </c>
      <c r="F28" s="225">
        <f t="shared" si="0"/>
        <v>44343.9084</v>
      </c>
      <c r="G28" s="224"/>
      <c r="H28" s="222"/>
      <c r="I28" s="225">
        <f t="shared" si="1"/>
        <v>0</v>
      </c>
      <c r="J28" s="225">
        <f>F28+I28</f>
        <v>44343.9084</v>
      </c>
      <c r="K28" s="208"/>
      <c r="L28" s="227">
        <f t="shared" si="4"/>
        <v>391679.53560000006</v>
      </c>
      <c r="M28" s="390"/>
    </row>
    <row r="29" spans="1:23">
      <c r="A29" s="222">
        <v>26</v>
      </c>
      <c r="B29" s="223" t="s">
        <v>168</v>
      </c>
      <c r="C29" s="222"/>
      <c r="D29" s="224">
        <v>692.86</v>
      </c>
      <c r="E29" s="222">
        <v>96.36</v>
      </c>
      <c r="F29" s="225">
        <f t="shared" si="0"/>
        <v>66763.989600000001</v>
      </c>
      <c r="G29" s="224">
        <v>5</v>
      </c>
      <c r="H29" s="222">
        <v>108.17</v>
      </c>
      <c r="I29" s="225">
        <f t="shared" si="1"/>
        <v>540.85</v>
      </c>
      <c r="J29" s="225">
        <f>F29+I29</f>
        <v>67304.839600000007</v>
      </c>
      <c r="K29" s="208"/>
      <c r="L29" s="227">
        <f t="shared" si="4"/>
        <v>458984.37520000007</v>
      </c>
      <c r="M29" s="390"/>
    </row>
    <row r="30" spans="1:23">
      <c r="A30" s="222">
        <v>27</v>
      </c>
      <c r="B30" s="223" t="s">
        <v>169</v>
      </c>
      <c r="C30" s="222"/>
      <c r="D30" s="224">
        <v>600</v>
      </c>
      <c r="E30" s="222">
        <v>96.36</v>
      </c>
      <c r="F30" s="225">
        <f t="shared" si="0"/>
        <v>57816</v>
      </c>
      <c r="G30" s="224">
        <v>5</v>
      </c>
      <c r="H30" s="222">
        <v>108.17</v>
      </c>
      <c r="I30" s="225">
        <f t="shared" si="1"/>
        <v>540.85</v>
      </c>
      <c r="J30" s="225">
        <f>F30+I30</f>
        <v>58356.85</v>
      </c>
      <c r="K30" s="208"/>
      <c r="L30" s="227">
        <f t="shared" si="4"/>
        <v>517341.22520000004</v>
      </c>
      <c r="M30" s="390"/>
    </row>
    <row r="31" spans="1:23">
      <c r="A31" s="222">
        <v>28</v>
      </c>
      <c r="B31" s="223" t="s">
        <v>170</v>
      </c>
      <c r="C31" s="222"/>
      <c r="D31" s="224">
        <v>660.68</v>
      </c>
      <c r="E31" s="222">
        <v>96.36</v>
      </c>
      <c r="F31" s="225">
        <f t="shared" si="0"/>
        <v>63663.124799999998</v>
      </c>
      <c r="G31" s="224"/>
      <c r="H31" s="222"/>
      <c r="I31" s="225">
        <f t="shared" si="1"/>
        <v>0</v>
      </c>
      <c r="J31" s="225">
        <f>F31+I31</f>
        <v>63663.124799999998</v>
      </c>
      <c r="K31" s="208"/>
      <c r="L31" s="227">
        <f t="shared" si="4"/>
        <v>581004.35000000009</v>
      </c>
      <c r="M31" s="390"/>
    </row>
    <row r="32" spans="1:23">
      <c r="A32" s="222">
        <v>29</v>
      </c>
      <c r="B32" s="223" t="s">
        <v>171</v>
      </c>
      <c r="C32" s="222"/>
      <c r="D32" s="224">
        <v>871.62</v>
      </c>
      <c r="E32" s="222">
        <v>96.36</v>
      </c>
      <c r="F32" s="225">
        <f t="shared" si="0"/>
        <v>83989.303199999995</v>
      </c>
      <c r="G32" s="224">
        <v>10</v>
      </c>
      <c r="H32" s="222">
        <v>107.17</v>
      </c>
      <c r="I32" s="225">
        <f t="shared" si="1"/>
        <v>1071.7</v>
      </c>
      <c r="J32" s="225">
        <f>F32+I32</f>
        <v>85061.003199999992</v>
      </c>
      <c r="K32" s="208"/>
      <c r="L32" s="227">
        <f t="shared" si="4"/>
        <v>666065.35320000013</v>
      </c>
      <c r="M32" s="390"/>
    </row>
    <row r="33" spans="1:13">
      <c r="A33" s="63" t="s">
        <v>138</v>
      </c>
      <c r="B33" s="63"/>
      <c r="C33" s="63"/>
      <c r="D33" s="63">
        <f>SUM(D4:D32)</f>
        <v>9942.8700000000008</v>
      </c>
      <c r="E33" s="290"/>
      <c r="F33" s="63">
        <f>SUM(F4:F32)</f>
        <v>958094.95319999999</v>
      </c>
      <c r="G33" s="63">
        <f>SUM(G4:G32)</f>
        <v>120</v>
      </c>
      <c r="H33" s="64"/>
      <c r="I33" s="63">
        <f>SUM(I4:I32)</f>
        <v>12970.400000000003</v>
      </c>
      <c r="J33" s="63">
        <f>SUM(J4:J32)</f>
        <v>971065.3531999999</v>
      </c>
      <c r="K33" s="64">
        <f>SUM(K4:K32)</f>
        <v>305000</v>
      </c>
      <c r="L33" s="64">
        <f>SUM(L4:L25)</f>
        <v>3902179.9824000001</v>
      </c>
      <c r="M33" s="389">
        <f>+L3</f>
        <v>0</v>
      </c>
    </row>
    <row r="36" spans="1:13">
      <c r="M36">
        <v>581014.35</v>
      </c>
    </row>
    <row r="37" spans="1:13">
      <c r="M37">
        <v>659184.05000000005</v>
      </c>
    </row>
    <row r="38" spans="1:13">
      <c r="M38">
        <v>666085.35</v>
      </c>
    </row>
  </sheetData>
  <mergeCells count="3">
    <mergeCell ref="A1:M1"/>
    <mergeCell ref="A3:K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2026-10-07T12:18:36Z</dcterms:modified>
  <cp:category/>
  <cp:contentStatus/>
</cp:coreProperties>
</file>