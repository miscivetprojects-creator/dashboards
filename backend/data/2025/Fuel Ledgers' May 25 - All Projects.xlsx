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31510" documentId="13_ncr:1_{8AE36FE3-86F3-4CF6-9A97-12266062BE40}" xr6:coauthVersionLast="47" xr6:coauthVersionMax="47" xr10:uidLastSave="{E7D8CD7B-6259-45C9-BDB1-FC870FC0B512}"/>
  <bookViews>
    <workbookView xWindow="-120" yWindow="-120" windowWidth="24240" windowHeight="13020" firstSheet="22" activeTab="22" xr2:uid="{00000000-000D-0000-FFFF-FFFF00000000}"/>
  </bookViews>
  <sheets>
    <sheet name="Sheet1" sheetId="55" state="hidden" r:id="rId1"/>
    <sheet name="May-25" sheetId="56" r:id="rId2"/>
    <sheet name=" May -2025 revised" sheetId="60" r:id="rId3"/>
    <sheet name="Khammam-1" sheetId="6" r:id="rId4"/>
    <sheet name="Khammam-2" sheetId="50" r:id="rId5"/>
    <sheet name="Khammam-3" sheetId="47" r:id="rId6"/>
    <sheet name="Jedcherla -1" sheetId="18" r:id="rId7"/>
    <sheet name="Jedcherla-2" sheetId="39" r:id="rId8"/>
    <sheet name="Jadcharla-3" sheetId="53" r:id="rId9"/>
    <sheet name="Jedcharla-4" sheetId="54" r:id="rId10"/>
    <sheet name="Sangareddy" sheetId="32" r:id="rId11"/>
    <sheet name="Dindi" sheetId="58" r:id="rId12"/>
    <sheet name="Hiriyur(VJNL)" sheetId="3" r:id="rId13"/>
    <sheet name="Hosadurga" sheetId="1" r:id="rId14"/>
    <sheet name="Hosadurga -2" sheetId="52" r:id="rId15"/>
    <sheet name="Srirangapatna" sheetId="19" r:id="rId16"/>
    <sheet name="YG Gudda " sheetId="2" r:id="rId17"/>
    <sheet name="Kadur" sheetId="7" r:id="rId18"/>
    <sheet name="Malebenur(KUWSDB)" sheetId="16" r:id="rId19"/>
    <sheet name="Molakamuru(KUWSDB)" sheetId="21" r:id="rId20"/>
    <sheet name="Chellakere (KUWSDB)" sheetId="20" r:id="rId21"/>
    <sheet name="Jalgaon" sheetId="22" r:id="rId22"/>
    <sheet name="MKBD" sheetId="14" r:id="rId23"/>
    <sheet name="Haveri" sheetId="15" r:id="rId24"/>
    <sheet name="Guttal" sheetId="36" r:id="rId25"/>
    <sheet name="Rattihali" sheetId="37" r:id="rId26"/>
    <sheet name="Gajendragada" sheetId="12" r:id="rId27"/>
    <sheet name=" Talikote" sheetId="26" r:id="rId28"/>
    <sheet name="Nalatwad" sheetId="51" r:id="rId29"/>
    <sheet name="Muddebihal" sheetId="34" r:id="rId30"/>
    <sheet name="Chadchan" sheetId="9" r:id="rId31"/>
    <sheet name="Sindagi" sheetId="33" r:id="rId32"/>
    <sheet name="Alemela" sheetId="35" r:id="rId33"/>
    <sheet name="Munavalli(KUWSDB)" sheetId="23" r:id="rId34"/>
    <sheet name=" Shankeshwar" sheetId="57" r:id="rId35"/>
    <sheet name="Ankalgi" sheetId="38" r:id="rId36"/>
    <sheet name="Ghattaprabha" sheetId="8" r:id="rId37"/>
    <sheet name=" Gokak" sheetId="46" r:id="rId38"/>
    <sheet name="Gokak Dharwad PKG 3" sheetId="41" r:id="rId39"/>
    <sheet name="Borgaon" sheetId="10" r:id="rId40"/>
    <sheet name="Ugar,Khagwad,Kudichi" sheetId="11" r:id="rId41"/>
    <sheet name="Khanapur" sheetId="24" r:id="rId42"/>
    <sheet name="kumta" sheetId="25" r:id="rId43"/>
    <sheet name="Kabbur" sheetId="40" r:id="rId44"/>
    <sheet name="BPCL Card Dharwad" sheetId="59" r:id="rId45"/>
    <sheet name="IOCL MARCH 25" sheetId="43" r:id="rId46"/>
    <sheet name="BPCL March 25" sheetId="44" r:id="rId47"/>
    <sheet name=" HPCL March 2025" sheetId="45" r:id="rId48"/>
  </sheets>
  <definedNames>
    <definedName name="_xlnm._FilterDatabase" localSheetId="46" hidden="1">'BPCL March 25'!$A$1:$O$59</definedName>
    <definedName name="_xlnm.Print_Area" localSheetId="13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60" l="1"/>
  <c r="I35" i="60"/>
  <c r="G35" i="60"/>
  <c r="F35" i="60"/>
  <c r="E35" i="60"/>
  <c r="D35" i="60"/>
  <c r="J22" i="60"/>
  <c r="I22" i="60"/>
  <c r="J23" i="60"/>
  <c r="I23" i="60"/>
  <c r="G23" i="60"/>
  <c r="F23" i="60"/>
  <c r="E23" i="60"/>
  <c r="D23" i="60"/>
  <c r="J24" i="60"/>
  <c r="I24" i="60"/>
  <c r="G24" i="60"/>
  <c r="F24" i="60"/>
  <c r="E24" i="60"/>
  <c r="D24" i="60"/>
  <c r="J25" i="60"/>
  <c r="I25" i="60"/>
  <c r="G25" i="60"/>
  <c r="F25" i="60"/>
  <c r="E25" i="60"/>
  <c r="D25" i="60"/>
  <c r="J26" i="60"/>
  <c r="I26" i="60"/>
  <c r="G26" i="60"/>
  <c r="E21" i="60"/>
  <c r="F26" i="60"/>
  <c r="D21" i="60"/>
  <c r="E26" i="60"/>
  <c r="D26" i="60"/>
  <c r="J21" i="60"/>
  <c r="I21" i="60"/>
  <c r="G21" i="60"/>
  <c r="F21" i="60"/>
  <c r="J27" i="60"/>
  <c r="I27" i="60"/>
  <c r="G27" i="60"/>
  <c r="F27" i="60"/>
  <c r="E27" i="60"/>
  <c r="D27" i="60"/>
  <c r="J20" i="60"/>
  <c r="I20" i="60"/>
  <c r="G20" i="60"/>
  <c r="F20" i="60"/>
  <c r="E20" i="60"/>
  <c r="D20" i="60"/>
  <c r="J28" i="60"/>
  <c r="G28" i="60"/>
  <c r="F28" i="60"/>
  <c r="E28" i="60"/>
  <c r="J19" i="60"/>
  <c r="D28" i="60"/>
  <c r="I19" i="60"/>
  <c r="G19" i="60"/>
  <c r="F19" i="60"/>
  <c r="E19" i="60"/>
  <c r="D19" i="60"/>
  <c r="J29" i="60"/>
  <c r="I29" i="60"/>
  <c r="J18" i="60"/>
  <c r="G29" i="60"/>
  <c r="I18" i="60"/>
  <c r="F29" i="60"/>
  <c r="E29" i="60"/>
  <c r="G18" i="60"/>
  <c r="D29" i="60"/>
  <c r="F18" i="60"/>
  <c r="E18" i="60"/>
  <c r="D18" i="60"/>
  <c r="J30" i="60"/>
  <c r="I30" i="60"/>
  <c r="G30" i="60"/>
  <c r="F30" i="60"/>
  <c r="E30" i="60"/>
  <c r="D30" i="60"/>
  <c r="J31" i="60"/>
  <c r="I31" i="60"/>
  <c r="J17" i="60"/>
  <c r="G31" i="60"/>
  <c r="F31" i="60"/>
  <c r="I17" i="60"/>
  <c r="G17" i="60"/>
  <c r="F17" i="60"/>
  <c r="E31" i="60"/>
  <c r="E17" i="60"/>
  <c r="D17" i="60"/>
  <c r="D31" i="60"/>
  <c r="L35" i="12"/>
  <c r="J32" i="60"/>
  <c r="I32" i="60"/>
  <c r="G32" i="60"/>
  <c r="F32" i="60"/>
  <c r="E32" i="60"/>
  <c r="D32" i="60"/>
  <c r="J34" i="60"/>
  <c r="I34" i="60"/>
  <c r="G34" i="60"/>
  <c r="F34" i="60"/>
  <c r="E34" i="60"/>
  <c r="D34" i="60"/>
  <c r="J33" i="60"/>
  <c r="I33" i="60"/>
  <c r="G33" i="60"/>
  <c r="F33" i="60"/>
  <c r="E33" i="60"/>
  <c r="D33" i="60"/>
  <c r="J16" i="60"/>
  <c r="I16" i="60"/>
  <c r="G16" i="60"/>
  <c r="F16" i="60"/>
  <c r="E16" i="60"/>
  <c r="J36" i="60"/>
  <c r="I36" i="60"/>
  <c r="D16" i="60"/>
  <c r="G36" i="60"/>
  <c r="F36" i="60"/>
  <c r="E36" i="60"/>
  <c r="J15" i="60"/>
  <c r="D36" i="60"/>
  <c r="I15" i="60"/>
  <c r="G15" i="60"/>
  <c r="F15" i="60"/>
  <c r="E15" i="60"/>
  <c r="D15" i="60"/>
  <c r="J37" i="60"/>
  <c r="I37" i="60"/>
  <c r="G37" i="60"/>
  <c r="J14" i="60"/>
  <c r="I14" i="60"/>
  <c r="L31" i="57"/>
  <c r="K34" i="57"/>
  <c r="K32" i="57"/>
  <c r="K35" i="57"/>
  <c r="G14" i="60"/>
  <c r="F14" i="60"/>
  <c r="E14" i="60"/>
  <c r="D14" i="60"/>
  <c r="F37" i="60"/>
  <c r="E37" i="60"/>
  <c r="D37" i="60"/>
  <c r="J13" i="60"/>
  <c r="I13" i="60"/>
  <c r="G13" i="60"/>
  <c r="F13" i="60"/>
  <c r="E13" i="60"/>
  <c r="D13" i="60"/>
  <c r="J38" i="60"/>
  <c r="I38" i="60"/>
  <c r="G38" i="60"/>
  <c r="F38" i="60"/>
  <c r="E38" i="60"/>
  <c r="D38" i="60"/>
  <c r="J39" i="60"/>
  <c r="I39" i="60"/>
  <c r="G39" i="60"/>
  <c r="F39" i="60"/>
  <c r="E39" i="60"/>
  <c r="D39" i="60"/>
  <c r="I8" i="60"/>
  <c r="G8" i="60"/>
  <c r="F8" i="60"/>
  <c r="E8" i="60"/>
  <c r="D8" i="60"/>
  <c r="J40" i="60"/>
  <c r="M5" i="53"/>
  <c r="M6" i="53"/>
  <c r="M7" i="53"/>
  <c r="M8" i="53"/>
  <c r="M9" i="53"/>
  <c r="M10" i="53"/>
  <c r="M11" i="53"/>
  <c r="M12" i="53"/>
  <c r="M13" i="53"/>
  <c r="M14" i="53"/>
  <c r="M15" i="53"/>
  <c r="M16" i="53"/>
  <c r="M17" i="53"/>
  <c r="M18" i="53"/>
  <c r="M19" i="53"/>
  <c r="M20" i="53"/>
  <c r="M21" i="53"/>
  <c r="M22" i="53"/>
  <c r="M23" i="53"/>
  <c r="M24" i="53"/>
  <c r="M25" i="53"/>
  <c r="M26" i="53"/>
  <c r="M27" i="53"/>
  <c r="M28" i="53"/>
  <c r="M29" i="53"/>
  <c r="M30" i="53"/>
  <c r="M31" i="53"/>
  <c r="G40" i="60"/>
  <c r="M4" i="53"/>
  <c r="F40" i="60"/>
  <c r="E40" i="60"/>
  <c r="D40" i="60"/>
  <c r="I7" i="60"/>
  <c r="J41" i="60"/>
  <c r="G7" i="60"/>
  <c r="F7" i="60"/>
  <c r="G41" i="60"/>
  <c r="E7" i="60"/>
  <c r="F41" i="60"/>
  <c r="D7" i="60"/>
  <c r="E41" i="60"/>
  <c r="D41" i="60"/>
  <c r="J6" i="60"/>
  <c r="I6" i="60"/>
  <c r="G6" i="60"/>
  <c r="F6" i="60"/>
  <c r="E6" i="60"/>
  <c r="D6" i="60"/>
  <c r="J42" i="60"/>
  <c r="I42" i="60"/>
  <c r="G42" i="60"/>
  <c r="F42" i="60"/>
  <c r="J5" i="60"/>
  <c r="E42" i="60"/>
  <c r="I5" i="60"/>
  <c r="D42" i="60"/>
  <c r="J43" i="60"/>
  <c r="I43" i="60"/>
  <c r="G43" i="60"/>
  <c r="F43" i="60"/>
  <c r="G5" i="60"/>
  <c r="E43" i="60"/>
  <c r="F5" i="60"/>
  <c r="D43" i="60"/>
  <c r="E5" i="60"/>
  <c r="D5" i="60"/>
  <c r="J4" i="60"/>
  <c r="I4" i="60"/>
  <c r="H5" i="60"/>
  <c r="H6" i="60"/>
  <c r="H7" i="60"/>
  <c r="H8" i="60"/>
  <c r="H13" i="60"/>
  <c r="H14" i="60"/>
  <c r="H15" i="60"/>
  <c r="H16" i="60"/>
  <c r="H17" i="60"/>
  <c r="H18" i="60"/>
  <c r="H19" i="60"/>
  <c r="H20" i="60"/>
  <c r="H21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G4" i="60"/>
  <c r="F4" i="60"/>
  <c r="K5" i="60"/>
  <c r="K6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3" i="60"/>
  <c r="K24" i="60"/>
  <c r="K25" i="60"/>
  <c r="K26" i="60"/>
  <c r="K27" i="60"/>
  <c r="K29" i="60"/>
  <c r="K30" i="60"/>
  <c r="K31" i="60"/>
  <c r="K32" i="60"/>
  <c r="K33" i="60"/>
  <c r="K34" i="60"/>
  <c r="K35" i="60"/>
  <c r="K36" i="60"/>
  <c r="K37" i="60"/>
  <c r="K38" i="60"/>
  <c r="K39" i="60"/>
  <c r="K40" i="60"/>
  <c r="K41" i="60"/>
  <c r="K42" i="60"/>
  <c r="K43" i="60"/>
  <c r="E4" i="60"/>
  <c r="H4" i="60" s="1"/>
  <c r="K4" i="60" s="1"/>
  <c r="D4" i="60"/>
  <c r="J44" i="60"/>
  <c r="I44" i="60"/>
  <c r="G44" i="60"/>
  <c r="F44" i="60"/>
  <c r="J3" i="60"/>
  <c r="I3" i="60"/>
  <c r="E44" i="60"/>
  <c r="H44" i="60" s="1"/>
  <c r="G3" i="60"/>
  <c r="F3" i="60"/>
  <c r="E3" i="60"/>
  <c r="H3" i="60" s="1"/>
  <c r="D3" i="60"/>
  <c r="D44" i="60"/>
  <c r="J2" i="60"/>
  <c r="I2" i="60"/>
  <c r="G2" i="60"/>
  <c r="F2" i="60"/>
  <c r="E2" i="60"/>
  <c r="D2" i="60"/>
  <c r="L41" i="23"/>
  <c r="K34" i="55"/>
  <c r="K35" i="55"/>
  <c r="K36" i="55"/>
  <c r="K27" i="57"/>
  <c r="L37" i="38"/>
  <c r="L39" i="23"/>
  <c r="L9" i="26"/>
  <c r="H38" i="16"/>
  <c r="G38" i="16"/>
  <c r="E38" i="16"/>
  <c r="L16" i="24"/>
  <c r="M16" i="24"/>
  <c r="K16" i="24"/>
  <c r="L23" i="24"/>
  <c r="M23" i="24"/>
  <c r="K23" i="24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4" i="18"/>
  <c r="K2" i="55"/>
  <c r="E35" i="54"/>
  <c r="H39" i="23"/>
  <c r="F22" i="60" s="1"/>
  <c r="E39" i="23"/>
  <c r="D22" i="60" s="1"/>
  <c r="S39" i="23"/>
  <c r="S7" i="23"/>
  <c r="S18" i="23"/>
  <c r="S17" i="23"/>
  <c r="K35" i="18"/>
  <c r="E35" i="10"/>
  <c r="M4" i="45"/>
  <c r="G32" i="45"/>
  <c r="K32" i="45" s="1"/>
  <c r="K29" i="45"/>
  <c r="K28" i="45"/>
  <c r="K27" i="45"/>
  <c r="K26" i="45"/>
  <c r="K25" i="45"/>
  <c r="K20" i="45"/>
  <c r="K18" i="45"/>
  <c r="K17" i="45"/>
  <c r="K16" i="45"/>
  <c r="K15" i="45"/>
  <c r="K14" i="45"/>
  <c r="G13" i="45"/>
  <c r="K13" i="45" s="1"/>
  <c r="G12" i="45"/>
  <c r="K12" i="45" s="1"/>
  <c r="G10" i="45"/>
  <c r="K10" i="45" s="1"/>
  <c r="G9" i="45"/>
  <c r="K9" i="45" s="1"/>
  <c r="G8" i="45"/>
  <c r="K8" i="45" s="1"/>
  <c r="G7" i="45"/>
  <c r="K7" i="45" s="1"/>
  <c r="G6" i="45"/>
  <c r="K6" i="45" s="1"/>
  <c r="J5" i="45"/>
  <c r="G5" i="45"/>
  <c r="K5" i="45" s="1"/>
  <c r="J4" i="45"/>
  <c r="G4" i="45"/>
  <c r="K4" i="45" s="1"/>
  <c r="M3" i="45"/>
  <c r="M5" i="45" s="1"/>
  <c r="M6" i="45" s="1"/>
  <c r="M7" i="45" s="1"/>
  <c r="M8" i="45" s="1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5" i="45" s="1"/>
  <c r="M26" i="45" s="1"/>
  <c r="M27" i="45" s="1"/>
  <c r="M28" i="45" s="1"/>
  <c r="M29" i="45" s="1"/>
  <c r="M30" i="45" s="1"/>
  <c r="M31" i="45" s="1"/>
  <c r="M32" i="45" s="1"/>
  <c r="E39" i="22"/>
  <c r="E35" i="20"/>
  <c r="H36" i="14"/>
  <c r="E36" i="16"/>
  <c r="J22" i="56"/>
  <c r="L38" i="16"/>
  <c r="P35" i="16"/>
  <c r="K35" i="54"/>
  <c r="L35" i="54"/>
  <c r="I35" i="57"/>
  <c r="F37" i="56"/>
  <c r="F35" i="57"/>
  <c r="D37" i="56"/>
  <c r="H36" i="56"/>
  <c r="L36" i="16"/>
  <c r="H36" i="16"/>
  <c r="G34" i="16"/>
  <c r="J34" i="16"/>
  <c r="K34" i="16"/>
  <c r="L35" i="1"/>
  <c r="P36" i="39"/>
  <c r="H36" i="59"/>
  <c r="E36" i="59"/>
  <c r="J34" i="59"/>
  <c r="G34" i="59"/>
  <c r="K34" i="59" s="1"/>
  <c r="J33" i="59"/>
  <c r="G33" i="59"/>
  <c r="K33" i="59" s="1"/>
  <c r="J32" i="59"/>
  <c r="G32" i="59"/>
  <c r="K32" i="59" s="1"/>
  <c r="J31" i="59"/>
  <c r="G31" i="59"/>
  <c r="K31" i="59" s="1"/>
  <c r="J30" i="59"/>
  <c r="G30" i="59"/>
  <c r="K30" i="59" s="1"/>
  <c r="J29" i="59"/>
  <c r="G29" i="59"/>
  <c r="K29" i="59" s="1"/>
  <c r="L29" i="59" s="1"/>
  <c r="J28" i="59"/>
  <c r="G28" i="59"/>
  <c r="K28" i="59" s="1"/>
  <c r="L28" i="59" s="1"/>
  <c r="J27" i="59"/>
  <c r="G27" i="59"/>
  <c r="K27" i="59" s="1"/>
  <c r="L27" i="59" s="1"/>
  <c r="J26" i="59"/>
  <c r="G26" i="59"/>
  <c r="K26" i="59" s="1"/>
  <c r="L26" i="59" s="1"/>
  <c r="J25" i="59"/>
  <c r="G25" i="59"/>
  <c r="K25" i="59" s="1"/>
  <c r="L25" i="59" s="1"/>
  <c r="J24" i="59"/>
  <c r="G24" i="59"/>
  <c r="K24" i="59" s="1"/>
  <c r="L24" i="59" s="1"/>
  <c r="J23" i="59"/>
  <c r="G23" i="59"/>
  <c r="K23" i="59" s="1"/>
  <c r="L23" i="59" s="1"/>
  <c r="J22" i="59"/>
  <c r="G22" i="59"/>
  <c r="K22" i="59" s="1"/>
  <c r="L22" i="59" s="1"/>
  <c r="J21" i="59"/>
  <c r="G21" i="59"/>
  <c r="K21" i="59" s="1"/>
  <c r="L21" i="59" s="1"/>
  <c r="J20" i="59"/>
  <c r="G20" i="59"/>
  <c r="K20" i="59" s="1"/>
  <c r="L20" i="59" s="1"/>
  <c r="J19" i="59"/>
  <c r="G19" i="59"/>
  <c r="K19" i="59" s="1"/>
  <c r="L19" i="59" s="1"/>
  <c r="J18" i="59"/>
  <c r="G18" i="59"/>
  <c r="K18" i="59" s="1"/>
  <c r="L18" i="59" s="1"/>
  <c r="J17" i="59"/>
  <c r="G17" i="59"/>
  <c r="K17" i="59" s="1"/>
  <c r="L17" i="59" s="1"/>
  <c r="J16" i="59"/>
  <c r="G16" i="59"/>
  <c r="K16" i="59" s="1"/>
  <c r="L16" i="59" s="1"/>
  <c r="J15" i="59"/>
  <c r="G15" i="59"/>
  <c r="K15" i="59" s="1"/>
  <c r="L15" i="59" s="1"/>
  <c r="J14" i="59"/>
  <c r="G14" i="59"/>
  <c r="K14" i="59" s="1"/>
  <c r="L14" i="59" s="1"/>
  <c r="J13" i="59"/>
  <c r="G13" i="59"/>
  <c r="K13" i="59" s="1"/>
  <c r="L13" i="59" s="1"/>
  <c r="J12" i="59"/>
  <c r="G12" i="59"/>
  <c r="K12" i="59" s="1"/>
  <c r="L12" i="59" s="1"/>
  <c r="J11" i="59"/>
  <c r="G11" i="59"/>
  <c r="K11" i="59" s="1"/>
  <c r="L11" i="59" s="1"/>
  <c r="J10" i="59"/>
  <c r="G10" i="59"/>
  <c r="K10" i="59" s="1"/>
  <c r="L10" i="59" s="1"/>
  <c r="J9" i="59"/>
  <c r="G9" i="59"/>
  <c r="K9" i="59" s="1"/>
  <c r="L9" i="59" s="1"/>
  <c r="J8" i="59"/>
  <c r="G8" i="59"/>
  <c r="K8" i="59" s="1"/>
  <c r="L8" i="59" s="1"/>
  <c r="J7" i="59"/>
  <c r="G7" i="59"/>
  <c r="K7" i="59" s="1"/>
  <c r="L7" i="59" s="1"/>
  <c r="J6" i="59"/>
  <c r="G6" i="59"/>
  <c r="K6" i="59" s="1"/>
  <c r="L6" i="59" s="1"/>
  <c r="J5" i="59"/>
  <c r="G5" i="59"/>
  <c r="K5" i="59" s="1"/>
  <c r="L5" i="59" s="1"/>
  <c r="J4" i="59"/>
  <c r="J36" i="59" s="1"/>
  <c r="G4" i="59"/>
  <c r="G37" i="56"/>
  <c r="H34" i="57"/>
  <c r="K33" i="57"/>
  <c r="H33" i="57"/>
  <c r="L33" i="57" s="1"/>
  <c r="H32" i="57"/>
  <c r="L32" i="57" s="1"/>
  <c r="K31" i="57"/>
  <c r="H31" i="57"/>
  <c r="K30" i="57"/>
  <c r="H30" i="57"/>
  <c r="L30" i="57" s="1"/>
  <c r="K29" i="57"/>
  <c r="H29" i="57"/>
  <c r="L29" i="57" s="1"/>
  <c r="K28" i="57"/>
  <c r="H28" i="57"/>
  <c r="L28" i="57" s="1"/>
  <c r="H27" i="57"/>
  <c r="L27" i="57" s="1"/>
  <c r="K26" i="57"/>
  <c r="H26" i="57"/>
  <c r="L26" i="57" s="1"/>
  <c r="K25" i="57"/>
  <c r="H25" i="57"/>
  <c r="L25" i="57" s="1"/>
  <c r="K24" i="57"/>
  <c r="H24" i="57"/>
  <c r="L24" i="57" s="1"/>
  <c r="K23" i="57"/>
  <c r="H23" i="57"/>
  <c r="L23" i="57" s="1"/>
  <c r="K22" i="57"/>
  <c r="H22" i="57"/>
  <c r="L22" i="57" s="1"/>
  <c r="K21" i="57"/>
  <c r="H21" i="57"/>
  <c r="L21" i="57" s="1"/>
  <c r="K20" i="57"/>
  <c r="H20" i="57"/>
  <c r="L20" i="57" s="1"/>
  <c r="K19" i="57"/>
  <c r="H19" i="57"/>
  <c r="L19" i="57" s="1"/>
  <c r="K18" i="57"/>
  <c r="H18" i="57"/>
  <c r="L18" i="57" s="1"/>
  <c r="K17" i="57"/>
  <c r="H17" i="57"/>
  <c r="L17" i="57" s="1"/>
  <c r="K16" i="57"/>
  <c r="H16" i="57"/>
  <c r="L16" i="57" s="1"/>
  <c r="K15" i="57"/>
  <c r="H15" i="57"/>
  <c r="L15" i="57" s="1"/>
  <c r="K14" i="57"/>
  <c r="H14" i="57"/>
  <c r="L14" i="57" s="1"/>
  <c r="K13" i="57"/>
  <c r="H13" i="57"/>
  <c r="L13" i="57" s="1"/>
  <c r="K12" i="57"/>
  <c r="H12" i="57"/>
  <c r="L12" i="57" s="1"/>
  <c r="K11" i="57"/>
  <c r="H11" i="57"/>
  <c r="L11" i="57" s="1"/>
  <c r="K10" i="57"/>
  <c r="H10" i="57"/>
  <c r="L10" i="57" s="1"/>
  <c r="K9" i="57"/>
  <c r="H9" i="57"/>
  <c r="L9" i="57" s="1"/>
  <c r="K8" i="57"/>
  <c r="H8" i="57"/>
  <c r="L8" i="57" s="1"/>
  <c r="K7" i="57"/>
  <c r="H7" i="57"/>
  <c r="L7" i="57" s="1"/>
  <c r="K6" i="57"/>
  <c r="H6" i="57"/>
  <c r="L6" i="57" s="1"/>
  <c r="K5" i="57"/>
  <c r="H5" i="57"/>
  <c r="L5" i="57" s="1"/>
  <c r="K4" i="57"/>
  <c r="H4" i="57"/>
  <c r="L4" i="57" s="1"/>
  <c r="N4" i="57" s="1"/>
  <c r="N5" i="57" s="1"/>
  <c r="N6" i="57" s="1"/>
  <c r="N7" i="57" s="1"/>
  <c r="N8" i="57" s="1"/>
  <c r="N9" i="57" s="1"/>
  <c r="N10" i="57" s="1"/>
  <c r="N11" i="57" s="1"/>
  <c r="N12" i="57" s="1"/>
  <c r="N13" i="57" s="1"/>
  <c r="N14" i="57" s="1"/>
  <c r="N15" i="57" s="1"/>
  <c r="N16" i="57" s="1"/>
  <c r="J34" i="38"/>
  <c r="G34" i="38"/>
  <c r="K34" i="38" s="1"/>
  <c r="L34" i="38" s="1"/>
  <c r="J33" i="38"/>
  <c r="G33" i="38"/>
  <c r="K33" i="38" s="1"/>
  <c r="J32" i="38"/>
  <c r="G32" i="38"/>
  <c r="K32" i="38" s="1"/>
  <c r="J31" i="38"/>
  <c r="G31" i="38"/>
  <c r="K31" i="38" s="1"/>
  <c r="J30" i="38"/>
  <c r="G30" i="38"/>
  <c r="K30" i="38" s="1"/>
  <c r="J29" i="38"/>
  <c r="G29" i="38"/>
  <c r="K29" i="38" s="1"/>
  <c r="J28" i="38"/>
  <c r="G28" i="38"/>
  <c r="K28" i="38" s="1"/>
  <c r="J27" i="38"/>
  <c r="G27" i="38"/>
  <c r="K27" i="38" s="1"/>
  <c r="J26" i="38"/>
  <c r="G26" i="38"/>
  <c r="K26" i="38" s="1"/>
  <c r="J25" i="38"/>
  <c r="G25" i="38"/>
  <c r="K25" i="38" s="1"/>
  <c r="J24" i="38"/>
  <c r="G24" i="38"/>
  <c r="K24" i="38" s="1"/>
  <c r="J23" i="38"/>
  <c r="G23" i="38"/>
  <c r="K23" i="38" s="1"/>
  <c r="J22" i="38"/>
  <c r="G22" i="38"/>
  <c r="K22" i="38" s="1"/>
  <c r="J21" i="38"/>
  <c r="G21" i="38"/>
  <c r="K21" i="38" s="1"/>
  <c r="J20" i="38"/>
  <c r="G20" i="38"/>
  <c r="K20" i="38" s="1"/>
  <c r="J19" i="38"/>
  <c r="G19" i="38"/>
  <c r="K19" i="38" s="1"/>
  <c r="L19" i="38" s="1"/>
  <c r="J18" i="38"/>
  <c r="G18" i="38"/>
  <c r="K18" i="38" s="1"/>
  <c r="L18" i="38" s="1"/>
  <c r="J17" i="38"/>
  <c r="G17" i="38"/>
  <c r="K17" i="38" s="1"/>
  <c r="L17" i="38" s="1"/>
  <c r="J16" i="38"/>
  <c r="G16" i="38"/>
  <c r="K16" i="38" s="1"/>
  <c r="L16" i="38" s="1"/>
  <c r="J15" i="38"/>
  <c r="G15" i="38"/>
  <c r="K15" i="38" s="1"/>
  <c r="L15" i="38" s="1"/>
  <c r="J14" i="38"/>
  <c r="G14" i="38"/>
  <c r="K14" i="38" s="1"/>
  <c r="L14" i="38" s="1"/>
  <c r="J13" i="38"/>
  <c r="G13" i="38"/>
  <c r="K13" i="38" s="1"/>
  <c r="L13" i="38" s="1"/>
  <c r="J12" i="38"/>
  <c r="G12" i="38"/>
  <c r="K12" i="38" s="1"/>
  <c r="J11" i="38"/>
  <c r="G11" i="38"/>
  <c r="K11" i="38" s="1"/>
  <c r="J10" i="38"/>
  <c r="G10" i="38"/>
  <c r="K10" i="38" s="1"/>
  <c r="J9" i="38"/>
  <c r="G9" i="38"/>
  <c r="K9" i="38" s="1"/>
  <c r="J8" i="38"/>
  <c r="G8" i="38"/>
  <c r="K8" i="38" s="1"/>
  <c r="J7" i="38"/>
  <c r="G7" i="38"/>
  <c r="K7" i="38" s="1"/>
  <c r="J6" i="38"/>
  <c r="G6" i="38"/>
  <c r="K6" i="38" s="1"/>
  <c r="J5" i="38"/>
  <c r="G5" i="38"/>
  <c r="K5" i="38" s="1"/>
  <c r="J4" i="38"/>
  <c r="G4" i="38"/>
  <c r="K4" i="38" s="1"/>
  <c r="M4" i="38" s="1"/>
  <c r="M5" i="38" s="1"/>
  <c r="M6" i="38" s="1"/>
  <c r="M7" i="38" s="1"/>
  <c r="M8" i="38" s="1"/>
  <c r="M9" i="38" s="1"/>
  <c r="M10" i="38" s="1"/>
  <c r="M11" i="38" s="1"/>
  <c r="M12" i="38" s="1"/>
  <c r="M13" i="38" s="1"/>
  <c r="M14" i="38" s="1"/>
  <c r="M15" i="38" s="1"/>
  <c r="M16" i="38" s="1"/>
  <c r="K5" i="46"/>
  <c r="K6" i="46"/>
  <c r="K7" i="46"/>
  <c r="K8" i="46"/>
  <c r="G37" i="23"/>
  <c r="G36" i="23"/>
  <c r="J38" i="23"/>
  <c r="G38" i="23"/>
  <c r="K38" i="23" s="1"/>
  <c r="G35" i="16"/>
  <c r="J35" i="16"/>
  <c r="K35" i="16"/>
  <c r="K33" i="36"/>
  <c r="K34" i="36"/>
  <c r="J33" i="36"/>
  <c r="J34" i="36"/>
  <c r="G33" i="36"/>
  <c r="G34" i="36"/>
  <c r="M34" i="12"/>
  <c r="K34" i="12"/>
  <c r="G34" i="12"/>
  <c r="M34" i="47"/>
  <c r="K34" i="47"/>
  <c r="J34" i="47"/>
  <c r="G34" i="47"/>
  <c r="K32" i="12"/>
  <c r="K33" i="12"/>
  <c r="J32" i="19"/>
  <c r="H35" i="9"/>
  <c r="J33" i="3"/>
  <c r="K13" i="56"/>
  <c r="J13" i="56"/>
  <c r="H13" i="56"/>
  <c r="G13" i="56"/>
  <c r="F13" i="56"/>
  <c r="E13" i="56"/>
  <c r="D13" i="56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G9" i="58"/>
  <c r="J9" i="58"/>
  <c r="K9" i="58"/>
  <c r="L9" i="58"/>
  <c r="G10" i="58"/>
  <c r="J10" i="58"/>
  <c r="K10" i="58"/>
  <c r="L10" i="58"/>
  <c r="G11" i="58"/>
  <c r="J11" i="58"/>
  <c r="K11" i="58"/>
  <c r="L11" i="58"/>
  <c r="G12" i="58"/>
  <c r="J12" i="58"/>
  <c r="K12" i="58"/>
  <c r="L12" i="58"/>
  <c r="G13" i="58"/>
  <c r="J13" i="58"/>
  <c r="K13" i="58"/>
  <c r="L13" i="58"/>
  <c r="G14" i="58"/>
  <c r="J14" i="58"/>
  <c r="K14" i="58"/>
  <c r="L14" i="58"/>
  <c r="G15" i="58"/>
  <c r="J15" i="58"/>
  <c r="K15" i="58"/>
  <c r="L15" i="58"/>
  <c r="G16" i="58"/>
  <c r="J16" i="58"/>
  <c r="K16" i="58"/>
  <c r="L16" i="58"/>
  <c r="G17" i="58"/>
  <c r="J17" i="58"/>
  <c r="K17" i="58"/>
  <c r="L17" i="58"/>
  <c r="G18" i="58"/>
  <c r="J18" i="58"/>
  <c r="K18" i="58"/>
  <c r="L18" i="58"/>
  <c r="G19" i="58"/>
  <c r="J19" i="58"/>
  <c r="K19" i="58"/>
  <c r="L19" i="58"/>
  <c r="G20" i="58"/>
  <c r="J20" i="58"/>
  <c r="K20" i="58"/>
  <c r="L20" i="58"/>
  <c r="G21" i="58"/>
  <c r="J21" i="58"/>
  <c r="K21" i="58"/>
  <c r="L21" i="58"/>
  <c r="G22" i="58"/>
  <c r="J22" i="58"/>
  <c r="K22" i="58"/>
  <c r="L22" i="58"/>
  <c r="G23" i="58"/>
  <c r="J23" i="58"/>
  <c r="K23" i="58"/>
  <c r="L23" i="58"/>
  <c r="G24" i="58"/>
  <c r="J24" i="58"/>
  <c r="K24" i="58"/>
  <c r="L24" i="58"/>
  <c r="G25" i="58"/>
  <c r="J25" i="58"/>
  <c r="K25" i="58"/>
  <c r="L25" i="58"/>
  <c r="G26" i="58"/>
  <c r="J26" i="58"/>
  <c r="K26" i="58"/>
  <c r="L26" i="58"/>
  <c r="G27" i="58"/>
  <c r="J27" i="58"/>
  <c r="K27" i="58"/>
  <c r="L27" i="58"/>
  <c r="G28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33" i="58"/>
  <c r="J33" i="58"/>
  <c r="K33" i="58"/>
  <c r="L33" i="58"/>
  <c r="G34" i="58"/>
  <c r="J34" i="58"/>
  <c r="K34" i="58"/>
  <c r="L34" i="58"/>
  <c r="J4" i="58"/>
  <c r="G4" i="58"/>
  <c r="H35" i="58"/>
  <c r="E35" i="58"/>
  <c r="J35" i="58"/>
  <c r="J35" i="36"/>
  <c r="H35" i="36"/>
  <c r="G35" i="36"/>
  <c r="E35" i="36"/>
  <c r="E30" i="56"/>
  <c r="D30" i="56"/>
  <c r="H12" i="56"/>
  <c r="J27" i="56"/>
  <c r="H35" i="19"/>
  <c r="E35" i="19"/>
  <c r="J43" i="51"/>
  <c r="H43" i="51"/>
  <c r="E43" i="51"/>
  <c r="F44" i="56"/>
  <c r="D44" i="56"/>
  <c r="G43" i="56"/>
  <c r="F43" i="56"/>
  <c r="D43" i="56"/>
  <c r="E43" i="35"/>
  <c r="D42" i="56" s="1"/>
  <c r="J41" i="56"/>
  <c r="G41" i="56"/>
  <c r="F41" i="56"/>
  <c r="E41" i="56"/>
  <c r="D41" i="56"/>
  <c r="E46" i="34"/>
  <c r="E40" i="56"/>
  <c r="D40" i="56"/>
  <c r="E44" i="33"/>
  <c r="J39" i="56"/>
  <c r="F39" i="56"/>
  <c r="E35" i="9"/>
  <c r="D39" i="56" s="1"/>
  <c r="H44" i="26"/>
  <c r="F38" i="56" s="1"/>
  <c r="E44" i="26"/>
  <c r="D38" i="56" s="1"/>
  <c r="E35" i="57"/>
  <c r="E35" i="38"/>
  <c r="E37" i="38" s="1"/>
  <c r="L35" i="41"/>
  <c r="J34" i="56" s="1"/>
  <c r="H35" i="41"/>
  <c r="F34" i="56" s="1"/>
  <c r="E35" i="41"/>
  <c r="D34" i="56" s="1"/>
  <c r="G33" i="56"/>
  <c r="F33" i="56"/>
  <c r="E33" i="56"/>
  <c r="D33" i="56"/>
  <c r="J33" i="56"/>
  <c r="M32" i="36"/>
  <c r="M32" i="54"/>
  <c r="M33" i="54"/>
  <c r="E35" i="12"/>
  <c r="H35" i="12"/>
  <c r="J35" i="12"/>
  <c r="K35" i="12"/>
  <c r="J32" i="56"/>
  <c r="G32" i="56"/>
  <c r="F32" i="56"/>
  <c r="D32" i="56"/>
  <c r="G31" i="56"/>
  <c r="F31" i="56"/>
  <c r="J29" i="56"/>
  <c r="J28" i="56"/>
  <c r="F28" i="56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4" i="22"/>
  <c r="J39" i="22"/>
  <c r="H39" i="22"/>
  <c r="G27" i="56"/>
  <c r="F27" i="56"/>
  <c r="D27" i="56"/>
  <c r="J25" i="56"/>
  <c r="G25" i="56"/>
  <c r="F25" i="56"/>
  <c r="E25" i="56"/>
  <c r="D25" i="56"/>
  <c r="J24" i="56"/>
  <c r="E21" i="56"/>
  <c r="D21" i="56"/>
  <c r="J20" i="56"/>
  <c r="G20" i="56"/>
  <c r="F20" i="56"/>
  <c r="E20" i="56"/>
  <c r="D20" i="56"/>
  <c r="J19" i="56"/>
  <c r="E19" i="56"/>
  <c r="D19" i="56"/>
  <c r="G16" i="56"/>
  <c r="F16" i="56"/>
  <c r="E16" i="56"/>
  <c r="D16" i="56"/>
  <c r="G15" i="56"/>
  <c r="F15" i="56"/>
  <c r="E15" i="56"/>
  <c r="D15" i="56"/>
  <c r="I14" i="56"/>
  <c r="G14" i="56"/>
  <c r="F14" i="56"/>
  <c r="E14" i="56"/>
  <c r="D14" i="56"/>
  <c r="K32" i="14"/>
  <c r="G32" i="14"/>
  <c r="H46" i="34"/>
  <c r="G46" i="34"/>
  <c r="E35" i="37"/>
  <c r="D31" i="56" s="1"/>
  <c r="E35" i="15"/>
  <c r="D29" i="56" s="1"/>
  <c r="E36" i="14"/>
  <c r="D28" i="56" s="1"/>
  <c r="E35" i="25"/>
  <c r="D26" i="56" s="1"/>
  <c r="E35" i="40"/>
  <c r="E35" i="11"/>
  <c r="D24" i="56" s="1"/>
  <c r="L35" i="10"/>
  <c r="J23" i="56" s="1"/>
  <c r="D23" i="56"/>
  <c r="D22" i="56"/>
  <c r="E35" i="24"/>
  <c r="E35" i="3"/>
  <c r="E35" i="7"/>
  <c r="D18" i="56" s="1"/>
  <c r="J17" i="56"/>
  <c r="D17" i="56"/>
  <c r="E35" i="52"/>
  <c r="E35" i="1"/>
  <c r="E36" i="2"/>
  <c r="E39" i="32"/>
  <c r="D8" i="56"/>
  <c r="H9" i="56"/>
  <c r="H14" i="56"/>
  <c r="H15" i="56"/>
  <c r="H16" i="56"/>
  <c r="H20" i="56"/>
  <c r="H25" i="56"/>
  <c r="H33" i="56"/>
  <c r="H35" i="56"/>
  <c r="H41" i="56"/>
  <c r="L31" i="32"/>
  <c r="L32" i="32"/>
  <c r="L33" i="32"/>
  <c r="L34" i="32"/>
  <c r="L35" i="32"/>
  <c r="L37" i="32"/>
  <c r="G27" i="9"/>
  <c r="G28" i="9"/>
  <c r="G29" i="9"/>
  <c r="G30" i="9"/>
  <c r="G31" i="9"/>
  <c r="G32" i="9"/>
  <c r="G33" i="9"/>
  <c r="G34" i="9"/>
  <c r="G31" i="32"/>
  <c r="G32" i="32"/>
  <c r="G33" i="32"/>
  <c r="G34" i="32"/>
  <c r="G35" i="32"/>
  <c r="G36" i="32"/>
  <c r="G37" i="32"/>
  <c r="G38" i="32"/>
  <c r="L29" i="36"/>
  <c r="G25" i="15"/>
  <c r="G26" i="15"/>
  <c r="G27" i="15"/>
  <c r="G28" i="15"/>
  <c r="G29" i="15"/>
  <c r="G30" i="15"/>
  <c r="G31" i="15"/>
  <c r="G32" i="15"/>
  <c r="G33" i="15"/>
  <c r="G34" i="15"/>
  <c r="K41" i="56"/>
  <c r="L35" i="9"/>
  <c r="I35" i="46"/>
  <c r="K35" i="56"/>
  <c r="K36" i="56"/>
  <c r="K33" i="56"/>
  <c r="L35" i="8"/>
  <c r="H35" i="37"/>
  <c r="F30" i="56"/>
  <c r="K25" i="56"/>
  <c r="G35" i="40"/>
  <c r="L35" i="11"/>
  <c r="H35" i="11"/>
  <c r="F24" i="56" s="1"/>
  <c r="H35" i="10"/>
  <c r="F23" i="56" s="1"/>
  <c r="K20" i="56"/>
  <c r="G35" i="3"/>
  <c r="H35" i="3"/>
  <c r="F19" i="56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4" i="3"/>
  <c r="L35" i="3"/>
  <c r="H35" i="7"/>
  <c r="F18" i="56" s="1"/>
  <c r="F38" i="16"/>
  <c r="I38" i="16"/>
  <c r="K16" i="56"/>
  <c r="K15" i="56"/>
  <c r="L36" i="2"/>
  <c r="J14" i="56" s="1"/>
  <c r="K14" i="56"/>
  <c r="G36" i="2"/>
  <c r="K12" i="56"/>
  <c r="K11" i="56"/>
  <c r="K10" i="56"/>
  <c r="K9" i="56"/>
  <c r="H6" i="56"/>
  <c r="K6" i="56"/>
  <c r="H39" i="32"/>
  <c r="G39" i="32"/>
  <c r="L27" i="32"/>
  <c r="L28" i="32"/>
  <c r="L29" i="32"/>
  <c r="G29" i="32"/>
  <c r="G30" i="32"/>
  <c r="G28" i="32"/>
  <c r="G27" i="32"/>
  <c r="G26" i="32"/>
  <c r="J25" i="32"/>
  <c r="G25" i="32"/>
  <c r="K25" i="32" s="1"/>
  <c r="L25" i="32" s="1"/>
  <c r="G24" i="32"/>
  <c r="J23" i="32"/>
  <c r="G23" i="32"/>
  <c r="K23" i="32" s="1"/>
  <c r="L23" i="32" s="1"/>
  <c r="G22" i="32"/>
  <c r="J21" i="32"/>
  <c r="G20" i="32"/>
  <c r="G21" i="32"/>
  <c r="K21" i="32" s="1"/>
  <c r="L21" i="32" s="1"/>
  <c r="G19" i="32"/>
  <c r="J21" i="2"/>
  <c r="J22" i="2"/>
  <c r="J23" i="2"/>
  <c r="J24" i="2"/>
  <c r="J25" i="2"/>
  <c r="J26" i="2"/>
  <c r="J27" i="2"/>
  <c r="J28" i="2"/>
  <c r="J29" i="2"/>
  <c r="J30" i="2"/>
  <c r="J31" i="2"/>
  <c r="J32" i="2"/>
  <c r="G28" i="2"/>
  <c r="K28" i="2" s="1"/>
  <c r="M28" i="2" s="1"/>
  <c r="M29" i="2" s="1"/>
  <c r="M30" i="2" s="1"/>
  <c r="K26" i="22"/>
  <c r="J26" i="22"/>
  <c r="G26" i="22"/>
  <c r="G25" i="9"/>
  <c r="G26" i="9"/>
  <c r="I5" i="56"/>
  <c r="H35" i="18"/>
  <c r="F5" i="56" s="1"/>
  <c r="E35" i="18"/>
  <c r="D5" i="56" s="1"/>
  <c r="I4" i="56"/>
  <c r="I3" i="56"/>
  <c r="L37" i="50"/>
  <c r="J3" i="56" s="1"/>
  <c r="H37" i="50"/>
  <c r="F3" i="56" s="1"/>
  <c r="E37" i="50"/>
  <c r="D3" i="56" s="1"/>
  <c r="I2" i="56"/>
  <c r="I45" i="56" s="1"/>
  <c r="E36" i="6"/>
  <c r="D2" i="56"/>
  <c r="J43" i="55"/>
  <c r="I43" i="55"/>
  <c r="H43" i="55"/>
  <c r="G43" i="55"/>
  <c r="F43" i="55"/>
  <c r="E43" i="55"/>
  <c r="D43" i="55"/>
  <c r="K38" i="55"/>
  <c r="H38" i="55"/>
  <c r="H42" i="55"/>
  <c r="K42" i="55" s="1"/>
  <c r="H41" i="55"/>
  <c r="K41" i="55" s="1"/>
  <c r="H40" i="55"/>
  <c r="K40" i="55" s="1"/>
  <c r="H43" i="35"/>
  <c r="F42" i="56" s="1"/>
  <c r="H39" i="55"/>
  <c r="K39" i="55" s="1"/>
  <c r="H28" i="55"/>
  <c r="H29" i="55"/>
  <c r="H30" i="55"/>
  <c r="H31" i="55"/>
  <c r="H35" i="55"/>
  <c r="H36" i="55"/>
  <c r="H37" i="55"/>
  <c r="K37" i="55" s="1"/>
  <c r="H33" i="55"/>
  <c r="H34" i="55"/>
  <c r="H32" i="55"/>
  <c r="K33" i="55"/>
  <c r="J35" i="38"/>
  <c r="J37" i="38" s="1"/>
  <c r="H35" i="38"/>
  <c r="H37" i="38" s="1"/>
  <c r="G35" i="38"/>
  <c r="G37" i="38" s="1"/>
  <c r="L35" i="38"/>
  <c r="K35" i="38"/>
  <c r="K37" i="38" s="1"/>
  <c r="K32" i="55"/>
  <c r="K29" i="55"/>
  <c r="K31" i="55"/>
  <c r="K43" i="55" s="1"/>
  <c r="K30" i="55"/>
  <c r="K28" i="55"/>
  <c r="L35" i="15"/>
  <c r="H35" i="15"/>
  <c r="F29" i="56" s="1"/>
  <c r="G35" i="15"/>
  <c r="E29" i="56" s="1"/>
  <c r="L36" i="14"/>
  <c r="H27" i="55"/>
  <c r="K27" i="55" s="1"/>
  <c r="H26" i="55"/>
  <c r="K26" i="55" s="1"/>
  <c r="H25" i="55"/>
  <c r="K25" i="55" s="1"/>
  <c r="H35" i="25"/>
  <c r="F26" i="56" s="1"/>
  <c r="H24" i="55"/>
  <c r="K24" i="55" s="1"/>
  <c r="J35" i="40"/>
  <c r="H35" i="40"/>
  <c r="H23" i="55"/>
  <c r="K23" i="55" s="1"/>
  <c r="H22" i="55"/>
  <c r="K22" i="55" s="1"/>
  <c r="H21" i="55"/>
  <c r="K21" i="55" s="1"/>
  <c r="F22" i="56"/>
  <c r="H20" i="55"/>
  <c r="K20" i="55" s="1"/>
  <c r="H35" i="24"/>
  <c r="F21" i="56" s="1"/>
  <c r="H19" i="55"/>
  <c r="K19" i="55" s="1"/>
  <c r="H35" i="20"/>
  <c r="H18" i="55"/>
  <c r="K18" i="55" s="1"/>
  <c r="H17" i="55"/>
  <c r="K17" i="55" s="1"/>
  <c r="H16" i="55"/>
  <c r="K16" i="55" s="1"/>
  <c r="K37" i="16"/>
  <c r="H15" i="55"/>
  <c r="K15" i="55" s="1"/>
  <c r="L35" i="52"/>
  <c r="H35" i="52"/>
  <c r="H14" i="55"/>
  <c r="K14" i="55" s="1"/>
  <c r="K35" i="1"/>
  <c r="J35" i="1"/>
  <c r="H35" i="1"/>
  <c r="G35" i="1"/>
  <c r="H13" i="55"/>
  <c r="K13" i="55" s="1"/>
  <c r="H36" i="2"/>
  <c r="H12" i="55"/>
  <c r="K12" i="55" s="1"/>
  <c r="H11" i="55"/>
  <c r="K11" i="55" s="1"/>
  <c r="H10" i="55"/>
  <c r="K10" i="55" s="1"/>
  <c r="D49" i="55"/>
  <c r="J20" i="32"/>
  <c r="K20" i="32"/>
  <c r="H9" i="55"/>
  <c r="H8" i="55"/>
  <c r="K8" i="55" s="1"/>
  <c r="H7" i="55"/>
  <c r="K7" i="55" s="1"/>
  <c r="G35" i="53"/>
  <c r="E7" i="56" s="1"/>
  <c r="H7" i="56" s="1"/>
  <c r="K7" i="56" s="1"/>
  <c r="E35" i="53"/>
  <c r="D7" i="56" s="1"/>
  <c r="H6" i="55"/>
  <c r="K6" i="55" s="1"/>
  <c r="H5" i="55"/>
  <c r="K5" i="55" s="1"/>
  <c r="H4" i="55"/>
  <c r="K4" i="55" s="1"/>
  <c r="E35" i="47"/>
  <c r="D4" i="56" s="1"/>
  <c r="L35" i="47"/>
  <c r="J4" i="56" s="1"/>
  <c r="H35" i="47"/>
  <c r="F4" i="56" s="1"/>
  <c r="H3" i="55"/>
  <c r="K3" i="55" s="1"/>
  <c r="L36" i="6"/>
  <c r="J2" i="56" s="1"/>
  <c r="H2" i="55"/>
  <c r="H36" i="6"/>
  <c r="F2" i="56" s="1"/>
  <c r="G22" i="15"/>
  <c r="G23" i="15"/>
  <c r="G24" i="15"/>
  <c r="G21" i="9"/>
  <c r="G22" i="9"/>
  <c r="G23" i="9"/>
  <c r="G24" i="9"/>
  <c r="G18" i="1"/>
  <c r="G19" i="1"/>
  <c r="G20" i="1"/>
  <c r="G21" i="1"/>
  <c r="G22" i="1"/>
  <c r="G23" i="1"/>
  <c r="G24" i="1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K23" i="47"/>
  <c r="G20" i="9"/>
  <c r="G21" i="15"/>
  <c r="G20" i="15"/>
  <c r="N100" i="43"/>
  <c r="N101" i="43"/>
  <c r="N102" i="43"/>
  <c r="K102" i="43"/>
  <c r="L102" i="43"/>
  <c r="H102" i="43"/>
  <c r="K100" i="43"/>
  <c r="L100" i="43"/>
  <c r="K101" i="43"/>
  <c r="L101" i="43"/>
  <c r="H101" i="43"/>
  <c r="H99" i="43"/>
  <c r="H100" i="43"/>
  <c r="L99" i="43"/>
  <c r="K95" i="43"/>
  <c r="K96" i="43"/>
  <c r="K97" i="43"/>
  <c r="K98" i="43"/>
  <c r="K99" i="43"/>
  <c r="L98" i="43"/>
  <c r="H98" i="43"/>
  <c r="G19" i="15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M20" i="51" s="1"/>
  <c r="M21" i="51" s="1"/>
  <c r="M22" i="51" s="1"/>
  <c r="G19" i="9"/>
  <c r="J24" i="44"/>
  <c r="J25" i="44"/>
  <c r="J26" i="44"/>
  <c r="L97" i="43"/>
  <c r="H97" i="43"/>
  <c r="L96" i="43"/>
  <c r="H96" i="43"/>
  <c r="L95" i="43"/>
  <c r="H95" i="43"/>
  <c r="L94" i="43"/>
  <c r="K94" i="43"/>
  <c r="H93" i="43"/>
  <c r="H94" i="43"/>
  <c r="L93" i="43"/>
  <c r="K93" i="43"/>
  <c r="L92" i="43"/>
  <c r="K92" i="43"/>
  <c r="H91" i="43"/>
  <c r="H92" i="43"/>
  <c r="L91" i="43"/>
  <c r="K87" i="43"/>
  <c r="L87" i="43" s="1"/>
  <c r="K88" i="43"/>
  <c r="L88" i="43" s="1"/>
  <c r="K89" i="43"/>
  <c r="L89" i="43" s="1"/>
  <c r="K90" i="43"/>
  <c r="L90" i="43" s="1"/>
  <c r="K91" i="43"/>
  <c r="H90" i="43"/>
  <c r="H89" i="43"/>
  <c r="H88" i="43"/>
  <c r="H86" i="43"/>
  <c r="H87" i="43"/>
  <c r="K86" i="43"/>
  <c r="L86" i="43" s="1"/>
  <c r="N86" i="43" s="1"/>
  <c r="N87" i="43" s="1"/>
  <c r="N88" i="43" s="1"/>
  <c r="N89" i="43" s="1"/>
  <c r="N90" i="43" s="1"/>
  <c r="N91" i="43" s="1"/>
  <c r="N92" i="43" s="1"/>
  <c r="N93" i="43" s="1"/>
  <c r="N94" i="43" s="1"/>
  <c r="N95" i="43" s="1"/>
  <c r="N96" i="43" s="1"/>
  <c r="N97" i="43" s="1"/>
  <c r="N98" i="43" s="1"/>
  <c r="N99" i="43" s="1"/>
  <c r="J14" i="40"/>
  <c r="J15" i="40"/>
  <c r="J16" i="40"/>
  <c r="J17" i="40"/>
  <c r="J18" i="40"/>
  <c r="G16" i="9"/>
  <c r="G17" i="9"/>
  <c r="G18" i="9"/>
  <c r="G18" i="15"/>
  <c r="G18" i="32"/>
  <c r="N77" i="43"/>
  <c r="N78" i="43"/>
  <c r="N79" i="43"/>
  <c r="N80" i="43"/>
  <c r="N81" i="43"/>
  <c r="N82" i="43"/>
  <c r="N83" i="43"/>
  <c r="N84" i="43"/>
  <c r="N85" i="43"/>
  <c r="L77" i="43"/>
  <c r="L78" i="43"/>
  <c r="L79" i="43"/>
  <c r="L80" i="43"/>
  <c r="L81" i="43"/>
  <c r="L82" i="43"/>
  <c r="L83" i="43"/>
  <c r="L84" i="43"/>
  <c r="L85" i="43"/>
  <c r="K85" i="43"/>
  <c r="H85" i="43"/>
  <c r="K83" i="43"/>
  <c r="K84" i="43"/>
  <c r="H84" i="43"/>
  <c r="H83" i="43"/>
  <c r="K82" i="43"/>
  <c r="H80" i="43"/>
  <c r="H81" i="43"/>
  <c r="H82" i="43"/>
  <c r="K81" i="43"/>
  <c r="K79" i="43"/>
  <c r="K80" i="43"/>
  <c r="H78" i="43"/>
  <c r="H79" i="43"/>
  <c r="K76" i="43"/>
  <c r="K77" i="43"/>
  <c r="K78" i="43"/>
  <c r="H77" i="43"/>
  <c r="G17" i="32"/>
  <c r="G15" i="15"/>
  <c r="G16" i="15"/>
  <c r="G17" i="15"/>
  <c r="G15" i="1"/>
  <c r="G16" i="1"/>
  <c r="G17" i="1"/>
  <c r="N70" i="43"/>
  <c r="N71" i="43"/>
  <c r="N72" i="43"/>
  <c r="N73" i="43"/>
  <c r="N74" i="43"/>
  <c r="N75" i="43"/>
  <c r="L70" i="43"/>
  <c r="L71" i="43"/>
  <c r="L72" i="43"/>
  <c r="L73" i="43"/>
  <c r="L74" i="43"/>
  <c r="L75" i="43"/>
  <c r="L76" i="43"/>
  <c r="N76" i="43" s="1"/>
  <c r="H76" i="43"/>
  <c r="K71" i="43"/>
  <c r="K72" i="43"/>
  <c r="K73" i="43"/>
  <c r="K74" i="43"/>
  <c r="K75" i="43"/>
  <c r="H75" i="43"/>
  <c r="H74" i="43"/>
  <c r="H73" i="43"/>
  <c r="H70" i="43"/>
  <c r="H71" i="43"/>
  <c r="H72" i="43"/>
  <c r="K70" i="43"/>
  <c r="G12" i="32"/>
  <c r="G13" i="32"/>
  <c r="G14" i="32"/>
  <c r="G15" i="32"/>
  <c r="G16" i="32"/>
  <c r="G12" i="22"/>
  <c r="K12" i="22" s="1"/>
  <c r="G13" i="22"/>
  <c r="K13" i="22" s="1"/>
  <c r="G11" i="22"/>
  <c r="N62" i="43"/>
  <c r="N63" i="43"/>
  <c r="N64" i="43"/>
  <c r="N65" i="43"/>
  <c r="N66" i="43"/>
  <c r="N67" i="43"/>
  <c r="N68" i="43"/>
  <c r="N69" i="43"/>
  <c r="K65" i="43"/>
  <c r="K66" i="43"/>
  <c r="K67" i="43"/>
  <c r="K68" i="43"/>
  <c r="K69" i="43"/>
  <c r="L65" i="43"/>
  <c r="L66" i="43"/>
  <c r="L67" i="43"/>
  <c r="L68" i="43"/>
  <c r="L69" i="43"/>
  <c r="H69" i="43"/>
  <c r="H68" i="43"/>
  <c r="H67" i="43"/>
  <c r="H66" i="43"/>
  <c r="H65" i="43"/>
  <c r="L62" i="43"/>
  <c r="L63" i="43"/>
  <c r="L64" i="43"/>
  <c r="K59" i="43"/>
  <c r="K60" i="43"/>
  <c r="K61" i="43"/>
  <c r="K62" i="43"/>
  <c r="K63" i="43"/>
  <c r="K64" i="43"/>
  <c r="H62" i="43"/>
  <c r="H63" i="43"/>
  <c r="H64" i="43"/>
  <c r="H35" i="54"/>
  <c r="J34" i="54"/>
  <c r="G34" i="54"/>
  <c r="K34" i="54" s="1"/>
  <c r="M34" i="54" s="1"/>
  <c r="J33" i="54"/>
  <c r="G33" i="54"/>
  <c r="K33" i="54" s="1"/>
  <c r="J32" i="54"/>
  <c r="G32" i="54"/>
  <c r="K32" i="54" s="1"/>
  <c r="J31" i="54"/>
  <c r="G31" i="54"/>
  <c r="K31" i="54" s="1"/>
  <c r="P30" i="54"/>
  <c r="J30" i="54"/>
  <c r="G30" i="54"/>
  <c r="K30" i="54" s="1"/>
  <c r="J29" i="54"/>
  <c r="G29" i="54"/>
  <c r="K29" i="54" s="1"/>
  <c r="J28" i="54"/>
  <c r="G28" i="54"/>
  <c r="K28" i="54" s="1"/>
  <c r="J27" i="54"/>
  <c r="G27" i="54"/>
  <c r="K27" i="54" s="1"/>
  <c r="J26" i="54"/>
  <c r="G26" i="54"/>
  <c r="J25" i="54"/>
  <c r="G25" i="54"/>
  <c r="K25" i="54" s="1"/>
  <c r="J24" i="54"/>
  <c r="G24" i="54"/>
  <c r="K24" i="54" s="1"/>
  <c r="J23" i="54"/>
  <c r="G23" i="54"/>
  <c r="K23" i="54" s="1"/>
  <c r="J22" i="54"/>
  <c r="G22" i="54"/>
  <c r="K22" i="54" s="1"/>
  <c r="J21" i="54"/>
  <c r="G21" i="54"/>
  <c r="K21" i="54" s="1"/>
  <c r="J20" i="54"/>
  <c r="G20" i="54"/>
  <c r="K20" i="54" s="1"/>
  <c r="J19" i="54"/>
  <c r="G19" i="54"/>
  <c r="K19" i="54" s="1"/>
  <c r="J18" i="54"/>
  <c r="G18" i="54"/>
  <c r="K18" i="54" s="1"/>
  <c r="J17" i="54"/>
  <c r="G17" i="54"/>
  <c r="K17" i="54" s="1"/>
  <c r="J16" i="54"/>
  <c r="G16" i="54"/>
  <c r="K16" i="54" s="1"/>
  <c r="J15" i="54"/>
  <c r="G15" i="54"/>
  <c r="K15" i="54" s="1"/>
  <c r="J14" i="54"/>
  <c r="G14" i="54"/>
  <c r="K14" i="54" s="1"/>
  <c r="J13" i="54"/>
  <c r="G13" i="54"/>
  <c r="K13" i="54" s="1"/>
  <c r="J12" i="54"/>
  <c r="G12" i="54"/>
  <c r="K12" i="54" s="1"/>
  <c r="J11" i="54"/>
  <c r="G11" i="54"/>
  <c r="K11" i="54" s="1"/>
  <c r="J10" i="54"/>
  <c r="G10" i="54"/>
  <c r="K10" i="54" s="1"/>
  <c r="J9" i="54"/>
  <c r="G9" i="54"/>
  <c r="K9" i="54" s="1"/>
  <c r="J8" i="54"/>
  <c r="G8" i="54"/>
  <c r="K8" i="54" s="1"/>
  <c r="J7" i="54"/>
  <c r="G7" i="54"/>
  <c r="K7" i="54" s="1"/>
  <c r="J6" i="54"/>
  <c r="G6" i="54"/>
  <c r="K6" i="54" s="1"/>
  <c r="J5" i="54"/>
  <c r="G5" i="54"/>
  <c r="K5" i="54" s="1"/>
  <c r="J4" i="54"/>
  <c r="J35" i="54" s="1"/>
  <c r="G4" i="54"/>
  <c r="M3" i="54"/>
  <c r="M3" i="53"/>
  <c r="P30" i="53"/>
  <c r="H35" i="53"/>
  <c r="J35" i="53"/>
  <c r="K35" i="53"/>
  <c r="L35" i="53"/>
  <c r="J7" i="60" s="1"/>
  <c r="K7" i="60" s="1"/>
  <c r="G13" i="9"/>
  <c r="G14" i="9"/>
  <c r="G15" i="9"/>
  <c r="N52" i="43"/>
  <c r="N53" i="43"/>
  <c r="N54" i="43"/>
  <c r="N55" i="43"/>
  <c r="N56" i="43"/>
  <c r="N57" i="43"/>
  <c r="N58" i="43"/>
  <c r="L60" i="43"/>
  <c r="L61" i="43"/>
  <c r="H61" i="43"/>
  <c r="H60" i="43"/>
  <c r="L59" i="43"/>
  <c r="N59" i="43" s="1"/>
  <c r="N60" i="43" s="1"/>
  <c r="N61" i="43" s="1"/>
  <c r="H58" i="43"/>
  <c r="H59" i="43"/>
  <c r="K56" i="43"/>
  <c r="K57" i="43"/>
  <c r="K58" i="43"/>
  <c r="L58" i="43"/>
  <c r="L56" i="43"/>
  <c r="L57" i="43"/>
  <c r="H57" i="43"/>
  <c r="H56" i="43"/>
  <c r="L55" i="43"/>
  <c r="K55" i="43"/>
  <c r="H55" i="43"/>
  <c r="L54" i="43"/>
  <c r="K54" i="43"/>
  <c r="H54" i="43"/>
  <c r="K51" i="43"/>
  <c r="L51" i="43"/>
  <c r="K52" i="43"/>
  <c r="L52" i="43"/>
  <c r="K53" i="43"/>
  <c r="L53" i="43"/>
  <c r="H53" i="43"/>
  <c r="H52" i="43"/>
  <c r="K14" i="50"/>
  <c r="G14" i="50"/>
  <c r="G14" i="15"/>
  <c r="G13" i="15"/>
  <c r="K13" i="40"/>
  <c r="J13" i="40"/>
  <c r="G12" i="1"/>
  <c r="G13" i="1"/>
  <c r="G14" i="1"/>
  <c r="N46" i="43"/>
  <c r="N47" i="43"/>
  <c r="N48" i="43"/>
  <c r="N49" i="43"/>
  <c r="N50" i="43"/>
  <c r="N51" i="43"/>
  <c r="H51" i="43"/>
  <c r="L50" i="43"/>
  <c r="K50" i="43"/>
  <c r="H48" i="43"/>
  <c r="H49" i="43"/>
  <c r="H50" i="43"/>
  <c r="L49" i="43"/>
  <c r="K49" i="43"/>
  <c r="L48" i="43"/>
  <c r="K48" i="43"/>
  <c r="L47" i="43"/>
  <c r="K47" i="43"/>
  <c r="H47" i="43"/>
  <c r="L46" i="43"/>
  <c r="K46" i="43"/>
  <c r="H46" i="43"/>
  <c r="G12" i="9"/>
  <c r="G8" i="15"/>
  <c r="G9" i="15"/>
  <c r="G10" i="15"/>
  <c r="G11" i="15"/>
  <c r="G12" i="15"/>
  <c r="L45" i="43"/>
  <c r="K44" i="43"/>
  <c r="L44" i="43" s="1"/>
  <c r="K45" i="43"/>
  <c r="H45" i="43"/>
  <c r="H44" i="43"/>
  <c r="L43" i="43"/>
  <c r="K39" i="43"/>
  <c r="K40" i="43"/>
  <c r="K41" i="43"/>
  <c r="K42" i="43"/>
  <c r="L42" i="43" s="1"/>
  <c r="K43" i="43"/>
  <c r="H43" i="43"/>
  <c r="H42" i="43"/>
  <c r="L39" i="43"/>
  <c r="L40" i="43"/>
  <c r="L41" i="43"/>
  <c r="H40" i="43"/>
  <c r="H41" i="43"/>
  <c r="G9" i="32"/>
  <c r="G10" i="32"/>
  <c r="G11" i="32"/>
  <c r="G11" i="9"/>
  <c r="L8" i="26"/>
  <c r="J10" i="16"/>
  <c r="G11" i="1"/>
  <c r="H32" i="43"/>
  <c r="H33" i="43"/>
  <c r="H34" i="43"/>
  <c r="H35" i="43"/>
  <c r="H36" i="43"/>
  <c r="H37" i="43"/>
  <c r="H38" i="43"/>
  <c r="H39" i="43"/>
  <c r="K31" i="43"/>
  <c r="L31" i="43"/>
  <c r="N31" i="43"/>
  <c r="K32" i="43"/>
  <c r="L32" i="43"/>
  <c r="N32" i="43"/>
  <c r="K33" i="43"/>
  <c r="L33" i="43"/>
  <c r="N33" i="43"/>
  <c r="K34" i="43"/>
  <c r="L34" i="43"/>
  <c r="N34" i="43"/>
  <c r="K35" i="43"/>
  <c r="L35" i="43"/>
  <c r="N35" i="43"/>
  <c r="K36" i="43"/>
  <c r="L36" i="43"/>
  <c r="N36" i="43"/>
  <c r="K37" i="43"/>
  <c r="L37" i="43"/>
  <c r="N37" i="43"/>
  <c r="K38" i="43"/>
  <c r="L38" i="43"/>
  <c r="N38" i="43"/>
  <c r="N39" i="43" s="1"/>
  <c r="N40" i="43" s="1"/>
  <c r="N41" i="43" s="1"/>
  <c r="N42" i="43" s="1"/>
  <c r="N43" i="43" s="1"/>
  <c r="N44" i="43" s="1"/>
  <c r="N45" i="43" s="1"/>
  <c r="G10" i="14"/>
  <c r="G10" i="9"/>
  <c r="G10" i="44"/>
  <c r="N30" i="43"/>
  <c r="H31" i="43"/>
  <c r="L30" i="43"/>
  <c r="K30" i="43"/>
  <c r="H30" i="43"/>
  <c r="J9" i="47"/>
  <c r="K9" i="47"/>
  <c r="K28" i="43"/>
  <c r="K29" i="43"/>
  <c r="N24" i="43"/>
  <c r="N25" i="43"/>
  <c r="L29" i="43"/>
  <c r="H29" i="43"/>
  <c r="L28" i="43"/>
  <c r="H28" i="43"/>
  <c r="L27" i="43"/>
  <c r="K26" i="43"/>
  <c r="K27" i="43"/>
  <c r="H27" i="43"/>
  <c r="L26" i="43"/>
  <c r="N26" i="43" s="1"/>
  <c r="N27" i="43" s="1"/>
  <c r="H26" i="43"/>
  <c r="L25" i="43"/>
  <c r="K25" i="43"/>
  <c r="H25" i="43"/>
  <c r="K24" i="43"/>
  <c r="L24" i="43"/>
  <c r="H21" i="43"/>
  <c r="H22" i="43"/>
  <c r="H23" i="43"/>
  <c r="H24" i="43"/>
  <c r="G8" i="32"/>
  <c r="G7" i="44"/>
  <c r="L23" i="43"/>
  <c r="K23" i="43"/>
  <c r="L22" i="43"/>
  <c r="K22" i="43"/>
  <c r="L21" i="43"/>
  <c r="K21" i="43"/>
  <c r="L20" i="43"/>
  <c r="H20" i="43"/>
  <c r="K18" i="43"/>
  <c r="K19" i="43"/>
  <c r="K20" i="43"/>
  <c r="L18" i="43"/>
  <c r="L19" i="43"/>
  <c r="H19" i="43"/>
  <c r="H18" i="43"/>
  <c r="G6" i="15"/>
  <c r="J6" i="15"/>
  <c r="K6" i="15"/>
  <c r="G7" i="15"/>
  <c r="J7" i="15"/>
  <c r="K7" i="15"/>
  <c r="J7" i="23"/>
  <c r="G7" i="23"/>
  <c r="K7" i="23" s="1"/>
  <c r="G7" i="32"/>
  <c r="G6" i="32"/>
  <c r="H7" i="43"/>
  <c r="N6" i="43"/>
  <c r="N5" i="43"/>
  <c r="L7" i="43"/>
  <c r="N7" i="43" s="1"/>
  <c r="N8" i="43" s="1"/>
  <c r="N9" i="43" s="1"/>
  <c r="K7" i="43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5" i="15"/>
  <c r="G4" i="15"/>
  <c r="G5" i="32"/>
  <c r="J5" i="50"/>
  <c r="G5" i="50"/>
  <c r="K5" i="50" s="1"/>
  <c r="J4" i="44"/>
  <c r="G4" i="44"/>
  <c r="K4" i="44" s="1"/>
  <c r="M4" i="44" s="1"/>
  <c r="N4" i="43"/>
  <c r="H5" i="43"/>
  <c r="K5" i="43"/>
  <c r="L5" i="43"/>
  <c r="H6" i="43"/>
  <c r="K6" i="43"/>
  <c r="L6" i="43"/>
  <c r="H8" i="43"/>
  <c r="K8" i="43"/>
  <c r="L8" i="43"/>
  <c r="H9" i="43"/>
  <c r="K9" i="43"/>
  <c r="L9" i="43"/>
  <c r="H10" i="43"/>
  <c r="K10" i="43"/>
  <c r="L10" i="43"/>
  <c r="H11" i="43"/>
  <c r="K11" i="43"/>
  <c r="L11" i="43"/>
  <c r="K12" i="43"/>
  <c r="L12" i="43"/>
  <c r="H13" i="43"/>
  <c r="K13" i="43"/>
  <c r="L13" i="43"/>
  <c r="H14" i="43"/>
  <c r="K14" i="43"/>
  <c r="L14" i="43"/>
  <c r="H15" i="43"/>
  <c r="K15" i="43"/>
  <c r="L15" i="43"/>
  <c r="H16" i="43"/>
  <c r="K16" i="43"/>
  <c r="L16" i="43"/>
  <c r="H17" i="43"/>
  <c r="K17" i="43"/>
  <c r="L17" i="43"/>
  <c r="G4" i="41"/>
  <c r="M3" i="10"/>
  <c r="G4" i="32"/>
  <c r="G6" i="44"/>
  <c r="J6" i="44"/>
  <c r="K6" i="44"/>
  <c r="J7" i="44"/>
  <c r="K7" i="44"/>
  <c r="G8" i="44"/>
  <c r="J8" i="44"/>
  <c r="K8" i="44"/>
  <c r="G9" i="44"/>
  <c r="J9" i="44"/>
  <c r="K9" i="44"/>
  <c r="J10" i="44"/>
  <c r="K10" i="44"/>
  <c r="G11" i="44"/>
  <c r="J11" i="44"/>
  <c r="K11" i="44"/>
  <c r="G12" i="44"/>
  <c r="G13" i="44"/>
  <c r="J13" i="44"/>
  <c r="K13" i="44"/>
  <c r="G14" i="44"/>
  <c r="J14" i="44"/>
  <c r="K14" i="44"/>
  <c r="G15" i="44"/>
  <c r="J15" i="44"/>
  <c r="K15" i="44"/>
  <c r="G17" i="44"/>
  <c r="J17" i="44"/>
  <c r="K17" i="44"/>
  <c r="G18" i="44"/>
  <c r="J18" i="44"/>
  <c r="K18" i="44"/>
  <c r="G19" i="44"/>
  <c r="J19" i="44"/>
  <c r="K19" i="44"/>
  <c r="G20" i="44"/>
  <c r="J20" i="44"/>
  <c r="K20" i="44"/>
  <c r="G21" i="44"/>
  <c r="J21" i="44"/>
  <c r="K21" i="44"/>
  <c r="G22" i="44"/>
  <c r="J22" i="44"/>
  <c r="K22" i="44"/>
  <c r="G23" i="44"/>
  <c r="J23" i="44"/>
  <c r="K23" i="44"/>
  <c r="G24" i="44"/>
  <c r="K24" i="44"/>
  <c r="G25" i="44"/>
  <c r="K25" i="44"/>
  <c r="G26" i="44"/>
  <c r="K26" i="44"/>
  <c r="G27" i="44"/>
  <c r="J27" i="44"/>
  <c r="K27" i="44"/>
  <c r="G28" i="44"/>
  <c r="J28" i="44"/>
  <c r="K28" i="44"/>
  <c r="G29" i="44"/>
  <c r="J29" i="44"/>
  <c r="K29" i="44"/>
  <c r="G30" i="44"/>
  <c r="J30" i="44"/>
  <c r="K30" i="44"/>
  <c r="G31" i="44"/>
  <c r="J31" i="44"/>
  <c r="K31" i="44"/>
  <c r="G32" i="44"/>
  <c r="J32" i="44"/>
  <c r="K32" i="44"/>
  <c r="G33" i="44"/>
  <c r="J33" i="44"/>
  <c r="K33" i="44"/>
  <c r="G34" i="44"/>
  <c r="J34" i="44"/>
  <c r="K34" i="44"/>
  <c r="G35" i="44"/>
  <c r="J35" i="44"/>
  <c r="K35" i="44"/>
  <c r="G36" i="44"/>
  <c r="J36" i="44"/>
  <c r="K36" i="44"/>
  <c r="G37" i="44"/>
  <c r="J37" i="44"/>
  <c r="K37" i="44"/>
  <c r="G38" i="44"/>
  <c r="J38" i="44"/>
  <c r="K38" i="44"/>
  <c r="G39" i="44"/>
  <c r="J39" i="44"/>
  <c r="K39" i="44"/>
  <c r="G40" i="44"/>
  <c r="J40" i="44"/>
  <c r="K40" i="44"/>
  <c r="G41" i="44"/>
  <c r="J41" i="44"/>
  <c r="K41" i="44"/>
  <c r="G42" i="44"/>
  <c r="J42" i="44"/>
  <c r="K42" i="44"/>
  <c r="G43" i="44"/>
  <c r="J43" i="44"/>
  <c r="K43" i="44"/>
  <c r="G44" i="44"/>
  <c r="J44" i="44"/>
  <c r="K44" i="44"/>
  <c r="G45" i="44"/>
  <c r="J45" i="44"/>
  <c r="K45" i="44"/>
  <c r="G46" i="44"/>
  <c r="J46" i="44"/>
  <c r="K46" i="44"/>
  <c r="G47" i="44"/>
  <c r="J47" i="44"/>
  <c r="K47" i="44"/>
  <c r="G48" i="44"/>
  <c r="J48" i="44"/>
  <c r="K48" i="44"/>
  <c r="G49" i="44"/>
  <c r="J49" i="44"/>
  <c r="K49" i="44"/>
  <c r="G50" i="44"/>
  <c r="J50" i="44"/>
  <c r="K50" i="44"/>
  <c r="G51" i="44"/>
  <c r="J51" i="44"/>
  <c r="K51" i="44"/>
  <c r="G52" i="44"/>
  <c r="J52" i="44"/>
  <c r="K52" i="44"/>
  <c r="G53" i="44"/>
  <c r="J53" i="44"/>
  <c r="K53" i="44"/>
  <c r="G54" i="44"/>
  <c r="J54" i="44"/>
  <c r="K54" i="44"/>
  <c r="G55" i="44"/>
  <c r="J55" i="44"/>
  <c r="K55" i="44"/>
  <c r="G56" i="44"/>
  <c r="J56" i="44"/>
  <c r="K56" i="44"/>
  <c r="G57" i="44"/>
  <c r="J57" i="44"/>
  <c r="K57" i="44"/>
  <c r="G58" i="44"/>
  <c r="J58" i="44"/>
  <c r="K58" i="44"/>
  <c r="G59" i="44"/>
  <c r="J59" i="44"/>
  <c r="K59" i="44"/>
  <c r="H4" i="43"/>
  <c r="G5" i="19"/>
  <c r="J5" i="19"/>
  <c r="G6" i="19"/>
  <c r="J6" i="19"/>
  <c r="G7" i="19"/>
  <c r="J7" i="19"/>
  <c r="G8" i="19"/>
  <c r="J8" i="19"/>
  <c r="G9" i="19"/>
  <c r="J9" i="19"/>
  <c r="G10" i="19"/>
  <c r="J10" i="19"/>
  <c r="G11" i="19"/>
  <c r="J11" i="19"/>
  <c r="G12" i="19"/>
  <c r="J12" i="19"/>
  <c r="G13" i="19"/>
  <c r="J13" i="19"/>
  <c r="G14" i="19"/>
  <c r="J14" i="19"/>
  <c r="G15" i="19"/>
  <c r="J15" i="19"/>
  <c r="G16" i="19"/>
  <c r="J16" i="19"/>
  <c r="G17" i="19"/>
  <c r="J17" i="19"/>
  <c r="G18" i="19"/>
  <c r="J18" i="19"/>
  <c r="G19" i="19"/>
  <c r="J19" i="19"/>
  <c r="G20" i="19"/>
  <c r="J20" i="19"/>
  <c r="G21" i="19"/>
  <c r="J21" i="19"/>
  <c r="G22" i="19"/>
  <c r="J22" i="19"/>
  <c r="G23" i="19"/>
  <c r="J23" i="19"/>
  <c r="G24" i="19"/>
  <c r="J24" i="19"/>
  <c r="G25" i="19"/>
  <c r="J25" i="19"/>
  <c r="G26" i="19"/>
  <c r="J26" i="19"/>
  <c r="G27" i="19"/>
  <c r="J27" i="19"/>
  <c r="G28" i="19"/>
  <c r="J28" i="19"/>
  <c r="G29" i="19"/>
  <c r="J29" i="19"/>
  <c r="G5" i="51"/>
  <c r="J5" i="51"/>
  <c r="K5" i="51"/>
  <c r="L5" i="51"/>
  <c r="G6" i="51"/>
  <c r="J6" i="51"/>
  <c r="K6" i="51"/>
  <c r="L6" i="51"/>
  <c r="G7" i="51"/>
  <c r="J7" i="51"/>
  <c r="K7" i="51"/>
  <c r="L7" i="51"/>
  <c r="G8" i="51"/>
  <c r="J8" i="51"/>
  <c r="K8" i="51"/>
  <c r="L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L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L18" i="51"/>
  <c r="G19" i="51"/>
  <c r="J19" i="51"/>
  <c r="K19" i="51"/>
  <c r="G20" i="51"/>
  <c r="J20" i="51"/>
  <c r="K20" i="51"/>
  <c r="L20" i="51"/>
  <c r="G21" i="51"/>
  <c r="J21" i="51"/>
  <c r="K21" i="51"/>
  <c r="L21" i="51"/>
  <c r="G22" i="51"/>
  <c r="J22" i="51"/>
  <c r="K22" i="51"/>
  <c r="L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L27" i="51"/>
  <c r="G28" i="51"/>
  <c r="J28" i="51"/>
  <c r="K28" i="51"/>
  <c r="L28" i="51"/>
  <c r="G29" i="51"/>
  <c r="J29" i="51"/>
  <c r="K29" i="51"/>
  <c r="G30" i="51"/>
  <c r="J30" i="51"/>
  <c r="K30" i="51"/>
  <c r="L30" i="51"/>
  <c r="G31" i="51"/>
  <c r="J31" i="51"/>
  <c r="K31" i="51"/>
  <c r="L31" i="51"/>
  <c r="G32" i="51"/>
  <c r="J32" i="51"/>
  <c r="K32" i="51"/>
  <c r="L32" i="51"/>
  <c r="G33" i="51"/>
  <c r="J33" i="51"/>
  <c r="K33" i="51"/>
  <c r="G34" i="51"/>
  <c r="J34" i="51"/>
  <c r="K34" i="51"/>
  <c r="L43" i="51"/>
  <c r="J43" i="56" s="1"/>
  <c r="G35" i="51"/>
  <c r="J35" i="51"/>
  <c r="K35" i="51"/>
  <c r="L35" i="51"/>
  <c r="G36" i="51"/>
  <c r="J36" i="51"/>
  <c r="K36" i="51"/>
  <c r="L36" i="51"/>
  <c r="G37" i="51"/>
  <c r="J37" i="51"/>
  <c r="K37" i="51"/>
  <c r="L37" i="51"/>
  <c r="G38" i="51"/>
  <c r="J38" i="51"/>
  <c r="K38" i="51"/>
  <c r="L38" i="51"/>
  <c r="G39" i="51"/>
  <c r="J39" i="51"/>
  <c r="K39" i="51"/>
  <c r="L39" i="51"/>
  <c r="G40" i="51"/>
  <c r="J40" i="51"/>
  <c r="K40" i="51"/>
  <c r="L40" i="51"/>
  <c r="G4" i="51"/>
  <c r="G5" i="35"/>
  <c r="J5" i="35"/>
  <c r="K5" i="35"/>
  <c r="G6" i="35"/>
  <c r="J6" i="35"/>
  <c r="K6" i="35"/>
  <c r="G7" i="35"/>
  <c r="J7" i="35"/>
  <c r="K7" i="35"/>
  <c r="G8" i="35"/>
  <c r="J8" i="35"/>
  <c r="K8" i="35"/>
  <c r="G9" i="35"/>
  <c r="J9" i="35"/>
  <c r="K9" i="35"/>
  <c r="G10" i="35"/>
  <c r="J10" i="35"/>
  <c r="K10" i="35"/>
  <c r="G11" i="35"/>
  <c r="J11" i="35"/>
  <c r="K11" i="35"/>
  <c r="G12" i="35"/>
  <c r="J12" i="35"/>
  <c r="K12" i="35"/>
  <c r="G13" i="35"/>
  <c r="J13" i="35"/>
  <c r="K13" i="35"/>
  <c r="G14" i="35"/>
  <c r="J14" i="35"/>
  <c r="K14" i="35"/>
  <c r="G15" i="35"/>
  <c r="J15" i="35"/>
  <c r="K15" i="35"/>
  <c r="G16" i="35"/>
  <c r="J16" i="35"/>
  <c r="K16" i="35"/>
  <c r="G17" i="35"/>
  <c r="J17" i="35"/>
  <c r="K17" i="35"/>
  <c r="G18" i="35"/>
  <c r="J18" i="35"/>
  <c r="K18" i="35"/>
  <c r="G19" i="35"/>
  <c r="J19" i="35"/>
  <c r="K19" i="35"/>
  <c r="G20" i="35"/>
  <c r="J20" i="35"/>
  <c r="K20" i="35"/>
  <c r="G21" i="35"/>
  <c r="J21" i="35"/>
  <c r="K21" i="35"/>
  <c r="G22" i="35"/>
  <c r="J22" i="35"/>
  <c r="K22" i="35"/>
  <c r="G23" i="35"/>
  <c r="J23" i="35"/>
  <c r="K23" i="35"/>
  <c r="G24" i="35"/>
  <c r="J24" i="35"/>
  <c r="K24" i="35"/>
  <c r="G25" i="35"/>
  <c r="J25" i="35"/>
  <c r="K25" i="35"/>
  <c r="G26" i="35"/>
  <c r="J26" i="35"/>
  <c r="K26" i="35"/>
  <c r="G27" i="35"/>
  <c r="J27" i="35"/>
  <c r="K27" i="35"/>
  <c r="G28" i="35"/>
  <c r="J28" i="35"/>
  <c r="K28" i="35"/>
  <c r="G29" i="35"/>
  <c r="J29" i="35"/>
  <c r="K29" i="35"/>
  <c r="G30" i="35"/>
  <c r="J30" i="35"/>
  <c r="K30" i="35"/>
  <c r="G31" i="35"/>
  <c r="J31" i="35"/>
  <c r="K31" i="35"/>
  <c r="G32" i="35"/>
  <c r="J32" i="35"/>
  <c r="K32" i="35"/>
  <c r="G33" i="35"/>
  <c r="J33" i="35"/>
  <c r="K33" i="35"/>
  <c r="G34" i="35"/>
  <c r="J34" i="35"/>
  <c r="K34" i="35"/>
  <c r="G35" i="35"/>
  <c r="J35" i="35"/>
  <c r="K35" i="35"/>
  <c r="G36" i="35"/>
  <c r="J36" i="35"/>
  <c r="K36" i="35"/>
  <c r="G37" i="35"/>
  <c r="J37" i="35"/>
  <c r="K37" i="35"/>
  <c r="G38" i="35"/>
  <c r="J38" i="35"/>
  <c r="K38" i="35"/>
  <c r="G39" i="35"/>
  <c r="J39" i="35"/>
  <c r="K39" i="35"/>
  <c r="G40" i="35"/>
  <c r="J40" i="35"/>
  <c r="K40" i="35"/>
  <c r="G41" i="35"/>
  <c r="J41" i="35"/>
  <c r="K41" i="35"/>
  <c r="G5" i="34"/>
  <c r="J5" i="34"/>
  <c r="K5" i="34"/>
  <c r="L5" i="34"/>
  <c r="G6" i="34"/>
  <c r="J6" i="34"/>
  <c r="K6" i="34"/>
  <c r="L6" i="34"/>
  <c r="G7" i="34"/>
  <c r="J7" i="34"/>
  <c r="K7" i="34"/>
  <c r="L7" i="34"/>
  <c r="G8" i="34"/>
  <c r="J8" i="34"/>
  <c r="K8" i="34"/>
  <c r="L8" i="34"/>
  <c r="G9" i="34"/>
  <c r="J9" i="34"/>
  <c r="K9" i="34"/>
  <c r="L9" i="34"/>
  <c r="G10" i="34"/>
  <c r="J10" i="34"/>
  <c r="J46" i="34" s="1"/>
  <c r="K10" i="34"/>
  <c r="K46" i="34" s="1"/>
  <c r="L10" i="34"/>
  <c r="L46" i="34" s="1"/>
  <c r="G11" i="34"/>
  <c r="J11" i="34"/>
  <c r="K11" i="34"/>
  <c r="L11" i="34"/>
  <c r="G12" i="34"/>
  <c r="J12" i="34"/>
  <c r="K12" i="34"/>
  <c r="L12" i="34"/>
  <c r="G13" i="34"/>
  <c r="J13" i="34"/>
  <c r="K13" i="34"/>
  <c r="L13" i="34"/>
  <c r="G14" i="34"/>
  <c r="J14" i="34"/>
  <c r="K14" i="34"/>
  <c r="L14" i="34"/>
  <c r="G15" i="34"/>
  <c r="J15" i="34"/>
  <c r="K15" i="34"/>
  <c r="L15" i="34"/>
  <c r="G16" i="34"/>
  <c r="J16" i="34"/>
  <c r="K16" i="34"/>
  <c r="L16" i="34"/>
  <c r="G17" i="34"/>
  <c r="J17" i="34"/>
  <c r="K17" i="34"/>
  <c r="L17" i="34"/>
  <c r="G18" i="34"/>
  <c r="J18" i="34"/>
  <c r="K18" i="34"/>
  <c r="L18" i="34"/>
  <c r="G19" i="34"/>
  <c r="J19" i="34"/>
  <c r="K19" i="34"/>
  <c r="L19" i="34"/>
  <c r="G20" i="34"/>
  <c r="J20" i="34"/>
  <c r="K20" i="34"/>
  <c r="L20" i="34"/>
  <c r="G21" i="34"/>
  <c r="J21" i="34"/>
  <c r="K21" i="34"/>
  <c r="L21" i="34"/>
  <c r="G22" i="34"/>
  <c r="J22" i="34"/>
  <c r="K22" i="34"/>
  <c r="L22" i="34"/>
  <c r="G23" i="34"/>
  <c r="J23" i="34"/>
  <c r="K23" i="34"/>
  <c r="L23" i="34"/>
  <c r="G24" i="34"/>
  <c r="J24" i="34"/>
  <c r="K24" i="34"/>
  <c r="L24" i="34"/>
  <c r="G25" i="34"/>
  <c r="J25" i="34"/>
  <c r="K25" i="34"/>
  <c r="L25" i="34"/>
  <c r="G26" i="34"/>
  <c r="J26" i="34"/>
  <c r="K26" i="34"/>
  <c r="L26" i="34"/>
  <c r="G27" i="34"/>
  <c r="J27" i="34"/>
  <c r="K27" i="34"/>
  <c r="L27" i="34"/>
  <c r="G28" i="34"/>
  <c r="J28" i="34"/>
  <c r="K28" i="34"/>
  <c r="L28" i="34"/>
  <c r="G29" i="34"/>
  <c r="J29" i="34"/>
  <c r="K29" i="34"/>
  <c r="L29" i="34"/>
  <c r="G30" i="34"/>
  <c r="J30" i="34"/>
  <c r="K30" i="34"/>
  <c r="L30" i="34"/>
  <c r="G31" i="34"/>
  <c r="J31" i="34"/>
  <c r="K31" i="34"/>
  <c r="L31" i="34"/>
  <c r="G32" i="34"/>
  <c r="J32" i="34"/>
  <c r="K32" i="34"/>
  <c r="L32" i="34"/>
  <c r="G33" i="34"/>
  <c r="J33" i="34"/>
  <c r="K33" i="34"/>
  <c r="L33" i="34"/>
  <c r="G34" i="34"/>
  <c r="J34" i="34"/>
  <c r="K34" i="34"/>
  <c r="L34" i="34"/>
  <c r="G35" i="34"/>
  <c r="J35" i="34"/>
  <c r="K35" i="34"/>
  <c r="L35" i="34"/>
  <c r="G36" i="34"/>
  <c r="J36" i="34"/>
  <c r="K36" i="34"/>
  <c r="L36" i="34"/>
  <c r="G37" i="34"/>
  <c r="J37" i="34"/>
  <c r="K37" i="34"/>
  <c r="L37" i="34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J35" i="9" s="1"/>
  <c r="G39" i="56" s="1"/>
  <c r="K32" i="9"/>
  <c r="J33" i="9"/>
  <c r="K33" i="9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J44" i="26" s="1"/>
  <c r="G38" i="56" s="1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H34" i="46"/>
  <c r="K34" i="46"/>
  <c r="L34" i="46"/>
  <c r="M34" i="46"/>
  <c r="J5" i="41"/>
  <c r="K5" i="41"/>
  <c r="J6" i="41"/>
  <c r="J7" i="41"/>
  <c r="J8" i="41"/>
  <c r="J9" i="41"/>
  <c r="J10" i="41"/>
  <c r="J11" i="41"/>
  <c r="J12" i="41"/>
  <c r="J13" i="41"/>
  <c r="J14" i="41"/>
  <c r="J15" i="41"/>
  <c r="J16" i="41"/>
  <c r="J17" i="41"/>
  <c r="J18" i="41"/>
  <c r="J19" i="41"/>
  <c r="J20" i="41"/>
  <c r="J21" i="41"/>
  <c r="J22" i="41"/>
  <c r="J23" i="41"/>
  <c r="J24" i="41"/>
  <c r="J25" i="41"/>
  <c r="J26" i="41"/>
  <c r="J27" i="41"/>
  <c r="J28" i="41"/>
  <c r="J29" i="41"/>
  <c r="J30" i="41"/>
  <c r="J31" i="41"/>
  <c r="J32" i="41"/>
  <c r="J33" i="41"/>
  <c r="J34" i="41"/>
  <c r="G5" i="8"/>
  <c r="J5" i="8"/>
  <c r="K5" i="8"/>
  <c r="G6" i="8"/>
  <c r="J6" i="8"/>
  <c r="K6" i="8"/>
  <c r="G7" i="8"/>
  <c r="J7" i="8"/>
  <c r="K7" i="8"/>
  <c r="G8" i="8"/>
  <c r="J8" i="8"/>
  <c r="K8" i="8"/>
  <c r="G9" i="8"/>
  <c r="J9" i="8"/>
  <c r="K9" i="8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K29" i="8"/>
  <c r="G30" i="8"/>
  <c r="J30" i="8"/>
  <c r="K30" i="8"/>
  <c r="G31" i="8"/>
  <c r="J31" i="8"/>
  <c r="K31" i="8"/>
  <c r="G32" i="8"/>
  <c r="J32" i="8"/>
  <c r="K32" i="8"/>
  <c r="G33" i="8"/>
  <c r="J33" i="8"/>
  <c r="K33" i="8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5" i="12" s="1"/>
  <c r="E32" i="56" s="1"/>
  <c r="H32" i="56" s="1"/>
  <c r="K32" i="56" s="1"/>
  <c r="G6" i="37"/>
  <c r="J6" i="37"/>
  <c r="K6" i="37"/>
  <c r="L6" i="37"/>
  <c r="G7" i="37"/>
  <c r="J7" i="37"/>
  <c r="K7" i="37"/>
  <c r="L7" i="37"/>
  <c r="G8" i="37"/>
  <c r="J8" i="37"/>
  <c r="K8" i="37"/>
  <c r="L8" i="37"/>
  <c r="G9" i="37"/>
  <c r="J9" i="37"/>
  <c r="K9" i="37"/>
  <c r="L9" i="37"/>
  <c r="G10" i="37"/>
  <c r="J10" i="37"/>
  <c r="K10" i="37"/>
  <c r="L10" i="37"/>
  <c r="G11" i="37"/>
  <c r="J11" i="37"/>
  <c r="K11" i="37"/>
  <c r="L11" i="37"/>
  <c r="G12" i="37"/>
  <c r="J12" i="37"/>
  <c r="K12" i="37"/>
  <c r="L12" i="37"/>
  <c r="G13" i="37"/>
  <c r="J13" i="37"/>
  <c r="K13" i="37"/>
  <c r="L13" i="37"/>
  <c r="G14" i="37"/>
  <c r="J14" i="37"/>
  <c r="K14" i="37"/>
  <c r="L14" i="37"/>
  <c r="G15" i="37"/>
  <c r="J15" i="37"/>
  <c r="K15" i="37"/>
  <c r="L15" i="37"/>
  <c r="G16" i="37"/>
  <c r="J16" i="37"/>
  <c r="K16" i="37"/>
  <c r="L16" i="37"/>
  <c r="G17" i="37"/>
  <c r="J17" i="37"/>
  <c r="K17" i="37"/>
  <c r="L17" i="37"/>
  <c r="G18" i="37"/>
  <c r="J18" i="37"/>
  <c r="K18" i="37"/>
  <c r="L18" i="37"/>
  <c r="G19" i="37"/>
  <c r="J19" i="37"/>
  <c r="K19" i="37"/>
  <c r="L19" i="37"/>
  <c r="G20" i="37"/>
  <c r="J20" i="37"/>
  <c r="K20" i="37"/>
  <c r="L20" i="37"/>
  <c r="G21" i="37"/>
  <c r="J21" i="37"/>
  <c r="K21" i="37"/>
  <c r="L21" i="37"/>
  <c r="G22" i="37"/>
  <c r="J22" i="37"/>
  <c r="K22" i="37"/>
  <c r="L22" i="37"/>
  <c r="G23" i="37"/>
  <c r="J23" i="37"/>
  <c r="K23" i="37"/>
  <c r="G24" i="37"/>
  <c r="J24" i="37"/>
  <c r="K24" i="37"/>
  <c r="G25" i="37"/>
  <c r="J25" i="37"/>
  <c r="K25" i="37"/>
  <c r="L25" i="37"/>
  <c r="G26" i="37"/>
  <c r="J26" i="37"/>
  <c r="K26" i="37"/>
  <c r="L26" i="37"/>
  <c r="G27" i="37"/>
  <c r="J27" i="37"/>
  <c r="K27" i="37"/>
  <c r="L27" i="37"/>
  <c r="G28" i="37"/>
  <c r="J28" i="37"/>
  <c r="K28" i="37"/>
  <c r="L28" i="37"/>
  <c r="G29" i="37"/>
  <c r="J29" i="37"/>
  <c r="K29" i="37"/>
  <c r="L29" i="37"/>
  <c r="G30" i="37"/>
  <c r="J30" i="37"/>
  <c r="K30" i="37"/>
  <c r="L30" i="37"/>
  <c r="G31" i="37"/>
  <c r="J31" i="37"/>
  <c r="K31" i="37"/>
  <c r="L31" i="37"/>
  <c r="G32" i="37"/>
  <c r="J32" i="37"/>
  <c r="K32" i="37"/>
  <c r="L32" i="37"/>
  <c r="K9" i="36"/>
  <c r="K10" i="36"/>
  <c r="K14" i="36"/>
  <c r="K21" i="36"/>
  <c r="K22" i="36"/>
  <c r="K24" i="36"/>
  <c r="K26" i="36"/>
  <c r="K28" i="36"/>
  <c r="G5" i="36"/>
  <c r="K5" i="36" s="1"/>
  <c r="J5" i="36"/>
  <c r="G6" i="36"/>
  <c r="J6" i="36"/>
  <c r="G7" i="36"/>
  <c r="J7" i="36"/>
  <c r="K7" i="36" s="1"/>
  <c r="G8" i="36"/>
  <c r="K8" i="36" s="1"/>
  <c r="J8" i="36"/>
  <c r="G9" i="36"/>
  <c r="J9" i="36"/>
  <c r="G10" i="36"/>
  <c r="J10" i="36"/>
  <c r="G11" i="36"/>
  <c r="K11" i="36" s="1"/>
  <c r="J11" i="36"/>
  <c r="G12" i="36"/>
  <c r="J12" i="36"/>
  <c r="G13" i="36"/>
  <c r="K13" i="36" s="1"/>
  <c r="J13" i="36"/>
  <c r="G14" i="36"/>
  <c r="J14" i="36"/>
  <c r="G15" i="36"/>
  <c r="K15" i="36" s="1"/>
  <c r="J15" i="36"/>
  <c r="G16" i="36"/>
  <c r="J16" i="36"/>
  <c r="G17" i="36"/>
  <c r="J17" i="36"/>
  <c r="G18" i="36"/>
  <c r="K18" i="36" s="1"/>
  <c r="J18" i="36"/>
  <c r="G19" i="36"/>
  <c r="J19" i="36"/>
  <c r="G20" i="36"/>
  <c r="J20" i="36"/>
  <c r="G21" i="36"/>
  <c r="J21" i="36"/>
  <c r="G22" i="36"/>
  <c r="J22" i="36"/>
  <c r="G23" i="36"/>
  <c r="K23" i="36" s="1"/>
  <c r="J23" i="36"/>
  <c r="G24" i="36"/>
  <c r="J24" i="36"/>
  <c r="G25" i="36"/>
  <c r="J25" i="36"/>
  <c r="G26" i="36"/>
  <c r="J26" i="36"/>
  <c r="G27" i="36"/>
  <c r="J27" i="36"/>
  <c r="G28" i="36"/>
  <c r="J28" i="36"/>
  <c r="G29" i="36"/>
  <c r="J29" i="36"/>
  <c r="G30" i="36"/>
  <c r="J30" i="36"/>
  <c r="G31" i="36"/>
  <c r="K31" i="36" s="1"/>
  <c r="J31" i="36"/>
  <c r="G32" i="36"/>
  <c r="J32" i="36"/>
  <c r="J5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K34" i="15" s="1"/>
  <c r="G5" i="14"/>
  <c r="J5" i="14"/>
  <c r="G6" i="14"/>
  <c r="J6" i="14"/>
  <c r="G7" i="14"/>
  <c r="J7" i="14"/>
  <c r="G8" i="14"/>
  <c r="J8" i="14"/>
  <c r="G9" i="14"/>
  <c r="J9" i="14"/>
  <c r="J10" i="14"/>
  <c r="G11" i="14"/>
  <c r="J11" i="14"/>
  <c r="G12" i="14"/>
  <c r="J12" i="14"/>
  <c r="G13" i="14"/>
  <c r="J13" i="14"/>
  <c r="G14" i="14"/>
  <c r="J14" i="14"/>
  <c r="G15" i="14"/>
  <c r="J15" i="14"/>
  <c r="G16" i="14"/>
  <c r="J16" i="14"/>
  <c r="G17" i="14"/>
  <c r="J17" i="14"/>
  <c r="G18" i="14"/>
  <c r="J18" i="14"/>
  <c r="G19" i="14"/>
  <c r="J19" i="14"/>
  <c r="G20" i="14"/>
  <c r="J20" i="14"/>
  <c r="G21" i="14"/>
  <c r="J21" i="14"/>
  <c r="G22" i="14"/>
  <c r="J22" i="14"/>
  <c r="G23" i="14"/>
  <c r="J23" i="14"/>
  <c r="G24" i="14"/>
  <c r="J24" i="14"/>
  <c r="G25" i="14"/>
  <c r="J25" i="14"/>
  <c r="G26" i="14"/>
  <c r="J26" i="14"/>
  <c r="G27" i="14"/>
  <c r="J27" i="14"/>
  <c r="G28" i="14"/>
  <c r="J28" i="14"/>
  <c r="G29" i="14"/>
  <c r="J29" i="14"/>
  <c r="G30" i="14"/>
  <c r="J30" i="14"/>
  <c r="G31" i="14"/>
  <c r="J31" i="14"/>
  <c r="G33" i="14"/>
  <c r="J33" i="14"/>
  <c r="G34" i="14"/>
  <c r="J34" i="14"/>
  <c r="G5" i="22"/>
  <c r="J5" i="22"/>
  <c r="G6" i="22"/>
  <c r="J6" i="22"/>
  <c r="G7" i="22"/>
  <c r="J7" i="22"/>
  <c r="G8" i="22"/>
  <c r="J8" i="22"/>
  <c r="G9" i="22"/>
  <c r="J9" i="22"/>
  <c r="G10" i="22"/>
  <c r="J10" i="22"/>
  <c r="J11" i="22"/>
  <c r="G14" i="22"/>
  <c r="J14" i="22"/>
  <c r="G15" i="22"/>
  <c r="J15" i="22"/>
  <c r="G16" i="22"/>
  <c r="J16" i="22"/>
  <c r="G17" i="22"/>
  <c r="J17" i="22"/>
  <c r="G18" i="22"/>
  <c r="J18" i="22"/>
  <c r="G19" i="22"/>
  <c r="J19" i="22"/>
  <c r="G20" i="22"/>
  <c r="J20" i="22"/>
  <c r="G21" i="22"/>
  <c r="J21" i="22"/>
  <c r="G22" i="22"/>
  <c r="J22" i="22"/>
  <c r="G23" i="22"/>
  <c r="J23" i="22"/>
  <c r="G24" i="22"/>
  <c r="J24" i="22"/>
  <c r="G25" i="22"/>
  <c r="J25" i="22"/>
  <c r="G27" i="22"/>
  <c r="J27" i="22"/>
  <c r="G28" i="22"/>
  <c r="J28" i="22"/>
  <c r="G29" i="22"/>
  <c r="J29" i="22"/>
  <c r="G30" i="22"/>
  <c r="J30" i="22"/>
  <c r="G31" i="22"/>
  <c r="J31" i="22"/>
  <c r="G32" i="22"/>
  <c r="J32" i="22"/>
  <c r="G33" i="22"/>
  <c r="J33" i="22"/>
  <c r="G34" i="22"/>
  <c r="J34" i="22"/>
  <c r="G35" i="22"/>
  <c r="G39" i="22" s="1"/>
  <c r="E27" i="56" s="1"/>
  <c r="H27" i="56" s="1"/>
  <c r="K27" i="56" s="1"/>
  <c r="J35" i="22"/>
  <c r="G36" i="22"/>
  <c r="J36" i="22"/>
  <c r="G37" i="22"/>
  <c r="J37" i="22"/>
  <c r="G4" i="22"/>
  <c r="G5" i="25"/>
  <c r="J5" i="25"/>
  <c r="K5" i="25"/>
  <c r="G6" i="25"/>
  <c r="J6" i="25"/>
  <c r="K6" i="25"/>
  <c r="G7" i="25"/>
  <c r="J7" i="25"/>
  <c r="K7" i="25"/>
  <c r="G8" i="25"/>
  <c r="J8" i="25"/>
  <c r="K8" i="25"/>
  <c r="G9" i="25"/>
  <c r="J9" i="25"/>
  <c r="K9" i="25"/>
  <c r="G10" i="25"/>
  <c r="J10" i="25"/>
  <c r="K10" i="25"/>
  <c r="G11" i="25"/>
  <c r="J11" i="25"/>
  <c r="K11" i="25"/>
  <c r="G12" i="25"/>
  <c r="J12" i="25"/>
  <c r="K12" i="25"/>
  <c r="G13" i="25"/>
  <c r="J13" i="25"/>
  <c r="K13" i="25"/>
  <c r="G14" i="25"/>
  <c r="J14" i="25"/>
  <c r="K14" i="25"/>
  <c r="G15" i="25"/>
  <c r="J15" i="25"/>
  <c r="K15" i="25"/>
  <c r="G16" i="25"/>
  <c r="J16" i="25"/>
  <c r="K16" i="25"/>
  <c r="G17" i="25"/>
  <c r="J17" i="25"/>
  <c r="K17" i="25"/>
  <c r="G18" i="25"/>
  <c r="J18" i="25"/>
  <c r="K18" i="25"/>
  <c r="G19" i="25"/>
  <c r="J19" i="25"/>
  <c r="K19" i="25"/>
  <c r="G20" i="25"/>
  <c r="J20" i="25"/>
  <c r="K20" i="25"/>
  <c r="G21" i="25"/>
  <c r="J21" i="25"/>
  <c r="K21" i="25"/>
  <c r="G22" i="25"/>
  <c r="J22" i="25"/>
  <c r="K22" i="25"/>
  <c r="G23" i="25"/>
  <c r="J23" i="25"/>
  <c r="K23" i="25"/>
  <c r="G24" i="25"/>
  <c r="J24" i="25"/>
  <c r="K24" i="25"/>
  <c r="G25" i="25"/>
  <c r="J25" i="25"/>
  <c r="K25" i="25"/>
  <c r="G26" i="25"/>
  <c r="J26" i="25"/>
  <c r="K26" i="25"/>
  <c r="G27" i="25"/>
  <c r="J27" i="25"/>
  <c r="K27" i="25"/>
  <c r="G28" i="25"/>
  <c r="J28" i="25"/>
  <c r="K28" i="25"/>
  <c r="G29" i="25"/>
  <c r="J29" i="25"/>
  <c r="K29" i="25"/>
  <c r="G30" i="25"/>
  <c r="J30" i="25"/>
  <c r="K30" i="25"/>
  <c r="G31" i="25"/>
  <c r="J31" i="25"/>
  <c r="K31" i="25"/>
  <c r="G32" i="25"/>
  <c r="J32" i="25"/>
  <c r="K32" i="25"/>
  <c r="G33" i="25"/>
  <c r="J33" i="25"/>
  <c r="K33" i="25"/>
  <c r="G34" i="25"/>
  <c r="J34" i="25"/>
  <c r="K34" i="25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G25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32" i="11"/>
  <c r="J32" i="11"/>
  <c r="J35" i="11" s="1"/>
  <c r="G24" i="56" s="1"/>
  <c r="G33" i="11"/>
  <c r="J33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5" i="24"/>
  <c r="J5" i="24"/>
  <c r="G6" i="24"/>
  <c r="J6" i="24"/>
  <c r="G7" i="24"/>
  <c r="J7" i="24"/>
  <c r="G8" i="24"/>
  <c r="J8" i="24"/>
  <c r="G9" i="24"/>
  <c r="J9" i="24"/>
  <c r="G10" i="24"/>
  <c r="J10" i="24"/>
  <c r="G11" i="24"/>
  <c r="J11" i="24"/>
  <c r="G12" i="24"/>
  <c r="J12" i="24"/>
  <c r="G13" i="24"/>
  <c r="J13" i="24"/>
  <c r="G14" i="24"/>
  <c r="J14" i="24"/>
  <c r="G15" i="24"/>
  <c r="J15" i="24"/>
  <c r="G16" i="24"/>
  <c r="J16" i="24"/>
  <c r="G17" i="24"/>
  <c r="J17" i="24"/>
  <c r="G18" i="24"/>
  <c r="J18" i="24"/>
  <c r="G19" i="24"/>
  <c r="J19" i="24"/>
  <c r="G20" i="24"/>
  <c r="J20" i="24"/>
  <c r="G21" i="24"/>
  <c r="J21" i="24"/>
  <c r="G22" i="24"/>
  <c r="J22" i="24"/>
  <c r="G23" i="24"/>
  <c r="J23" i="24"/>
  <c r="G24" i="24"/>
  <c r="J24" i="24"/>
  <c r="G25" i="24"/>
  <c r="J25" i="24"/>
  <c r="G26" i="24"/>
  <c r="J26" i="24"/>
  <c r="G27" i="24"/>
  <c r="J27" i="24"/>
  <c r="G28" i="24"/>
  <c r="J28" i="24"/>
  <c r="G29" i="24"/>
  <c r="J29" i="24"/>
  <c r="G30" i="24"/>
  <c r="J30" i="24"/>
  <c r="G31" i="24"/>
  <c r="J31" i="24"/>
  <c r="G32" i="24"/>
  <c r="J32" i="24"/>
  <c r="G33" i="24"/>
  <c r="J33" i="24"/>
  <c r="G5" i="23"/>
  <c r="J5" i="23"/>
  <c r="K5" i="23"/>
  <c r="G6" i="23"/>
  <c r="J6" i="23"/>
  <c r="K6" i="23"/>
  <c r="L6" i="23" s="1"/>
  <c r="G8" i="23"/>
  <c r="J8" i="23"/>
  <c r="K8" i="23"/>
  <c r="G9" i="23"/>
  <c r="J9" i="23"/>
  <c r="K9" i="23"/>
  <c r="G10" i="23"/>
  <c r="J10" i="23"/>
  <c r="K10" i="23"/>
  <c r="G11" i="23"/>
  <c r="J11" i="23"/>
  <c r="K11" i="23"/>
  <c r="G12" i="23"/>
  <c r="J12" i="23"/>
  <c r="K12" i="23"/>
  <c r="G13" i="23"/>
  <c r="J13" i="23"/>
  <c r="K13" i="23"/>
  <c r="G14" i="23"/>
  <c r="J14" i="23"/>
  <c r="K14" i="23"/>
  <c r="G15" i="23"/>
  <c r="J15" i="23"/>
  <c r="K15" i="23"/>
  <c r="G16" i="23"/>
  <c r="J16" i="23"/>
  <c r="K16" i="23"/>
  <c r="G17" i="23"/>
  <c r="J17" i="23"/>
  <c r="K17" i="23"/>
  <c r="L17" i="23" s="1"/>
  <c r="G18" i="23"/>
  <c r="J18" i="23"/>
  <c r="K18" i="23"/>
  <c r="L18" i="23" s="1"/>
  <c r="G19" i="23"/>
  <c r="J19" i="23"/>
  <c r="K19" i="23"/>
  <c r="G20" i="23"/>
  <c r="J20" i="23"/>
  <c r="K20" i="23"/>
  <c r="G21" i="23"/>
  <c r="J21" i="23"/>
  <c r="K21" i="23"/>
  <c r="G22" i="23"/>
  <c r="J22" i="23"/>
  <c r="K22" i="23"/>
  <c r="G23" i="23"/>
  <c r="J23" i="23"/>
  <c r="K23" i="23"/>
  <c r="G24" i="23"/>
  <c r="J24" i="23"/>
  <c r="K24" i="23"/>
  <c r="G25" i="23"/>
  <c r="J25" i="23"/>
  <c r="K25" i="23"/>
  <c r="G26" i="23"/>
  <c r="J26" i="23"/>
  <c r="K26" i="23"/>
  <c r="G27" i="23"/>
  <c r="J27" i="23"/>
  <c r="K27" i="23"/>
  <c r="G28" i="23"/>
  <c r="J28" i="23"/>
  <c r="K28" i="23"/>
  <c r="G29" i="23"/>
  <c r="J29" i="23"/>
  <c r="K29" i="23"/>
  <c r="G30" i="23"/>
  <c r="J30" i="23"/>
  <c r="K30" i="23"/>
  <c r="G31" i="23"/>
  <c r="J31" i="23"/>
  <c r="K31" i="23"/>
  <c r="G32" i="23"/>
  <c r="J32" i="23"/>
  <c r="K32" i="23"/>
  <c r="G33" i="23"/>
  <c r="J33" i="23"/>
  <c r="K33" i="23"/>
  <c r="G34" i="23"/>
  <c r="J34" i="23"/>
  <c r="K34" i="23"/>
  <c r="G35" i="23"/>
  <c r="J35" i="23"/>
  <c r="K35" i="23"/>
  <c r="G5" i="20"/>
  <c r="J5" i="20"/>
  <c r="K5" i="20"/>
  <c r="G6" i="20"/>
  <c r="J6" i="20"/>
  <c r="K6" i="20"/>
  <c r="G7" i="20"/>
  <c r="J7" i="20"/>
  <c r="K7" i="20"/>
  <c r="G8" i="20"/>
  <c r="J8" i="20"/>
  <c r="K8" i="20"/>
  <c r="G9" i="20"/>
  <c r="J9" i="20"/>
  <c r="K9" i="20"/>
  <c r="G10" i="20"/>
  <c r="J10" i="20"/>
  <c r="K10" i="20"/>
  <c r="G11" i="20"/>
  <c r="J11" i="20"/>
  <c r="K11" i="20"/>
  <c r="G12" i="20"/>
  <c r="J12" i="20"/>
  <c r="K12" i="20"/>
  <c r="G13" i="20"/>
  <c r="J13" i="20"/>
  <c r="K13" i="20"/>
  <c r="G14" i="20"/>
  <c r="J14" i="20"/>
  <c r="K14" i="20"/>
  <c r="G15" i="20"/>
  <c r="J15" i="20"/>
  <c r="K15" i="20"/>
  <c r="G16" i="20"/>
  <c r="J16" i="20"/>
  <c r="K16" i="20"/>
  <c r="G17" i="20"/>
  <c r="J17" i="20"/>
  <c r="K17" i="20"/>
  <c r="G18" i="20"/>
  <c r="J18" i="20"/>
  <c r="K18" i="20"/>
  <c r="G19" i="20"/>
  <c r="J19" i="20"/>
  <c r="K19" i="20"/>
  <c r="G20" i="20"/>
  <c r="J20" i="20"/>
  <c r="K20" i="20"/>
  <c r="G21" i="20"/>
  <c r="J21" i="20"/>
  <c r="K21" i="20"/>
  <c r="G22" i="20"/>
  <c r="J22" i="20"/>
  <c r="K22" i="20"/>
  <c r="G23" i="20"/>
  <c r="J23" i="20"/>
  <c r="K23" i="20"/>
  <c r="G24" i="20"/>
  <c r="J24" i="20"/>
  <c r="K24" i="20"/>
  <c r="G25" i="20"/>
  <c r="J25" i="20"/>
  <c r="K25" i="20"/>
  <c r="G26" i="20"/>
  <c r="J26" i="20"/>
  <c r="K26" i="20"/>
  <c r="G27" i="20"/>
  <c r="J27" i="20"/>
  <c r="K27" i="20"/>
  <c r="G28" i="20"/>
  <c r="J28" i="20"/>
  <c r="K28" i="20"/>
  <c r="G29" i="20"/>
  <c r="J29" i="20"/>
  <c r="K29" i="20"/>
  <c r="G30" i="20"/>
  <c r="J30" i="20"/>
  <c r="K30" i="20"/>
  <c r="G31" i="20"/>
  <c r="J31" i="20"/>
  <c r="K31" i="20"/>
  <c r="G32" i="20"/>
  <c r="J32" i="20"/>
  <c r="K32" i="20"/>
  <c r="G33" i="20"/>
  <c r="J33" i="20"/>
  <c r="K33" i="20"/>
  <c r="G5" i="16"/>
  <c r="J5" i="16"/>
  <c r="K5" i="16"/>
  <c r="G6" i="16"/>
  <c r="J6" i="16"/>
  <c r="K6" i="16"/>
  <c r="G7" i="16"/>
  <c r="J7" i="16"/>
  <c r="K7" i="16"/>
  <c r="J8" i="16"/>
  <c r="K8" i="16"/>
  <c r="G9" i="16"/>
  <c r="J9" i="16"/>
  <c r="K9" i="16"/>
  <c r="G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5" i="3"/>
  <c r="G19" i="56" s="1"/>
  <c r="H19" i="56" s="1"/>
  <c r="K19" i="56" s="1"/>
  <c r="K33" i="3"/>
  <c r="G5" i="7"/>
  <c r="J5" i="7"/>
  <c r="K5" i="7"/>
  <c r="G6" i="7"/>
  <c r="J6" i="7"/>
  <c r="K6" i="7"/>
  <c r="G7" i="7"/>
  <c r="J7" i="7"/>
  <c r="K7" i="7"/>
  <c r="G8" i="7"/>
  <c r="J8" i="7"/>
  <c r="K8" i="7"/>
  <c r="G9" i="7"/>
  <c r="J9" i="7"/>
  <c r="K9" i="7"/>
  <c r="G10" i="7"/>
  <c r="J10" i="7"/>
  <c r="K10" i="7"/>
  <c r="G11" i="7"/>
  <c r="J11" i="7"/>
  <c r="K11" i="7"/>
  <c r="G12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G18" i="7"/>
  <c r="J18" i="7"/>
  <c r="K18" i="7"/>
  <c r="G19" i="7"/>
  <c r="J19" i="7"/>
  <c r="K19" i="7"/>
  <c r="G20" i="7"/>
  <c r="J20" i="7"/>
  <c r="K20" i="7"/>
  <c r="G21" i="7"/>
  <c r="J21" i="7"/>
  <c r="K21" i="7"/>
  <c r="G22" i="7"/>
  <c r="J22" i="7"/>
  <c r="K22" i="7"/>
  <c r="G23" i="7"/>
  <c r="J23" i="7"/>
  <c r="K23" i="7"/>
  <c r="G24" i="7"/>
  <c r="J24" i="7"/>
  <c r="K24" i="7"/>
  <c r="G25" i="7"/>
  <c r="J25" i="7"/>
  <c r="K25" i="7"/>
  <c r="G26" i="7"/>
  <c r="J26" i="7"/>
  <c r="K26" i="7"/>
  <c r="G27" i="7"/>
  <c r="J27" i="7"/>
  <c r="K27" i="7"/>
  <c r="G28" i="7"/>
  <c r="J28" i="7"/>
  <c r="K28" i="7"/>
  <c r="G29" i="7"/>
  <c r="J29" i="7"/>
  <c r="K29" i="7"/>
  <c r="G30" i="7"/>
  <c r="J30" i="7"/>
  <c r="K30" i="7"/>
  <c r="G31" i="7"/>
  <c r="J31" i="7"/>
  <c r="K31" i="7"/>
  <c r="G32" i="7"/>
  <c r="J32" i="7"/>
  <c r="J35" i="7" s="1"/>
  <c r="G18" i="56" s="1"/>
  <c r="K32" i="7"/>
  <c r="G33" i="7"/>
  <c r="J33" i="7"/>
  <c r="K33" i="7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G35" i="52" s="1"/>
  <c r="J29" i="52"/>
  <c r="J35" i="52" s="1"/>
  <c r="K29" i="52"/>
  <c r="K35" i="52" s="1"/>
  <c r="G30" i="52"/>
  <c r="J30" i="52"/>
  <c r="K30" i="52"/>
  <c r="G31" i="52"/>
  <c r="J31" i="52"/>
  <c r="K31" i="52"/>
  <c r="G32" i="52"/>
  <c r="J32" i="52"/>
  <c r="K32" i="52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K21" i="2"/>
  <c r="G22" i="2"/>
  <c r="K22" i="2"/>
  <c r="G23" i="2"/>
  <c r="K23" i="2"/>
  <c r="G24" i="2"/>
  <c r="K24" i="2"/>
  <c r="G25" i="2"/>
  <c r="K25" i="2"/>
  <c r="G26" i="2"/>
  <c r="K26" i="2"/>
  <c r="G27" i="2"/>
  <c r="K27" i="2"/>
  <c r="G29" i="2"/>
  <c r="K29" i="2"/>
  <c r="G30" i="2"/>
  <c r="K30" i="2"/>
  <c r="G31" i="2"/>
  <c r="K31" i="2"/>
  <c r="G32" i="2"/>
  <c r="K32" i="2"/>
  <c r="G33" i="2"/>
  <c r="J33" i="2"/>
  <c r="K33" i="2"/>
  <c r="G34" i="2"/>
  <c r="J34" i="2"/>
  <c r="K34" i="2"/>
  <c r="G35" i="2"/>
  <c r="J35" i="2"/>
  <c r="K35" i="2"/>
  <c r="J5" i="32"/>
  <c r="K5" i="32"/>
  <c r="J6" i="32"/>
  <c r="K6" i="32"/>
  <c r="J7" i="32"/>
  <c r="K7" i="32"/>
  <c r="J8" i="32"/>
  <c r="K8" i="32"/>
  <c r="J9" i="32"/>
  <c r="K9" i="32"/>
  <c r="J10" i="32"/>
  <c r="K10" i="32"/>
  <c r="J11" i="32"/>
  <c r="K11" i="32"/>
  <c r="J12" i="32"/>
  <c r="K12" i="32"/>
  <c r="J13" i="32"/>
  <c r="K13" i="32"/>
  <c r="J14" i="32"/>
  <c r="K14" i="32"/>
  <c r="J15" i="32"/>
  <c r="K15" i="32"/>
  <c r="J16" i="32"/>
  <c r="K16" i="32"/>
  <c r="J17" i="32"/>
  <c r="K17" i="32"/>
  <c r="L17" i="32" s="1"/>
  <c r="J18" i="32"/>
  <c r="K18" i="32"/>
  <c r="J19" i="32"/>
  <c r="K19" i="32"/>
  <c r="J22" i="32"/>
  <c r="K22" i="32"/>
  <c r="J24" i="32"/>
  <c r="K24" i="32"/>
  <c r="L24" i="32" s="1"/>
  <c r="J26" i="32"/>
  <c r="K26" i="32"/>
  <c r="L26" i="32" s="1"/>
  <c r="J27" i="32"/>
  <c r="K27" i="32"/>
  <c r="J28" i="32"/>
  <c r="K28" i="32"/>
  <c r="J29" i="32"/>
  <c r="K29" i="32"/>
  <c r="J30" i="32"/>
  <c r="K30" i="32"/>
  <c r="L30" i="32" s="1"/>
  <c r="J31" i="32"/>
  <c r="K31" i="32"/>
  <c r="J32" i="32"/>
  <c r="K32" i="32"/>
  <c r="J33" i="32"/>
  <c r="K33" i="32"/>
  <c r="J34" i="32"/>
  <c r="K34" i="32"/>
  <c r="J35" i="32"/>
  <c r="K35" i="32"/>
  <c r="J36" i="32"/>
  <c r="K36" i="32"/>
  <c r="L36" i="32" s="1"/>
  <c r="J37" i="32"/>
  <c r="K37" i="32"/>
  <c r="G5" i="39"/>
  <c r="J5" i="39"/>
  <c r="K5" i="39"/>
  <c r="G6" i="39"/>
  <c r="J6" i="39"/>
  <c r="K6" i="39"/>
  <c r="G7" i="39"/>
  <c r="J7" i="39"/>
  <c r="K7" i="39"/>
  <c r="G8" i="39"/>
  <c r="J8" i="39"/>
  <c r="K8" i="39"/>
  <c r="G9" i="39"/>
  <c r="J9" i="39"/>
  <c r="K9" i="39"/>
  <c r="G10" i="39"/>
  <c r="J10" i="39"/>
  <c r="K10" i="39"/>
  <c r="G11" i="39"/>
  <c r="J11" i="39"/>
  <c r="K11" i="39"/>
  <c r="G12" i="39"/>
  <c r="J12" i="39"/>
  <c r="K12" i="39"/>
  <c r="G13" i="39"/>
  <c r="J13" i="39"/>
  <c r="K13" i="39"/>
  <c r="G14" i="39"/>
  <c r="J14" i="39"/>
  <c r="K14" i="39"/>
  <c r="G15" i="39"/>
  <c r="J15" i="39"/>
  <c r="K15" i="39"/>
  <c r="G16" i="39"/>
  <c r="J16" i="39"/>
  <c r="K16" i="39"/>
  <c r="G17" i="39"/>
  <c r="J17" i="39"/>
  <c r="K17" i="39"/>
  <c r="G18" i="39"/>
  <c r="J18" i="39"/>
  <c r="K18" i="39"/>
  <c r="G19" i="39"/>
  <c r="J19" i="39"/>
  <c r="K19" i="39"/>
  <c r="G20" i="39"/>
  <c r="J20" i="39"/>
  <c r="K20" i="39"/>
  <c r="G21" i="39"/>
  <c r="J21" i="39"/>
  <c r="K21" i="39"/>
  <c r="G22" i="39"/>
  <c r="J22" i="39"/>
  <c r="K22" i="39"/>
  <c r="G23" i="39"/>
  <c r="J23" i="39"/>
  <c r="K23" i="39"/>
  <c r="G24" i="39"/>
  <c r="J24" i="39"/>
  <c r="K24" i="39"/>
  <c r="G25" i="39"/>
  <c r="J25" i="39"/>
  <c r="K25" i="39"/>
  <c r="G26" i="39"/>
  <c r="J26" i="39"/>
  <c r="K26" i="39"/>
  <c r="G27" i="39"/>
  <c r="J27" i="39"/>
  <c r="K27" i="39"/>
  <c r="G28" i="39"/>
  <c r="J28" i="39"/>
  <c r="K28" i="39"/>
  <c r="G29" i="39"/>
  <c r="J29" i="39"/>
  <c r="K29" i="39"/>
  <c r="G30" i="39"/>
  <c r="J30" i="39"/>
  <c r="K30" i="39"/>
  <c r="G31" i="39"/>
  <c r="J31" i="39"/>
  <c r="K31" i="39"/>
  <c r="G32" i="39"/>
  <c r="J32" i="39"/>
  <c r="K32" i="39"/>
  <c r="G33" i="39"/>
  <c r="J33" i="39"/>
  <c r="K33" i="39"/>
  <c r="G34" i="39"/>
  <c r="J34" i="39"/>
  <c r="K34" i="39"/>
  <c r="G5" i="18"/>
  <c r="J5" i="18"/>
  <c r="K5" i="18"/>
  <c r="G6" i="18"/>
  <c r="J6" i="18"/>
  <c r="K6" i="18"/>
  <c r="G7" i="18"/>
  <c r="J7" i="18"/>
  <c r="K7" i="18"/>
  <c r="G8" i="18"/>
  <c r="J8" i="18"/>
  <c r="K8" i="18"/>
  <c r="G9" i="18"/>
  <c r="J9" i="18"/>
  <c r="K9" i="18"/>
  <c r="G10" i="18"/>
  <c r="J10" i="18"/>
  <c r="K10" i="18"/>
  <c r="G11" i="18"/>
  <c r="J11" i="18"/>
  <c r="K11" i="18"/>
  <c r="G12" i="18"/>
  <c r="J12" i="18"/>
  <c r="K12" i="18"/>
  <c r="G13" i="18"/>
  <c r="J13" i="18"/>
  <c r="K13" i="18"/>
  <c r="G14" i="18"/>
  <c r="J14" i="18"/>
  <c r="K14" i="18"/>
  <c r="G15" i="18"/>
  <c r="J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G26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5" i="47"/>
  <c r="K5" i="47"/>
  <c r="G6" i="47"/>
  <c r="K6" i="47"/>
  <c r="G7" i="47"/>
  <c r="K7" i="47"/>
  <c r="G8" i="47"/>
  <c r="K8" i="47"/>
  <c r="G9" i="47"/>
  <c r="G10" i="47"/>
  <c r="K10" i="47"/>
  <c r="G11" i="47"/>
  <c r="K11" i="47"/>
  <c r="G12" i="47"/>
  <c r="K12" i="47"/>
  <c r="G13" i="47"/>
  <c r="K13" i="47"/>
  <c r="G14" i="47"/>
  <c r="K14" i="47"/>
  <c r="G15" i="47"/>
  <c r="K15" i="47"/>
  <c r="G16" i="47"/>
  <c r="K16" i="47"/>
  <c r="G17" i="47"/>
  <c r="K17" i="47"/>
  <c r="G18" i="47"/>
  <c r="K18" i="47"/>
  <c r="G19" i="47"/>
  <c r="K19" i="47"/>
  <c r="G20" i="47"/>
  <c r="K20" i="47"/>
  <c r="G21" i="47"/>
  <c r="K21" i="47"/>
  <c r="G22" i="47"/>
  <c r="K22" i="47"/>
  <c r="G23" i="47"/>
  <c r="G24" i="47"/>
  <c r="K24" i="47"/>
  <c r="G25" i="47"/>
  <c r="K25" i="47"/>
  <c r="G26" i="47"/>
  <c r="K26" i="47"/>
  <c r="G27" i="47"/>
  <c r="K27" i="47"/>
  <c r="G28" i="47"/>
  <c r="K28" i="47"/>
  <c r="G29" i="47"/>
  <c r="K29" i="47"/>
  <c r="G30" i="47"/>
  <c r="K30" i="47"/>
  <c r="G31" i="47"/>
  <c r="K31" i="47"/>
  <c r="G32" i="47"/>
  <c r="K32" i="47"/>
  <c r="G33" i="47"/>
  <c r="K33" i="47"/>
  <c r="G6" i="50"/>
  <c r="J6" i="50"/>
  <c r="K6" i="50"/>
  <c r="G7" i="50"/>
  <c r="J7" i="50"/>
  <c r="K7" i="50"/>
  <c r="G8" i="50"/>
  <c r="J8" i="50"/>
  <c r="K8" i="50"/>
  <c r="G9" i="50"/>
  <c r="K9" i="50"/>
  <c r="G10" i="50"/>
  <c r="J10" i="50"/>
  <c r="K10" i="50"/>
  <c r="G11" i="50"/>
  <c r="J11" i="50"/>
  <c r="K11" i="50"/>
  <c r="G12" i="50"/>
  <c r="J12" i="50"/>
  <c r="K12" i="50"/>
  <c r="G13" i="50"/>
  <c r="J13" i="50"/>
  <c r="K13" i="50"/>
  <c r="G15" i="50"/>
  <c r="J15" i="50"/>
  <c r="K15" i="50"/>
  <c r="G16" i="50"/>
  <c r="J16" i="50"/>
  <c r="K16" i="50"/>
  <c r="G17" i="50"/>
  <c r="J17" i="50"/>
  <c r="K17" i="50"/>
  <c r="G18" i="50"/>
  <c r="J18" i="50"/>
  <c r="K18" i="50"/>
  <c r="G19" i="50"/>
  <c r="J19" i="50"/>
  <c r="K19" i="50"/>
  <c r="G20" i="50"/>
  <c r="J20" i="50"/>
  <c r="K20" i="50"/>
  <c r="G21" i="50"/>
  <c r="J21" i="50"/>
  <c r="K21" i="50"/>
  <c r="G22" i="50"/>
  <c r="J22" i="50"/>
  <c r="K22" i="50"/>
  <c r="G23" i="50"/>
  <c r="J23" i="50"/>
  <c r="K23" i="50"/>
  <c r="G24" i="50"/>
  <c r="J24" i="50"/>
  <c r="K24" i="50"/>
  <c r="G25" i="50"/>
  <c r="J25" i="50"/>
  <c r="K25" i="50"/>
  <c r="G26" i="50"/>
  <c r="J26" i="50"/>
  <c r="K26" i="50"/>
  <c r="G27" i="50"/>
  <c r="J27" i="50"/>
  <c r="K27" i="50"/>
  <c r="G28" i="50"/>
  <c r="J28" i="50"/>
  <c r="K28" i="50"/>
  <c r="G29" i="50"/>
  <c r="J29" i="50"/>
  <c r="K29" i="50"/>
  <c r="G30" i="50"/>
  <c r="J30" i="50"/>
  <c r="K30" i="50"/>
  <c r="G31" i="50"/>
  <c r="J31" i="50"/>
  <c r="K31" i="50"/>
  <c r="G32" i="50"/>
  <c r="J32" i="50"/>
  <c r="K32" i="50"/>
  <c r="G33" i="50"/>
  <c r="J33" i="50"/>
  <c r="K33" i="50"/>
  <c r="G34" i="50"/>
  <c r="J34" i="50"/>
  <c r="K34" i="50"/>
  <c r="G35" i="50"/>
  <c r="J35" i="50"/>
  <c r="K35" i="50"/>
  <c r="G5" i="6"/>
  <c r="J5" i="6"/>
  <c r="K5" i="6"/>
  <c r="G6" i="6"/>
  <c r="J6" i="6"/>
  <c r="K6" i="6"/>
  <c r="G7" i="6"/>
  <c r="J7" i="6"/>
  <c r="K7" i="6"/>
  <c r="G8" i="6"/>
  <c r="J8" i="6"/>
  <c r="K8" i="6"/>
  <c r="G9" i="6"/>
  <c r="J9" i="6"/>
  <c r="K9" i="6"/>
  <c r="G10" i="6"/>
  <c r="J10" i="6"/>
  <c r="K10" i="6"/>
  <c r="G11" i="6"/>
  <c r="J11" i="6"/>
  <c r="K11" i="6"/>
  <c r="G12" i="6"/>
  <c r="J12" i="6"/>
  <c r="K12" i="6"/>
  <c r="G13" i="6"/>
  <c r="J13" i="6"/>
  <c r="K13" i="6"/>
  <c r="G14" i="6"/>
  <c r="J14" i="6"/>
  <c r="K14" i="6"/>
  <c r="G15" i="6"/>
  <c r="J15" i="6"/>
  <c r="K15" i="6"/>
  <c r="G16" i="6"/>
  <c r="J16" i="6"/>
  <c r="K16" i="6"/>
  <c r="G17" i="6"/>
  <c r="J17" i="6"/>
  <c r="K17" i="6"/>
  <c r="G18" i="6"/>
  <c r="J18" i="6"/>
  <c r="K18" i="6"/>
  <c r="G19" i="6"/>
  <c r="J19" i="6"/>
  <c r="K19" i="6"/>
  <c r="G20" i="6"/>
  <c r="J20" i="6"/>
  <c r="K20" i="6"/>
  <c r="G21" i="6"/>
  <c r="J21" i="6"/>
  <c r="K21" i="6"/>
  <c r="G22" i="6"/>
  <c r="J22" i="6"/>
  <c r="K22" i="6"/>
  <c r="G23" i="6"/>
  <c r="J23" i="6"/>
  <c r="K23" i="6"/>
  <c r="G24" i="6"/>
  <c r="J24" i="6"/>
  <c r="K24" i="6"/>
  <c r="G25" i="6"/>
  <c r="J25" i="6"/>
  <c r="K25" i="6"/>
  <c r="G26" i="6"/>
  <c r="J26" i="6"/>
  <c r="K26" i="6"/>
  <c r="G27" i="6"/>
  <c r="J27" i="6"/>
  <c r="K27" i="6"/>
  <c r="G28" i="6"/>
  <c r="J28" i="6"/>
  <c r="K28" i="6"/>
  <c r="G29" i="6"/>
  <c r="J29" i="6"/>
  <c r="K29" i="6"/>
  <c r="G30" i="6"/>
  <c r="J30" i="6"/>
  <c r="K30" i="6"/>
  <c r="G31" i="6"/>
  <c r="J31" i="6"/>
  <c r="K31" i="6"/>
  <c r="G32" i="6"/>
  <c r="J32" i="6"/>
  <c r="K32" i="6"/>
  <c r="G33" i="6"/>
  <c r="J33" i="6"/>
  <c r="K33" i="6"/>
  <c r="G34" i="6"/>
  <c r="J34" i="6"/>
  <c r="K34" i="6"/>
  <c r="G35" i="6"/>
  <c r="J35" i="6"/>
  <c r="K35" i="6"/>
  <c r="M3" i="52"/>
  <c r="G4" i="52"/>
  <c r="J4" i="52"/>
  <c r="K4" i="52"/>
  <c r="M4" i="52"/>
  <c r="G5" i="52"/>
  <c r="J5" i="52"/>
  <c r="K5" i="52"/>
  <c r="M5" i="52"/>
  <c r="G6" i="52"/>
  <c r="J6" i="52"/>
  <c r="K6" i="52"/>
  <c r="M6" i="52"/>
  <c r="G7" i="52"/>
  <c r="J7" i="52"/>
  <c r="K7" i="52"/>
  <c r="M7" i="52"/>
  <c r="G8" i="52"/>
  <c r="J8" i="52"/>
  <c r="K8" i="52"/>
  <c r="M8" i="52"/>
  <c r="G9" i="52"/>
  <c r="J9" i="52"/>
  <c r="K9" i="52"/>
  <c r="M9" i="52"/>
  <c r="G10" i="52"/>
  <c r="J10" i="52"/>
  <c r="K10" i="52"/>
  <c r="M10" i="52"/>
  <c r="G11" i="52"/>
  <c r="J11" i="52"/>
  <c r="K11" i="52"/>
  <c r="M11" i="52"/>
  <c r="G12" i="52"/>
  <c r="J12" i="52"/>
  <c r="K12" i="52"/>
  <c r="M12" i="52"/>
  <c r="G13" i="52"/>
  <c r="J13" i="52"/>
  <c r="K13" i="52"/>
  <c r="M13" i="52"/>
  <c r="G14" i="52"/>
  <c r="J14" i="52"/>
  <c r="K14" i="52"/>
  <c r="M14" i="52"/>
  <c r="G15" i="52"/>
  <c r="J15" i="52"/>
  <c r="K15" i="52"/>
  <c r="M15" i="52"/>
  <c r="G16" i="52"/>
  <c r="J16" i="52"/>
  <c r="K16" i="52"/>
  <c r="M16" i="52"/>
  <c r="G17" i="52"/>
  <c r="J17" i="52"/>
  <c r="K17" i="52"/>
  <c r="M17" i="52"/>
  <c r="G18" i="52"/>
  <c r="J18" i="52"/>
  <c r="K18" i="52"/>
  <c r="M18" i="52"/>
  <c r="G19" i="52"/>
  <c r="J19" i="52"/>
  <c r="K19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G33" i="52"/>
  <c r="J33" i="52"/>
  <c r="K33" i="52"/>
  <c r="Q14" i="23"/>
  <c r="K25" i="22"/>
  <c r="J35" i="26"/>
  <c r="J36" i="26"/>
  <c r="J37" i="26"/>
  <c r="J38" i="26"/>
  <c r="J39" i="26"/>
  <c r="J40" i="26"/>
  <c r="J41" i="26"/>
  <c r="J42" i="26"/>
  <c r="J43" i="26"/>
  <c r="R82" i="43"/>
  <c r="K14" i="22"/>
  <c r="L14" i="22" s="1"/>
  <c r="J4" i="41"/>
  <c r="M47" i="32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J42" i="51"/>
  <c r="G42" i="51"/>
  <c r="K42" i="51" s="1"/>
  <c r="L42" i="51" s="1"/>
  <c r="J41" i="51"/>
  <c r="G41" i="51"/>
  <c r="K41" i="51" s="1"/>
  <c r="L41" i="51" s="1"/>
  <c r="J4" i="51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G30" i="19"/>
  <c r="J30" i="19"/>
  <c r="K30" i="19"/>
  <c r="L30" i="19"/>
  <c r="G31" i="19"/>
  <c r="J31" i="19"/>
  <c r="K31" i="19"/>
  <c r="L31" i="19"/>
  <c r="G32" i="19"/>
  <c r="K32" i="19"/>
  <c r="L32" i="19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G38" i="34"/>
  <c r="J38" i="34"/>
  <c r="K38" i="34"/>
  <c r="L38" i="34"/>
  <c r="G39" i="34"/>
  <c r="J39" i="34"/>
  <c r="K39" i="34"/>
  <c r="L39" i="34"/>
  <c r="G40" i="34"/>
  <c r="J40" i="34"/>
  <c r="K40" i="34"/>
  <c r="L40" i="34"/>
  <c r="G41" i="34"/>
  <c r="J41" i="34"/>
  <c r="K41" i="34"/>
  <c r="L41" i="34"/>
  <c r="G42" i="34"/>
  <c r="J42" i="34"/>
  <c r="K42" i="34"/>
  <c r="L42" i="34"/>
  <c r="G4" i="34"/>
  <c r="G5" i="33"/>
  <c r="J5" i="33"/>
  <c r="K5" i="33"/>
  <c r="L5" i="33"/>
  <c r="G6" i="33"/>
  <c r="J6" i="33"/>
  <c r="K6" i="33"/>
  <c r="L6" i="33"/>
  <c r="G7" i="33"/>
  <c r="J7" i="33"/>
  <c r="K7" i="33"/>
  <c r="L7" i="33"/>
  <c r="G8" i="33"/>
  <c r="J8" i="33"/>
  <c r="K8" i="33"/>
  <c r="L8" i="33"/>
  <c r="G9" i="33"/>
  <c r="J9" i="33"/>
  <c r="K9" i="33"/>
  <c r="L9" i="33"/>
  <c r="G10" i="33"/>
  <c r="J10" i="33"/>
  <c r="K10" i="33"/>
  <c r="L10" i="33"/>
  <c r="G11" i="33"/>
  <c r="J11" i="33"/>
  <c r="K11" i="33"/>
  <c r="L11" i="33"/>
  <c r="G12" i="33"/>
  <c r="J12" i="33"/>
  <c r="K12" i="33"/>
  <c r="L12" i="33"/>
  <c r="G13" i="33"/>
  <c r="J13" i="33"/>
  <c r="K13" i="33"/>
  <c r="L13" i="33"/>
  <c r="G14" i="33"/>
  <c r="J14" i="33"/>
  <c r="K14" i="33"/>
  <c r="L14" i="33"/>
  <c r="G15" i="33"/>
  <c r="J15" i="33"/>
  <c r="K15" i="33"/>
  <c r="L15" i="33"/>
  <c r="G16" i="33"/>
  <c r="J16" i="33"/>
  <c r="K16" i="33"/>
  <c r="L16" i="33"/>
  <c r="G17" i="33"/>
  <c r="J17" i="33"/>
  <c r="K17" i="33"/>
  <c r="L17" i="33"/>
  <c r="G18" i="33"/>
  <c r="J18" i="33"/>
  <c r="K18" i="33"/>
  <c r="L18" i="33"/>
  <c r="G19" i="33"/>
  <c r="J19" i="33"/>
  <c r="K19" i="33"/>
  <c r="L19" i="33"/>
  <c r="G20" i="33"/>
  <c r="J20" i="33"/>
  <c r="K20" i="33"/>
  <c r="L20" i="33"/>
  <c r="G21" i="33"/>
  <c r="J21" i="33"/>
  <c r="K21" i="33"/>
  <c r="L21" i="33"/>
  <c r="G22" i="33"/>
  <c r="J22" i="33"/>
  <c r="K22" i="33"/>
  <c r="L22" i="33"/>
  <c r="G23" i="33"/>
  <c r="J23" i="33"/>
  <c r="K23" i="33"/>
  <c r="L23" i="33"/>
  <c r="G24" i="33"/>
  <c r="J24" i="33"/>
  <c r="K24" i="33"/>
  <c r="L24" i="33"/>
  <c r="G25" i="33"/>
  <c r="J25" i="33"/>
  <c r="K25" i="33"/>
  <c r="L25" i="33"/>
  <c r="G26" i="33"/>
  <c r="J26" i="33"/>
  <c r="K26" i="33"/>
  <c r="L26" i="33"/>
  <c r="G27" i="33"/>
  <c r="J27" i="33"/>
  <c r="K27" i="33"/>
  <c r="L27" i="33"/>
  <c r="G28" i="33"/>
  <c r="J28" i="33"/>
  <c r="K28" i="33"/>
  <c r="L28" i="33"/>
  <c r="G29" i="33"/>
  <c r="J29" i="33"/>
  <c r="K29" i="33"/>
  <c r="L29" i="33"/>
  <c r="G30" i="33"/>
  <c r="J30" i="33"/>
  <c r="K30" i="33"/>
  <c r="L30" i="33"/>
  <c r="G31" i="33"/>
  <c r="J31" i="33"/>
  <c r="K31" i="33"/>
  <c r="L31" i="33"/>
  <c r="G32" i="33"/>
  <c r="G44" i="33" s="1"/>
  <c r="J32" i="33"/>
  <c r="K32" i="33"/>
  <c r="L32" i="33"/>
  <c r="G33" i="33"/>
  <c r="J33" i="33"/>
  <c r="K33" i="33"/>
  <c r="L33" i="33"/>
  <c r="G34" i="33"/>
  <c r="J34" i="33"/>
  <c r="K34" i="33"/>
  <c r="L34" i="33"/>
  <c r="G35" i="33"/>
  <c r="J35" i="33"/>
  <c r="K35" i="33"/>
  <c r="L35" i="33"/>
  <c r="G36" i="33"/>
  <c r="J36" i="33"/>
  <c r="K36" i="33"/>
  <c r="L36" i="33"/>
  <c r="G37" i="33"/>
  <c r="J37" i="33"/>
  <c r="K37" i="33"/>
  <c r="L37" i="33"/>
  <c r="G38" i="33"/>
  <c r="J38" i="33"/>
  <c r="K38" i="33"/>
  <c r="L38" i="33"/>
  <c r="G39" i="33"/>
  <c r="J39" i="33"/>
  <c r="K39" i="33"/>
  <c r="L39" i="33"/>
  <c r="G40" i="33"/>
  <c r="J40" i="33"/>
  <c r="K40" i="33"/>
  <c r="L40" i="33"/>
  <c r="G41" i="33"/>
  <c r="J41" i="33"/>
  <c r="K41" i="33"/>
  <c r="L41" i="33"/>
  <c r="G42" i="33"/>
  <c r="J42" i="33"/>
  <c r="K42" i="33"/>
  <c r="L42" i="33"/>
  <c r="G43" i="33"/>
  <c r="J43" i="33"/>
  <c r="K43" i="33"/>
  <c r="L43" i="33"/>
  <c r="J34" i="9"/>
  <c r="K34" i="9"/>
  <c r="L5" i="26"/>
  <c r="L6" i="26"/>
  <c r="L7" i="26"/>
  <c r="L10" i="26"/>
  <c r="L11" i="26"/>
  <c r="L12" i="26"/>
  <c r="L13" i="26"/>
  <c r="L14" i="26"/>
  <c r="L15" i="26"/>
  <c r="L16" i="26"/>
  <c r="L17" i="26"/>
  <c r="L18" i="26"/>
  <c r="L19" i="26"/>
  <c r="L21" i="26"/>
  <c r="L22" i="26"/>
  <c r="L25" i="26"/>
  <c r="L26" i="26"/>
  <c r="L27" i="26"/>
  <c r="L28" i="26"/>
  <c r="L29" i="26"/>
  <c r="L30" i="26"/>
  <c r="L31" i="26"/>
  <c r="L32" i="26"/>
  <c r="L33" i="26"/>
  <c r="L34" i="26"/>
  <c r="G35" i="26"/>
  <c r="K35" i="26"/>
  <c r="L35" i="26"/>
  <c r="G36" i="26"/>
  <c r="K36" i="26"/>
  <c r="L36" i="26"/>
  <c r="G37" i="26"/>
  <c r="K37" i="26"/>
  <c r="L37" i="26"/>
  <c r="G38" i="26"/>
  <c r="K38" i="26"/>
  <c r="L38" i="26"/>
  <c r="G39" i="26"/>
  <c r="K39" i="26"/>
  <c r="L39" i="26"/>
  <c r="G40" i="26"/>
  <c r="K40" i="26"/>
  <c r="L40" i="26"/>
  <c r="G41" i="26"/>
  <c r="K41" i="26"/>
  <c r="L41" i="26"/>
  <c r="G42" i="26"/>
  <c r="K42" i="26"/>
  <c r="L42" i="26"/>
  <c r="G43" i="26"/>
  <c r="K43" i="26"/>
  <c r="L43" i="26"/>
  <c r="H5" i="46"/>
  <c r="L5" i="46"/>
  <c r="M5" i="46"/>
  <c r="H6" i="46"/>
  <c r="L6" i="46"/>
  <c r="M6" i="46"/>
  <c r="H7" i="46"/>
  <c r="L7" i="46"/>
  <c r="M7" i="46"/>
  <c r="H8" i="46"/>
  <c r="L8" i="46"/>
  <c r="M8" i="46"/>
  <c r="H9" i="46"/>
  <c r="K9" i="46"/>
  <c r="L9" i="46"/>
  <c r="M9" i="46"/>
  <c r="H10" i="46"/>
  <c r="K10" i="46"/>
  <c r="L10" i="46"/>
  <c r="M10" i="46"/>
  <c r="H11" i="46"/>
  <c r="K11" i="46"/>
  <c r="L11" i="46"/>
  <c r="M11" i="46"/>
  <c r="H12" i="46"/>
  <c r="K12" i="46"/>
  <c r="L12" i="46"/>
  <c r="M12" i="46"/>
  <c r="H13" i="46"/>
  <c r="K13" i="46"/>
  <c r="L13" i="46"/>
  <c r="M13" i="46"/>
  <c r="H14" i="46"/>
  <c r="K14" i="46"/>
  <c r="L14" i="46"/>
  <c r="M14" i="46"/>
  <c r="H15" i="46"/>
  <c r="K15" i="46"/>
  <c r="L15" i="46"/>
  <c r="M15" i="46"/>
  <c r="H16" i="46"/>
  <c r="K16" i="46"/>
  <c r="L16" i="46"/>
  <c r="M16" i="46"/>
  <c r="H17" i="46"/>
  <c r="K17" i="46"/>
  <c r="L17" i="46"/>
  <c r="M17" i="46"/>
  <c r="H18" i="46"/>
  <c r="K18" i="46"/>
  <c r="L18" i="46"/>
  <c r="M18" i="46"/>
  <c r="H19" i="46"/>
  <c r="K19" i="46"/>
  <c r="L19" i="46"/>
  <c r="M19" i="46"/>
  <c r="H20" i="46"/>
  <c r="K20" i="46"/>
  <c r="L20" i="46"/>
  <c r="M20" i="46"/>
  <c r="H21" i="46"/>
  <c r="K21" i="46"/>
  <c r="L21" i="46"/>
  <c r="M21" i="46"/>
  <c r="H22" i="46"/>
  <c r="K22" i="46"/>
  <c r="L22" i="46"/>
  <c r="M22" i="46"/>
  <c r="H23" i="46"/>
  <c r="K23" i="46"/>
  <c r="L23" i="46"/>
  <c r="M23" i="46"/>
  <c r="H24" i="46"/>
  <c r="K24" i="46"/>
  <c r="L24" i="46"/>
  <c r="M24" i="46"/>
  <c r="H25" i="46"/>
  <c r="K25" i="46"/>
  <c r="L25" i="46"/>
  <c r="M25" i="46"/>
  <c r="H26" i="46"/>
  <c r="K26" i="46"/>
  <c r="L26" i="46"/>
  <c r="M26" i="46"/>
  <c r="H27" i="46"/>
  <c r="K27" i="46"/>
  <c r="L27" i="46"/>
  <c r="M27" i="46"/>
  <c r="H28" i="46"/>
  <c r="K28" i="46"/>
  <c r="L28" i="46"/>
  <c r="M28" i="46"/>
  <c r="H29" i="46"/>
  <c r="K29" i="46"/>
  <c r="L29" i="46"/>
  <c r="M29" i="46"/>
  <c r="H30" i="46"/>
  <c r="K30" i="46"/>
  <c r="L30" i="46"/>
  <c r="M30" i="46"/>
  <c r="H31" i="46"/>
  <c r="K31" i="46"/>
  <c r="L31" i="46"/>
  <c r="M31" i="46"/>
  <c r="H32" i="46"/>
  <c r="K32" i="46"/>
  <c r="L32" i="46"/>
  <c r="M32" i="46"/>
  <c r="H33" i="46"/>
  <c r="K33" i="46"/>
  <c r="L33" i="46"/>
  <c r="M33" i="46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G33" i="37"/>
  <c r="J33" i="37"/>
  <c r="K33" i="37"/>
  <c r="G5" i="37"/>
  <c r="J5" i="37"/>
  <c r="K5" i="37"/>
  <c r="K5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3" i="14"/>
  <c r="K34" i="14"/>
  <c r="G38" i="22"/>
  <c r="J38" i="22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3" i="11"/>
  <c r="G34" i="11"/>
  <c r="J34" i="11"/>
  <c r="K34" i="11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G33" i="10"/>
  <c r="J33" i="10"/>
  <c r="K33" i="10"/>
  <c r="G34" i="10"/>
  <c r="J34" i="10"/>
  <c r="K34" i="10"/>
  <c r="K5" i="24"/>
  <c r="L5" i="24"/>
  <c r="M5" i="24" s="1"/>
  <c r="K6" i="24"/>
  <c r="L6" i="24"/>
  <c r="K7" i="24"/>
  <c r="L7" i="24"/>
  <c r="M7" i="24" s="1"/>
  <c r="K8" i="24"/>
  <c r="L8" i="24"/>
  <c r="M8" i="24" s="1"/>
  <c r="K9" i="24"/>
  <c r="L9" i="24"/>
  <c r="M9" i="24" s="1"/>
  <c r="K10" i="24"/>
  <c r="L10" i="24"/>
  <c r="M10" i="24" s="1"/>
  <c r="K11" i="24"/>
  <c r="L11" i="24" s="1"/>
  <c r="M11" i="24" s="1"/>
  <c r="K12" i="24"/>
  <c r="L12" i="24"/>
  <c r="M12" i="24" s="1"/>
  <c r="K13" i="24"/>
  <c r="L13" i="24"/>
  <c r="M13" i="24" s="1"/>
  <c r="K14" i="24"/>
  <c r="L14" i="24"/>
  <c r="M14" i="24" s="1"/>
  <c r="K15" i="24"/>
  <c r="L15" i="24"/>
  <c r="M15" i="24" s="1"/>
  <c r="K17" i="24"/>
  <c r="L17" i="24"/>
  <c r="M17" i="24" s="1"/>
  <c r="K18" i="24"/>
  <c r="L18" i="24"/>
  <c r="M18" i="24" s="1"/>
  <c r="K19" i="24"/>
  <c r="L19" i="24"/>
  <c r="M19" i="24" s="1"/>
  <c r="K20" i="24"/>
  <c r="L20" i="24"/>
  <c r="M20" i="24" s="1"/>
  <c r="K21" i="24"/>
  <c r="L21" i="24"/>
  <c r="M21" i="24" s="1"/>
  <c r="K22" i="24"/>
  <c r="L22" i="24"/>
  <c r="M22" i="24" s="1"/>
  <c r="K24" i="24"/>
  <c r="L24" i="24"/>
  <c r="M24" i="24" s="1"/>
  <c r="K25" i="24"/>
  <c r="L25" i="24"/>
  <c r="M25" i="24" s="1"/>
  <c r="K26" i="24"/>
  <c r="L26" i="24"/>
  <c r="M26" i="24" s="1"/>
  <c r="K27" i="24"/>
  <c r="L27" i="24"/>
  <c r="M27" i="24" s="1"/>
  <c r="K28" i="24"/>
  <c r="L28" i="24"/>
  <c r="M28" i="24" s="1"/>
  <c r="K29" i="24"/>
  <c r="L29" i="24"/>
  <c r="M29" i="24" s="1"/>
  <c r="K30" i="24"/>
  <c r="L30" i="24"/>
  <c r="M30" i="24" s="1"/>
  <c r="K31" i="24"/>
  <c r="L31" i="24"/>
  <c r="M31" i="24" s="1"/>
  <c r="K32" i="24"/>
  <c r="L32" i="24"/>
  <c r="M32" i="24" s="1"/>
  <c r="M35" i="24" s="1"/>
  <c r="J21" i="56" s="1"/>
  <c r="K33" i="24"/>
  <c r="L33" i="24"/>
  <c r="M33" i="24" s="1"/>
  <c r="G34" i="3"/>
  <c r="J34" i="3"/>
  <c r="K34" i="3"/>
  <c r="G34" i="7"/>
  <c r="J34" i="7"/>
  <c r="K34" i="7"/>
  <c r="G32" i="1"/>
  <c r="J32" i="1"/>
  <c r="K32" i="1"/>
  <c r="G33" i="1"/>
  <c r="J33" i="1"/>
  <c r="K33" i="1"/>
  <c r="J38" i="32"/>
  <c r="G34" i="18"/>
  <c r="J34" i="18"/>
  <c r="K34" i="18"/>
  <c r="G4" i="47"/>
  <c r="N210" i="43"/>
  <c r="J4" i="50"/>
  <c r="G4" i="50"/>
  <c r="M3" i="50"/>
  <c r="Q33" i="15"/>
  <c r="K31" i="40"/>
  <c r="L31" i="40"/>
  <c r="K32" i="40"/>
  <c r="L32" i="40"/>
  <c r="K33" i="40"/>
  <c r="L33" i="40"/>
  <c r="K30" i="40"/>
  <c r="L30" i="40"/>
  <c r="K29" i="40"/>
  <c r="L29" i="40" s="1"/>
  <c r="K27" i="40"/>
  <c r="L27" i="40"/>
  <c r="K28" i="40"/>
  <c r="L28" i="40"/>
  <c r="L34" i="36"/>
  <c r="L35" i="36" s="1"/>
  <c r="J30" i="56" s="1"/>
  <c r="K25" i="40"/>
  <c r="L25" i="40"/>
  <c r="K26" i="40"/>
  <c r="K35" i="40" s="1"/>
  <c r="L26" i="40"/>
  <c r="L35" i="40" s="1"/>
  <c r="K22" i="40"/>
  <c r="L22" i="40"/>
  <c r="K23" i="40"/>
  <c r="L23" i="40"/>
  <c r="K24" i="40"/>
  <c r="L24" i="40"/>
  <c r="K21" i="40"/>
  <c r="L21" i="40" s="1"/>
  <c r="P24" i="18"/>
  <c r="P30" i="39"/>
  <c r="X16" i="1"/>
  <c r="K18" i="40"/>
  <c r="L18" i="40"/>
  <c r="K19" i="40"/>
  <c r="L19" i="40"/>
  <c r="K20" i="40"/>
  <c r="L20" i="40"/>
  <c r="V21" i="16"/>
  <c r="V20" i="16"/>
  <c r="K14" i="40"/>
  <c r="K15" i="40"/>
  <c r="K16" i="40"/>
  <c r="K17" i="40"/>
  <c r="L14" i="40"/>
  <c r="L15" i="40"/>
  <c r="L16" i="40"/>
  <c r="L17" i="40"/>
  <c r="K12" i="40"/>
  <c r="L12" i="40" s="1"/>
  <c r="L13" i="40"/>
  <c r="K11" i="40"/>
  <c r="L11" i="40" s="1"/>
  <c r="M3" i="47"/>
  <c r="K10" i="40"/>
  <c r="L10" i="40" s="1"/>
  <c r="K9" i="40"/>
  <c r="L9" i="40" s="1"/>
  <c r="F35" i="46"/>
  <c r="K4" i="46"/>
  <c r="K35" i="46" s="1"/>
  <c r="H4" i="46"/>
  <c r="K6" i="40"/>
  <c r="L6" i="40" s="1"/>
  <c r="K7" i="40"/>
  <c r="L7" i="40" s="1"/>
  <c r="K8" i="40"/>
  <c r="L8" i="40" s="1"/>
  <c r="G4" i="40"/>
  <c r="K4" i="40" s="1"/>
  <c r="L4" i="40" s="1"/>
  <c r="J5" i="44"/>
  <c r="G5" i="44"/>
  <c r="K5" i="44" s="1"/>
  <c r="M5" i="44"/>
  <c r="M6" i="44" s="1"/>
  <c r="M7" i="44" s="1"/>
  <c r="L5" i="37"/>
  <c r="J4" i="25"/>
  <c r="G4" i="25"/>
  <c r="K5" i="40"/>
  <c r="L5" i="40" s="1"/>
  <c r="J4" i="24"/>
  <c r="J35" i="24" s="1"/>
  <c r="G21" i="56" s="1"/>
  <c r="H21" i="56" s="1"/>
  <c r="K21" i="56" s="1"/>
  <c r="G33" i="19"/>
  <c r="J33" i="19"/>
  <c r="K33" i="19"/>
  <c r="L33" i="19"/>
  <c r="G34" i="19"/>
  <c r="G35" i="19" s="1"/>
  <c r="E44" i="56" s="1"/>
  <c r="J34" i="19"/>
  <c r="K34" i="19"/>
  <c r="L34" i="19"/>
  <c r="M3" i="41"/>
  <c r="G34" i="8"/>
  <c r="J34" i="8"/>
  <c r="K34" i="8"/>
  <c r="G4" i="12"/>
  <c r="K5" i="14"/>
  <c r="K6" i="14"/>
  <c r="F17" i="56"/>
  <c r="K38" i="32"/>
  <c r="L38" i="32" s="1"/>
  <c r="J4" i="32"/>
  <c r="J39" i="32" s="1"/>
  <c r="M3" i="32"/>
  <c r="E35" i="39"/>
  <c r="L35" i="39"/>
  <c r="H35" i="39"/>
  <c r="M3" i="39"/>
  <c r="L35" i="18"/>
  <c r="J5" i="56" s="1"/>
  <c r="E42" i="6"/>
  <c r="M3" i="40"/>
  <c r="J4" i="39"/>
  <c r="J35" i="39" s="1"/>
  <c r="G4" i="39"/>
  <c r="K4" i="39" s="1"/>
  <c r="M4" i="39" s="1"/>
  <c r="I38" i="37"/>
  <c r="J4" i="37"/>
  <c r="G4" i="37"/>
  <c r="M3" i="37"/>
  <c r="I38" i="36"/>
  <c r="J4" i="36"/>
  <c r="G4" i="36"/>
  <c r="M3" i="36"/>
  <c r="J42" i="35"/>
  <c r="G42" i="35"/>
  <c r="K42" i="35" s="1"/>
  <c r="L42" i="35" s="1"/>
  <c r="J4" i="35"/>
  <c r="G4" i="35"/>
  <c r="J45" i="34"/>
  <c r="G45" i="34"/>
  <c r="K45" i="34" s="1"/>
  <c r="L45" i="34" s="1"/>
  <c r="J44" i="34"/>
  <c r="G44" i="34"/>
  <c r="K44" i="34" s="1"/>
  <c r="L44" i="34" s="1"/>
  <c r="J43" i="34"/>
  <c r="G43" i="34"/>
  <c r="K43" i="34" s="1"/>
  <c r="L43" i="34" s="1"/>
  <c r="J4" i="34"/>
  <c r="H44" i="33"/>
  <c r="F40" i="56" s="1"/>
  <c r="J4" i="33"/>
  <c r="J44" i="33" s="1"/>
  <c r="G40" i="56" s="1"/>
  <c r="H40" i="56" s="1"/>
  <c r="G4" i="33"/>
  <c r="P12" i="24"/>
  <c r="J4" i="10"/>
  <c r="M3" i="9"/>
  <c r="J4" i="22"/>
  <c r="L35" i="7"/>
  <c r="M3" i="1"/>
  <c r="M3" i="18"/>
  <c r="J4" i="18"/>
  <c r="G4" i="18"/>
  <c r="M3" i="6"/>
  <c r="J4" i="6"/>
  <c r="J36" i="6" s="1"/>
  <c r="G2" i="56" s="1"/>
  <c r="G4" i="6"/>
  <c r="E35" i="8"/>
  <c r="H35" i="8"/>
  <c r="I38" i="15"/>
  <c r="M3" i="24"/>
  <c r="J4" i="26"/>
  <c r="G4" i="26"/>
  <c r="J4" i="9"/>
  <c r="J4" i="15"/>
  <c r="M3" i="11"/>
  <c r="M3" i="8"/>
  <c r="M3" i="20"/>
  <c r="M3" i="22"/>
  <c r="M3" i="25"/>
  <c r="G4" i="7"/>
  <c r="M3" i="7"/>
  <c r="M3" i="23"/>
  <c r="M3" i="2"/>
  <c r="K4" i="6"/>
  <c r="G4" i="24"/>
  <c r="G4" i="23"/>
  <c r="J4" i="23"/>
  <c r="J4" i="20"/>
  <c r="G4" i="20"/>
  <c r="G4" i="19"/>
  <c r="J4" i="19"/>
  <c r="K4" i="19"/>
  <c r="J4" i="16"/>
  <c r="G4" i="16"/>
  <c r="G36" i="16" s="1"/>
  <c r="J4" i="14"/>
  <c r="G4" i="14"/>
  <c r="K4" i="14"/>
  <c r="J4" i="7"/>
  <c r="J4" i="12"/>
  <c r="K4" i="12" s="1"/>
  <c r="G4" i="11"/>
  <c r="J4" i="11"/>
  <c r="K4" i="11"/>
  <c r="G4" i="10"/>
  <c r="J4" i="3"/>
  <c r="G4" i="3"/>
  <c r="J4" i="8"/>
  <c r="J35" i="8" s="1"/>
  <c r="G4" i="8"/>
  <c r="G35" i="8" s="1"/>
  <c r="J4" i="2"/>
  <c r="J36" i="2" s="1"/>
  <c r="G4" i="2"/>
  <c r="J4" i="1"/>
  <c r="K4" i="1"/>
  <c r="I28" i="60" l="1"/>
  <c r="K28" i="60" s="1"/>
  <c r="M4" i="14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J39" i="23"/>
  <c r="G22" i="60" s="1"/>
  <c r="F45" i="60"/>
  <c r="G45" i="60"/>
  <c r="K39" i="23"/>
  <c r="D45" i="60"/>
  <c r="H2" i="60"/>
  <c r="I45" i="60"/>
  <c r="K2" i="60"/>
  <c r="K3" i="60"/>
  <c r="K44" i="60"/>
  <c r="J8" i="60"/>
  <c r="J8" i="56"/>
  <c r="L34" i="57"/>
  <c r="L35" i="57" s="1"/>
  <c r="H35" i="57"/>
  <c r="E37" i="56" s="1"/>
  <c r="M9" i="26"/>
  <c r="M10" i="26" s="1"/>
  <c r="M11" i="26" s="1"/>
  <c r="K36" i="6"/>
  <c r="G36" i="6"/>
  <c r="E2" i="56" s="1"/>
  <c r="J36" i="16"/>
  <c r="J38" i="16" s="1"/>
  <c r="G17" i="56" s="1"/>
  <c r="G36" i="59"/>
  <c r="K4" i="59"/>
  <c r="J35" i="41"/>
  <c r="G34" i="56" s="1"/>
  <c r="K19" i="16"/>
  <c r="K35" i="36"/>
  <c r="M33" i="36"/>
  <c r="J35" i="15"/>
  <c r="G29" i="56" s="1"/>
  <c r="G35" i="11"/>
  <c r="E24" i="56" s="1"/>
  <c r="K32" i="11"/>
  <c r="K34" i="41"/>
  <c r="G43" i="35"/>
  <c r="E42" i="56" s="1"/>
  <c r="G43" i="51"/>
  <c r="E43" i="56" s="1"/>
  <c r="H43" i="56" s="1"/>
  <c r="L44" i="26"/>
  <c r="J38" i="56" s="1"/>
  <c r="G44" i="26"/>
  <c r="E38" i="56" s="1"/>
  <c r="G35" i="18"/>
  <c r="E5" i="56" s="1"/>
  <c r="J35" i="19"/>
  <c r="G44" i="56" s="1"/>
  <c r="H44" i="56" s="1"/>
  <c r="L44" i="33"/>
  <c r="J40" i="56" s="1"/>
  <c r="K40" i="56" s="1"/>
  <c r="K44" i="33"/>
  <c r="H38" i="56"/>
  <c r="K38" i="56" s="1"/>
  <c r="K43" i="56"/>
  <c r="L43" i="35"/>
  <c r="J42" i="56" s="1"/>
  <c r="J43" i="35"/>
  <c r="G42" i="56" s="1"/>
  <c r="H42" i="56" s="1"/>
  <c r="K42" i="56" s="1"/>
  <c r="G35" i="9"/>
  <c r="E39" i="56" s="1"/>
  <c r="H39" i="56" s="1"/>
  <c r="K39" i="56" s="1"/>
  <c r="G35" i="41"/>
  <c r="E34" i="56" s="1"/>
  <c r="H34" i="56" s="1"/>
  <c r="K34" i="56" s="1"/>
  <c r="K33" i="41"/>
  <c r="K35" i="3"/>
  <c r="M33" i="3"/>
  <c r="M34" i="3" s="1"/>
  <c r="H29" i="56"/>
  <c r="K29" i="56" s="1"/>
  <c r="D45" i="56"/>
  <c r="G35" i="58"/>
  <c r="K4" i="58"/>
  <c r="H37" i="56"/>
  <c r="K37" i="56" s="1"/>
  <c r="K35" i="9"/>
  <c r="K32" i="41"/>
  <c r="H24" i="56"/>
  <c r="K24" i="56" s="1"/>
  <c r="K32" i="36"/>
  <c r="K35" i="7"/>
  <c r="G35" i="7"/>
  <c r="E18" i="56" s="1"/>
  <c r="H18" i="56" s="1"/>
  <c r="K18" i="56" s="1"/>
  <c r="J35" i="47"/>
  <c r="G4" i="56" s="1"/>
  <c r="J35" i="10"/>
  <c r="G23" i="56" s="1"/>
  <c r="J35" i="37"/>
  <c r="K44" i="26"/>
  <c r="J36" i="14"/>
  <c r="G28" i="56" s="1"/>
  <c r="G36" i="14"/>
  <c r="E28" i="56" s="1"/>
  <c r="H28" i="56" s="1"/>
  <c r="K28" i="56" s="1"/>
  <c r="K31" i="41"/>
  <c r="J35" i="20"/>
  <c r="F45" i="56"/>
  <c r="K35" i="47"/>
  <c r="G35" i="47"/>
  <c r="E4" i="56" s="1"/>
  <c r="H4" i="56" s="1"/>
  <c r="K4" i="56" s="1"/>
  <c r="L35" i="19"/>
  <c r="J44" i="56" s="1"/>
  <c r="K35" i="19"/>
  <c r="K30" i="36"/>
  <c r="M31" i="2"/>
  <c r="M32" i="2" s="1"/>
  <c r="M33" i="2" s="1"/>
  <c r="M34" i="2" s="1"/>
  <c r="M35" i="2" s="1"/>
  <c r="G39" i="23"/>
  <c r="K30" i="41"/>
  <c r="L35" i="20"/>
  <c r="K35" i="20"/>
  <c r="G35" i="20"/>
  <c r="K29" i="41"/>
  <c r="K29" i="36"/>
  <c r="K35" i="15"/>
  <c r="H2" i="56"/>
  <c r="K2" i="56" s="1"/>
  <c r="K28" i="41"/>
  <c r="L22" i="32"/>
  <c r="L39" i="32"/>
  <c r="J35" i="18"/>
  <c r="G5" i="56" s="1"/>
  <c r="H5" i="56" s="1"/>
  <c r="J37" i="50"/>
  <c r="G3" i="56" s="1"/>
  <c r="K37" i="50"/>
  <c r="G37" i="50"/>
  <c r="E3" i="56" s="1"/>
  <c r="K27" i="36"/>
  <c r="G30" i="56"/>
  <c r="G35" i="25"/>
  <c r="E26" i="56" s="1"/>
  <c r="J35" i="25"/>
  <c r="G26" i="56" s="1"/>
  <c r="H26" i="56" s="1"/>
  <c r="K35" i="11"/>
  <c r="G35" i="10"/>
  <c r="E23" i="56" s="1"/>
  <c r="H23" i="56" s="1"/>
  <c r="K23" i="56" s="1"/>
  <c r="K27" i="41"/>
  <c r="H3" i="56"/>
  <c r="K26" i="54"/>
  <c r="G35" i="54"/>
  <c r="E8" i="56" s="1"/>
  <c r="H8" i="56" s="1"/>
  <c r="K8" i="56" s="1"/>
  <c r="K11" i="22"/>
  <c r="G35" i="24"/>
  <c r="G22" i="56"/>
  <c r="L35" i="37"/>
  <c r="J31" i="56" s="1"/>
  <c r="K35" i="37"/>
  <c r="G35" i="37"/>
  <c r="E31" i="56" s="1"/>
  <c r="H31" i="56" s="1"/>
  <c r="K31" i="56" s="1"/>
  <c r="L35" i="25"/>
  <c r="J26" i="56" s="1"/>
  <c r="K35" i="25"/>
  <c r="K43" i="51"/>
  <c r="K26" i="41"/>
  <c r="K25" i="36"/>
  <c r="K25" i="41"/>
  <c r="K24" i="41"/>
  <c r="M23" i="51"/>
  <c r="M24" i="51" s="1"/>
  <c r="M25" i="51" s="1"/>
  <c r="M26" i="51" s="1"/>
  <c r="M27" i="51" s="1"/>
  <c r="M28" i="51" s="1"/>
  <c r="M29" i="51" s="1"/>
  <c r="M30" i="51" s="1"/>
  <c r="M31" i="51" s="1"/>
  <c r="M32" i="51" s="1"/>
  <c r="M33" i="51" s="1"/>
  <c r="K23" i="41"/>
  <c r="K22" i="41"/>
  <c r="K21" i="41"/>
  <c r="K20" i="41"/>
  <c r="K20" i="36"/>
  <c r="K19" i="36"/>
  <c r="K19" i="41"/>
  <c r="K18" i="41"/>
  <c r="K17" i="41"/>
  <c r="K17" i="36"/>
  <c r="K16" i="36"/>
  <c r="K16" i="41"/>
  <c r="K4" i="54"/>
  <c r="K15" i="41"/>
  <c r="K14" i="41"/>
  <c r="K13" i="41"/>
  <c r="K12" i="41"/>
  <c r="K12" i="36"/>
  <c r="K11" i="41"/>
  <c r="K10" i="41"/>
  <c r="K9" i="41"/>
  <c r="N28" i="43"/>
  <c r="N29" i="43" s="1"/>
  <c r="K8" i="41"/>
  <c r="N10" i="43"/>
  <c r="N11" i="43" s="1"/>
  <c r="N12" i="43" s="1"/>
  <c r="N13" i="43" s="1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K6" i="36"/>
  <c r="L7" i="23"/>
  <c r="K7" i="41"/>
  <c r="K6" i="41"/>
  <c r="K4" i="41"/>
  <c r="K31" i="14"/>
  <c r="K36" i="14" s="1"/>
  <c r="K4" i="22"/>
  <c r="K38" i="22"/>
  <c r="L38" i="22" s="1"/>
  <c r="K37" i="22"/>
  <c r="L37" i="22" s="1"/>
  <c r="K36" i="22"/>
  <c r="L36" i="22" s="1"/>
  <c r="K35" i="22"/>
  <c r="K34" i="22"/>
  <c r="L34" i="22" s="1"/>
  <c r="K33" i="22"/>
  <c r="L33" i="22" s="1"/>
  <c r="K32" i="22"/>
  <c r="L32" i="22" s="1"/>
  <c r="K31" i="22"/>
  <c r="L31" i="22" s="1"/>
  <c r="K30" i="22"/>
  <c r="L30" i="22" s="1"/>
  <c r="K29" i="22"/>
  <c r="L29" i="22" s="1"/>
  <c r="K28" i="22"/>
  <c r="L28" i="22" s="1"/>
  <c r="K27" i="22"/>
  <c r="L27" i="22" s="1"/>
  <c r="K24" i="22"/>
  <c r="L24" i="22" s="1"/>
  <c r="K23" i="22"/>
  <c r="K22" i="22"/>
  <c r="K21" i="22"/>
  <c r="L21" i="22" s="1"/>
  <c r="K20" i="22"/>
  <c r="K19" i="22"/>
  <c r="K18" i="22"/>
  <c r="L18" i="22" s="1"/>
  <c r="K17" i="22"/>
  <c r="K16" i="22"/>
  <c r="L16" i="22" s="1"/>
  <c r="K15" i="22"/>
  <c r="L15" i="22" s="1"/>
  <c r="K10" i="22"/>
  <c r="K9" i="22"/>
  <c r="L9" i="22" s="1"/>
  <c r="K8" i="22"/>
  <c r="L8" i="22" s="1"/>
  <c r="K7" i="22"/>
  <c r="K6" i="22"/>
  <c r="L6" i="22" s="1"/>
  <c r="K5" i="22"/>
  <c r="M8" i="44"/>
  <c r="M9" i="44" s="1"/>
  <c r="M10" i="44" s="1"/>
  <c r="K4" i="51"/>
  <c r="K4" i="24"/>
  <c r="K35" i="24" s="1"/>
  <c r="M11" i="44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4" i="50"/>
  <c r="K4" i="47"/>
  <c r="M4" i="47"/>
  <c r="E17" i="56"/>
  <c r="H17" i="56" s="1"/>
  <c r="K17" i="56" s="1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H35" i="46"/>
  <c r="L4" i="46"/>
  <c r="M4" i="12"/>
  <c r="K4" i="18"/>
  <c r="K4" i="32"/>
  <c r="K39" i="32" s="1"/>
  <c r="G35" i="39"/>
  <c r="M4" i="6"/>
  <c r="K4" i="37"/>
  <c r="L4" i="37" s="1"/>
  <c r="K4" i="36"/>
  <c r="K4" i="35"/>
  <c r="K4" i="34"/>
  <c r="K4" i="33"/>
  <c r="L4" i="19"/>
  <c r="K4" i="7"/>
  <c r="M4" i="11"/>
  <c r="K4" i="16"/>
  <c r="K36" i="16" s="1"/>
  <c r="K4" i="9"/>
  <c r="K4" i="10"/>
  <c r="K35" i="10" s="1"/>
  <c r="K4" i="8"/>
  <c r="K35" i="8" s="1"/>
  <c r="K4" i="2"/>
  <c r="K36" i="2" s="1"/>
  <c r="K4" i="26"/>
  <c r="M35" i="14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5" i="11"/>
  <c r="M6" i="11" s="1"/>
  <c r="M7" i="11" s="1"/>
  <c r="M8" i="11" s="1"/>
  <c r="M9" i="11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K4" i="20"/>
  <c r="K4" i="25"/>
  <c r="M5" i="6"/>
  <c r="M6" i="6" s="1"/>
  <c r="M7" i="6" s="1"/>
  <c r="M8" i="6" s="1"/>
  <c r="K4" i="23"/>
  <c r="K4" i="15"/>
  <c r="K4" i="3"/>
  <c r="E22" i="56" l="1"/>
  <c r="E22" i="60"/>
  <c r="K8" i="60"/>
  <c r="J45" i="60"/>
  <c r="K36" i="59"/>
  <c r="L4" i="59"/>
  <c r="L36" i="59" s="1"/>
  <c r="M4" i="23"/>
  <c r="M5" i="23" s="1"/>
  <c r="M6" i="23" s="1"/>
  <c r="M4" i="41"/>
  <c r="M5" i="41" s="1"/>
  <c r="K35" i="41"/>
  <c r="M4" i="16"/>
  <c r="K38" i="16"/>
  <c r="K44" i="56"/>
  <c r="E45" i="56"/>
  <c r="K35" i="58"/>
  <c r="L4" i="58"/>
  <c r="L35" i="58" s="1"/>
  <c r="H30" i="56"/>
  <c r="G45" i="56"/>
  <c r="L35" i="22"/>
  <c r="L39" i="22" s="1"/>
  <c r="K39" i="22"/>
  <c r="M35" i="22"/>
  <c r="M36" i="22" s="1"/>
  <c r="M37" i="22" s="1"/>
  <c r="M38" i="22" s="1"/>
  <c r="J45" i="56"/>
  <c r="K26" i="56"/>
  <c r="H22" i="56"/>
  <c r="K22" i="56" s="1"/>
  <c r="K30" i="56"/>
  <c r="K5" i="56"/>
  <c r="H45" i="56"/>
  <c r="K3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O22" i="44"/>
  <c r="M7" i="23"/>
  <c r="M8" i="23" s="1"/>
  <c r="M9" i="23" s="1"/>
  <c r="M10" i="23" s="1"/>
  <c r="M11" i="23" s="1"/>
  <c r="M12" i="23" s="1"/>
  <c r="L10" i="22"/>
  <c r="M4" i="54"/>
  <c r="M5" i="54" s="1"/>
  <c r="M6" i="54" s="1"/>
  <c r="M7" i="54" s="1"/>
  <c r="M8" i="54" s="1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13" i="23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6" i="4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53" i="44"/>
  <c r="M54" i="44" s="1"/>
  <c r="M55" i="44" s="1"/>
  <c r="M56" i="44" s="1"/>
  <c r="M57" i="44" s="1"/>
  <c r="M58" i="44" s="1"/>
  <c r="M59" i="44" s="1"/>
  <c r="M4" i="26"/>
  <c r="M5" i="26" s="1"/>
  <c r="M6" i="26" s="1"/>
  <c r="M7" i="26" s="1"/>
  <c r="M8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L4" i="24"/>
  <c r="M4" i="24" s="1"/>
  <c r="M4" i="50"/>
  <c r="L4" i="51"/>
  <c r="L4" i="25"/>
  <c r="M4" i="25"/>
  <c r="M5" i="16"/>
  <c r="M6" i="16" s="1"/>
  <c r="L35" i="46"/>
  <c r="M4" i="46"/>
  <c r="M35" i="4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4" i="32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K35" i="39"/>
  <c r="M5" i="39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M16" i="39" s="1"/>
  <c r="M17" i="39" s="1"/>
  <c r="M18" i="39" s="1"/>
  <c r="M19" i="39" s="1"/>
  <c r="M20" i="39" s="1"/>
  <c r="M21" i="39" s="1"/>
  <c r="M22" i="39" s="1"/>
  <c r="M23" i="39" s="1"/>
  <c r="M24" i="39" s="1"/>
  <c r="M25" i="39" s="1"/>
  <c r="M26" i="39" s="1"/>
  <c r="M27" i="39" s="1"/>
  <c r="M28" i="39" s="1"/>
  <c r="M29" i="39" s="1"/>
  <c r="M30" i="39" s="1"/>
  <c r="M31" i="39" s="1"/>
  <c r="M29" i="8"/>
  <c r="M30" i="8" s="1"/>
  <c r="M31" i="8" s="1"/>
  <c r="M32" i="8" s="1"/>
  <c r="M33" i="8" s="1"/>
  <c r="M34" i="8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K43" i="35"/>
  <c r="L4" i="35"/>
  <c r="L4" i="34"/>
  <c r="L4" i="33"/>
  <c r="M9" i="6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4" i="9"/>
  <c r="M5" i="9" s="1"/>
  <c r="M6" i="9" s="1"/>
  <c r="M7" i="9" s="1"/>
  <c r="M8" i="9" s="1"/>
  <c r="M9" i="9" s="1"/>
  <c r="M10" i="9" s="1"/>
  <c r="M11" i="9" s="1"/>
  <c r="M12" i="9" s="1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L4" i="20"/>
  <c r="H22" i="60" l="1"/>
  <c r="E45" i="60"/>
  <c r="K45" i="56"/>
  <c r="K47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4" i="51"/>
  <c r="M35" i="51" s="1"/>
  <c r="M36" i="51" s="1"/>
  <c r="M37" i="51" s="1"/>
  <c r="M38" i="51" s="1"/>
  <c r="M39" i="51" s="1"/>
  <c r="L47" i="35"/>
  <c r="M4" i="35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16" i="15"/>
  <c r="M17" i="15" s="1"/>
  <c r="M18" i="15" s="1"/>
  <c r="M19" i="15" s="1"/>
  <c r="M20" i="15" s="1"/>
  <c r="M21" i="15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10" i="6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4" i="20"/>
  <c r="K22" i="60" l="1"/>
  <c r="K45" i="60" s="1"/>
  <c r="H45" i="60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M33" i="50" s="1"/>
  <c r="M34" i="50" s="1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tc={D76A3085-B4A7-4189-80EE-3EABD4A10957}</author>
    <author>tc={5429F9F2-FAD8-4C41-A702-EDBFED1EC3CE}</author>
  </authors>
  <commentList>
    <comment ref="L4" authorId="0" shapeId="0" xr:uid="{D76A3085-B4A7-4189-80EE-3EABD4A10957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discount</t>
      </text>
    </comment>
    <comment ref="L30" authorId="1" shapeId="0" xr:uid="{5429F9F2-FAD8-4C41-A702-EDBFED1EC3CE}">
      <text>
        <t>[Threaded comment]
Your version of Excel allows you to read this threaded comment; however, any edits to it will get removed if the file is opened in a newer version of Excel. Learn more: https://go.microsoft.com/fwlink/?linkid=870924
Comment:
     fuel discount </t>
      </text>
    </comment>
  </commentList>
</comments>
</file>

<file path=xl/sharedStrings.xml><?xml version="1.0" encoding="utf-8"?>
<sst xmlns="http://schemas.openxmlformats.org/spreadsheetml/2006/main" count="2009" uniqueCount="289">
  <si>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</si>
  <si>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</si>
  <si>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</si>
  <si>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</si>
  <si>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</si>
  <si>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</si>
  <si>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</si>
  <si>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</si>
  <si>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</si>
  <si>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</si>
  <si>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</si>
  <si>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</si>
  <si>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Sri Ramakotaiah Fuel Point</t>
  </si>
  <si>
    <t>Khammam-2</t>
  </si>
  <si>
    <t xml:space="preserve">Divya laxmi ganapathi </t>
  </si>
  <si>
    <t>Khammam-3</t>
  </si>
  <si>
    <t>Jayasai union bunk</t>
  </si>
  <si>
    <t>Jadcherla-1</t>
  </si>
  <si>
    <t>Sai Baba Fuel Station</t>
  </si>
  <si>
    <t>Jadcherla-2</t>
  </si>
  <si>
    <t xml:space="preserve">Uttara Enterprises </t>
  </si>
  <si>
    <t>Jadcherla-3</t>
  </si>
  <si>
    <t>Bhavani  KSK Fuel Station-Nawabpet</t>
  </si>
  <si>
    <t>Jadcherla-4</t>
  </si>
  <si>
    <t xml:space="preserve">ADHOC FILLING STATION STATION </t>
  </si>
  <si>
    <t>Sangareddy-1</t>
  </si>
  <si>
    <t>Shree lakshmi ganapathi F/S</t>
  </si>
  <si>
    <t>Sangareddy-2</t>
  </si>
  <si>
    <t>Sri Durgabhavani Filling Station</t>
  </si>
  <si>
    <t>Sangareddy-3</t>
  </si>
  <si>
    <t>Laxmi Narasimha Enterprises F/S</t>
  </si>
  <si>
    <t>Sangareddy-4</t>
  </si>
  <si>
    <t>Sree Shiva Parvathi Filling Station</t>
  </si>
  <si>
    <t>YG Gudda</t>
  </si>
  <si>
    <t>Pallavi Petrolium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</si>
  <si>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</si>
  <si>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</si>
  <si>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</si>
  <si>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</si>
  <si>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</si>
  <si>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</si>
  <si>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</si>
  <si>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</si>
  <si>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</si>
  <si>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</si>
  <si>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</si>
  <si>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</si>
  <si>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Khanapur(PKG-3)</t>
  </si>
  <si>
    <t>J K Makavi</t>
  </si>
  <si>
    <t>Munavalli(PKG-3)</t>
  </si>
  <si>
    <t>Shahapur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</si>
  <si>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</si>
  <si>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</si>
  <si>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</si>
  <si>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</si>
  <si>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</si>
  <si>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</si>
  <si>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</si>
  <si>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</si>
  <si>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</si>
  <si>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</si>
  <si>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</si>
  <si>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</si>
  <si>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</si>
  <si>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</si>
  <si>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</si>
  <si>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</si>
  <si>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</si>
  <si>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 Shree Siri Gowari petroliam</t>
  </si>
  <si>
    <t>Gajendragada</t>
  </si>
  <si>
    <t>Vanasri Petrol Pump</t>
  </si>
  <si>
    <t>Ghattaprabha(PKG-3)</t>
  </si>
  <si>
    <t>Vivek Petrol Pump</t>
  </si>
  <si>
    <t xml:space="preserve"> Gokak(PKG-3)</t>
  </si>
  <si>
    <t>AJ Petrolinks</t>
  </si>
  <si>
    <t>Ghattaprabha-2(PKG-3)</t>
  </si>
  <si>
    <t>Manikeri Petroleums</t>
  </si>
  <si>
    <t>Ankalgi(PKG-3)</t>
  </si>
  <si>
    <t>Nirwani Petroleums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</si>
  <si>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</si>
  <si>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</si>
  <si>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</si>
  <si>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</si>
  <si>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</si>
  <si>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</si>
  <si>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</si>
  <si>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</si>
  <si>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Almela(PKG-1)</t>
  </si>
  <si>
    <t>Shiddeshwar Petroleums</t>
  </si>
  <si>
    <t>Srirangapatna</t>
  </si>
  <si>
    <t>Sri Chakra Fuel Station</t>
  </si>
  <si>
    <t>Nalatwad(PKG-1)</t>
  </si>
  <si>
    <t>Shri Pawad Basaweshwar Petroleums</t>
  </si>
  <si>
    <t>Total</t>
  </si>
  <si>
    <t>Dindi</t>
  </si>
  <si>
    <t xml:space="preserve"> Shree Siri Gowari petroliam</t>
  </si>
  <si>
    <t>ShankeshWAR</t>
  </si>
  <si>
    <t>SR Patil</t>
  </si>
  <si>
    <t> 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</si>
  <si>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</si>
  <si>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</si>
  <si>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</si>
  <si>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</si>
  <si>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</si>
  <si>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</si>
  <si>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</si>
  <si>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</si>
  <si>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</si>
  <si>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</si>
  <si>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</si>
  <si>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</si>
  <si>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</si>
  <si>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.</t>
  </si>
  <si>
    <t>x</t>
  </si>
  <si>
    <t>As on date</t>
  </si>
  <si>
    <t>As on Date</t>
  </si>
  <si>
    <t>Sangareddy</t>
  </si>
  <si>
    <t>SRI DURGABHAVANI FILLING STATION BPCL</t>
  </si>
  <si>
    <t>BPCL</t>
  </si>
  <si>
    <t>LAXMI NARASIMHA ENTERPRISES</t>
  </si>
  <si>
    <t>IOCL</t>
  </si>
  <si>
    <t>Sree Shiva Parvathi Filling Station F/S BPCL</t>
  </si>
  <si>
    <t>Ind no/Bill No</t>
  </si>
  <si>
    <t>1569/1570</t>
  </si>
  <si>
    <t>`</t>
  </si>
  <si>
    <t>Sreenithya Petroleum</t>
  </si>
  <si>
    <t>Date of payment</t>
  </si>
  <si>
    <t>raja bhakshi</t>
  </si>
  <si>
    <t>02.05.2025</t>
  </si>
  <si>
    <t>IOCL Card</t>
  </si>
  <si>
    <t>03.05.2025</t>
  </si>
  <si>
    <t>04.05.2025</t>
  </si>
  <si>
    <t>05.05.2025</t>
  </si>
  <si>
    <t>07.05.2025</t>
  </si>
  <si>
    <t>09.05.2025</t>
  </si>
  <si>
    <t>10.05.2025</t>
  </si>
  <si>
    <t>12.05.2025</t>
  </si>
  <si>
    <t>14.05.2025</t>
  </si>
  <si>
    <t>15.05.2025</t>
  </si>
  <si>
    <t>17.05.2025</t>
  </si>
  <si>
    <t>20.05.2025</t>
  </si>
  <si>
    <t>21.05.2025</t>
  </si>
  <si>
    <t>22.05.2025</t>
  </si>
  <si>
    <t>23.05.2025</t>
  </si>
  <si>
    <t>24.05.2025</t>
  </si>
  <si>
    <t>26.05.2025</t>
  </si>
  <si>
    <t>27.05.2025</t>
  </si>
  <si>
    <t>29.05.2025</t>
  </si>
  <si>
    <t>30..05.2025</t>
  </si>
  <si>
    <t>31.05.2025</t>
  </si>
  <si>
    <t>NA</t>
  </si>
  <si>
    <t>25.05.2025</t>
  </si>
  <si>
    <t>11.05.2025</t>
  </si>
  <si>
    <t>16.05.2025</t>
  </si>
  <si>
    <t>28.05.2025</t>
  </si>
  <si>
    <t>30.05.2025</t>
  </si>
  <si>
    <t xml:space="preserve"> S R PATIL</t>
  </si>
  <si>
    <t>Cash Transfer</t>
  </si>
  <si>
    <t xml:space="preserve"> </t>
  </si>
  <si>
    <t>Krishna fuel station</t>
  </si>
  <si>
    <t>IOCL Card Ledger</t>
  </si>
  <si>
    <t>Petrol Bunk Name</t>
  </si>
  <si>
    <t>Location</t>
  </si>
  <si>
    <t>Card No</t>
  </si>
  <si>
    <t>Recharge Amount</t>
  </si>
  <si>
    <t>Redeem</t>
  </si>
  <si>
    <t>01.05.2025</t>
  </si>
  <si>
    <t>SIDDESWARA PETROLEUMS</t>
  </si>
  <si>
    <t>SINDGI</t>
  </si>
  <si>
    <t>7126022478060237</t>
  </si>
  <si>
    <t>RAYKAR OIL AGENCIES</t>
  </si>
  <si>
    <t>Talikote</t>
  </si>
  <si>
    <t>7126022478060252</t>
  </si>
  <si>
    <t>SHREE SIRI GOWRI PETROLEUM</t>
  </si>
  <si>
    <t>MASUR</t>
  </si>
  <si>
    <t>7126022478060286</t>
  </si>
  <si>
    <t>TAWARE FILLING STATION</t>
  </si>
  <si>
    <t>Guital</t>
  </si>
  <si>
    <t>7126022478060278</t>
  </si>
  <si>
    <t>KRISHNA FUEL STATION</t>
  </si>
  <si>
    <t>KUMTA</t>
  </si>
  <si>
    <t>7126022478060039</t>
  </si>
  <si>
    <t>HARIOM SALES</t>
  </si>
  <si>
    <t>Murtizapur</t>
  </si>
  <si>
    <t>7126022478060062</t>
  </si>
  <si>
    <t>SRI RAMANJANEYA SERVICE STN</t>
  </si>
  <si>
    <t xml:space="preserve">NITTUR CROSS  </t>
  </si>
  <si>
    <t>7126022478060120</t>
  </si>
  <si>
    <t>SREE VISHNUBABA PETROLEUM</t>
  </si>
  <si>
    <t>NAGAREMGERE</t>
  </si>
  <si>
    <t>7126022478060146</t>
  </si>
  <si>
    <t>SHRI JAI HANUMAN PETROLEUMS</t>
  </si>
  <si>
    <t>KABBUR</t>
  </si>
  <si>
    <t>7126022478060195</t>
  </si>
  <si>
    <t>SHREE SAUNDATTI RENUKA DEVI</t>
  </si>
  <si>
    <t>SAUNDATTI</t>
  </si>
  <si>
    <t>7126022478060260</t>
  </si>
  <si>
    <t>SHRI SAI PETROL PUMP</t>
  </si>
  <si>
    <t>MALKAPUR CITY</t>
  </si>
  <si>
    <t>ANUPAMA FUEL STATION</t>
  </si>
  <si>
    <t>Srirangapatana</t>
  </si>
  <si>
    <t>7126022478060104</t>
  </si>
  <si>
    <t>BHOSLE SERVICE STATION</t>
  </si>
  <si>
    <t>Muddebihal</t>
  </si>
  <si>
    <t>7126022478060245</t>
  </si>
  <si>
    <t>06.05.2025</t>
  </si>
  <si>
    <t>SRI CHAKRA FUEL STATION</t>
  </si>
  <si>
    <t>NITTUR CROSS      -DAVANGERE</t>
  </si>
  <si>
    <t>PALLAVI PETROLEUM</t>
  </si>
  <si>
    <t>Ramanagaram</t>
  </si>
  <si>
    <t>7126022478060138</t>
  </si>
  <si>
    <t>Hiriyur</t>
  </si>
  <si>
    <t>7126022478060161</t>
  </si>
  <si>
    <t>08.05.2025</t>
  </si>
  <si>
    <t>SRI KRISHNA SERVO CENTRE</t>
  </si>
  <si>
    <t>JALGAON CITY</t>
  </si>
  <si>
    <t>SHANTAI PETROLEUM</t>
  </si>
  <si>
    <t>PURNAD</t>
  </si>
  <si>
    <t>SHIVALINGESHWAR PETROLEUM</t>
  </si>
  <si>
    <t>Guttal Road</t>
  </si>
  <si>
    <t>7126022478060096</t>
  </si>
  <si>
    <t>Shree Veerabhadreshwara Service station</t>
  </si>
  <si>
    <t>Malebennur</t>
  </si>
  <si>
    <t>NIRWANI PETROLEUMS</t>
  </si>
  <si>
    <t>Ankalgi</t>
  </si>
  <si>
    <t>7126022478060047</t>
  </si>
  <si>
    <t>TELSANG PETROLEUM</t>
  </si>
  <si>
    <t xml:space="preserve">SADALGA </t>
  </si>
  <si>
    <t>7161000000114827</t>
  </si>
  <si>
    <t>SHRI PAWAD BASAWESHWAR PETROLEUMS</t>
  </si>
  <si>
    <t>NALATWAD</t>
  </si>
  <si>
    <t>7161000000114843</t>
  </si>
  <si>
    <t>13.05.2025</t>
  </si>
  <si>
    <t>PRAVEEN B PATTANSHETTI</t>
  </si>
  <si>
    <t>Saundatti</t>
  </si>
  <si>
    <t>J. B. PETROLEUM</t>
  </si>
  <si>
    <t>CHIKHLI</t>
  </si>
  <si>
    <t>BPCL Card Ledger</t>
  </si>
  <si>
    <t xml:space="preserve">SHAHAPUR PETROLEUM </t>
  </si>
  <si>
    <t>FC8000207648</t>
  </si>
  <si>
    <t>JUBILEE HILLS FILL.</t>
  </si>
  <si>
    <t>FC3450563999</t>
  </si>
  <si>
    <t>AL MEHBOOB PETROLEUM</t>
  </si>
  <si>
    <t>FC8000207650</t>
  </si>
  <si>
    <t>V.V.VARDE BHARAT PETROLEUM DEALERS</t>
  </si>
  <si>
    <t>FC8000207649</t>
  </si>
  <si>
    <t xml:space="preserve">AL MEHBOOB PETROLEUM </t>
  </si>
  <si>
    <t xml:space="preserve"> FC8000207650</t>
  </si>
  <si>
    <t xml:space="preserve">SAI PRIYA FILLING STATION </t>
  </si>
  <si>
    <t>FC8000207658</t>
  </si>
  <si>
    <t>MAHMOOD FILLING STATION</t>
  </si>
  <si>
    <t>SHRI BRAHMANATH PETROLEUM</t>
  </si>
  <si>
    <t xml:space="preserve">SANDHYA FUEL STATION </t>
  </si>
  <si>
    <t>SANDHYA FUEL STATION</t>
  </si>
  <si>
    <t xml:space="preserve"> FC3450563999</t>
  </si>
  <si>
    <t xml:space="preserve">V.V.VARDE BHARAT </t>
  </si>
  <si>
    <t>V.V.VARDE BHARAT</t>
  </si>
  <si>
    <t xml:space="preserve">RAJA LAXMI FILLING STATION </t>
  </si>
  <si>
    <t>18.05.2025</t>
  </si>
  <si>
    <t xml:space="preserve">SREE SHIVA PARVATI FILLING  </t>
  </si>
  <si>
    <t>FC8000207659</t>
  </si>
  <si>
    <t xml:space="preserve">MAHMOOD FILLING STATION  </t>
  </si>
  <si>
    <t>V.V.VARDE BHARAT PETROLEUM</t>
  </si>
  <si>
    <t xml:space="preserve">SHRI BRAHMANATH PETROLEUM  </t>
  </si>
  <si>
    <t xml:space="preserve">SREE SHIVA PARVATI FILLING STA </t>
  </si>
  <si>
    <t>SREE SHIVA PARVATI FILLING STA</t>
  </si>
  <si>
    <t>THUMU VENKATRAO FILLING</t>
  </si>
  <si>
    <t>SREE MARUTHI FUEL STATION</t>
  </si>
  <si>
    <t>FC0323247261</t>
  </si>
  <si>
    <t>AKARAPU BALAKISTAMMA FILLLING</t>
  </si>
  <si>
    <t xml:space="preserve">MAHMOOD FILLING STATION </t>
  </si>
  <si>
    <t>SHAHAPUR PETROLEUM</t>
  </si>
  <si>
    <t>SHREE SAI SAMARTH PETROLEUM</t>
  </si>
  <si>
    <t xml:space="preserve">SAI BABA FILLING STATION </t>
  </si>
  <si>
    <t>FC3450563998</t>
  </si>
  <si>
    <t>FC3450676134</t>
  </si>
  <si>
    <t>HPCL Card Ledger</t>
  </si>
  <si>
    <t>VIVEK PETROLEUM</t>
  </si>
  <si>
    <t>8200079004507062</t>
  </si>
  <si>
    <t>DIVYA LAXMI GANAPATHI AUTO SERVICES</t>
  </si>
  <si>
    <t>8200079000522057</t>
  </si>
  <si>
    <t>8200079004507088</t>
  </si>
  <si>
    <t>M/s. Sri Rama Kotaiah Fuel Point</t>
  </si>
  <si>
    <t>AJ PETROLINKS</t>
  </si>
  <si>
    <t xml:space="preserve">  </t>
  </si>
  <si>
    <t>UTTARA ENTERPRISES</t>
  </si>
  <si>
    <t>820007900522041</t>
  </si>
  <si>
    <t>04.06.2025</t>
  </si>
  <si>
    <t>05.06.2025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</si>
</sst>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C6E0B4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89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7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8" xfId="1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8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center"/>
    </xf>
    <xf numFmtId="0" fontId="0" fillId="0" borderId="7" xfId="0" applyBorder="1"/>
    <xf numFmtId="0" fontId="4" fillId="0" borderId="7" xfId="0" applyFont="1" applyBorder="1" applyAlignment="1">
      <alignment horizontal="center" vertical="center" wrapText="1"/>
    </xf>
    <xf numFmtId="164" fontId="4" fillId="0" borderId="16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4" fontId="11" fillId="0" borderId="7" xfId="1" applyFont="1" applyFill="1" applyBorder="1" applyAlignment="1">
      <alignment horizontal="center" vertical="center"/>
    </xf>
    <xf numFmtId="164" fontId="11" fillId="0" borderId="7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 wrapText="1"/>
    </xf>
    <xf numFmtId="2" fontId="13" fillId="0" borderId="7" xfId="0" applyNumberFormat="1" applyFont="1" applyBorder="1" applyAlignment="1">
      <alignment horizontal="right" vertical="center"/>
    </xf>
    <xf numFmtId="2" fontId="0" fillId="0" borderId="7" xfId="0" applyNumberFormat="1" applyBorder="1"/>
    <xf numFmtId="164" fontId="4" fillId="0" borderId="7" xfId="1" applyFont="1" applyBorder="1" applyAlignment="1">
      <alignment vertical="center"/>
    </xf>
    <xf numFmtId="2" fontId="4" fillId="0" borderId="7" xfId="0" applyNumberFormat="1" applyFont="1" applyBorder="1" applyAlignment="1">
      <alignment horizontal="right" vertical="center" wrapText="1"/>
    </xf>
    <xf numFmtId="164" fontId="10" fillId="4" borderId="10" xfId="1" applyFont="1" applyFill="1" applyBorder="1" applyAlignment="1">
      <alignment horizontal="center" vertical="center"/>
    </xf>
    <xf numFmtId="164" fontId="10" fillId="4" borderId="11" xfId="1" applyFont="1" applyFill="1" applyBorder="1" applyAlignment="1">
      <alignment horizontal="center" vertical="center"/>
    </xf>
    <xf numFmtId="2" fontId="10" fillId="4" borderId="7" xfId="0" applyNumberFormat="1" applyFont="1" applyFill="1" applyBorder="1" applyAlignment="1">
      <alignment horizontal="center" vertical="center"/>
    </xf>
    <xf numFmtId="164" fontId="10" fillId="4" borderId="7" xfId="1" applyFont="1" applyFill="1" applyBorder="1" applyAlignment="1">
      <alignment horizontal="center" vertical="center"/>
    </xf>
    <xf numFmtId="0" fontId="6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43" fontId="4" fillId="0" borderId="7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7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2" fontId="5" fillId="4" borderId="7" xfId="0" applyNumberFormat="1" applyFont="1" applyFill="1" applyBorder="1" applyAlignment="1">
      <alignment horizontal="center" vertical="center"/>
    </xf>
    <xf numFmtId="164" fontId="5" fillId="4" borderId="7" xfId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0" fontId="4" fillId="0" borderId="7" xfId="0" applyFont="1" applyBorder="1" applyAlignment="1">
      <alignment vertical="center"/>
    </xf>
    <xf numFmtId="164" fontId="4" fillId="0" borderId="7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164" fontId="4" fillId="4" borderId="7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4" fontId="4" fillId="0" borderId="7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6" xfId="0" applyFont="1" applyBorder="1"/>
    <xf numFmtId="0" fontId="0" fillId="0" borderId="17" xfId="0" applyBorder="1"/>
    <xf numFmtId="0" fontId="19" fillId="0" borderId="7" xfId="0" applyFont="1" applyBorder="1"/>
    <xf numFmtId="2" fontId="19" fillId="0" borderId="7" xfId="0" applyNumberFormat="1" applyFont="1" applyBorder="1"/>
    <xf numFmtId="0" fontId="0" fillId="0" borderId="14" xfId="0" applyBorder="1"/>
    <xf numFmtId="0" fontId="15" fillId="3" borderId="1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7" xfId="0" applyFont="1" applyFill="1" applyBorder="1" applyAlignment="1">
      <alignment horizontal="center" vertical="center"/>
    </xf>
    <xf numFmtId="43" fontId="4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/>
    <xf numFmtId="164" fontId="10" fillId="4" borderId="22" xfId="1" applyFont="1" applyFill="1" applyBorder="1" applyAlignment="1">
      <alignment horizontal="center" vertical="center"/>
    </xf>
    <xf numFmtId="164" fontId="0" fillId="0" borderId="7" xfId="0" applyNumberFormat="1" applyBorder="1"/>
    <xf numFmtId="0" fontId="12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43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4" fillId="0" borderId="23" xfId="1" applyFont="1" applyFill="1" applyBorder="1" applyAlignment="1">
      <alignment horizontal="center" vertical="center"/>
    </xf>
    <xf numFmtId="43" fontId="12" fillId="3" borderId="21" xfId="0" applyNumberFormat="1" applyFont="1" applyFill="1" applyBorder="1" applyAlignment="1">
      <alignment horizontal="center" vertical="center" wrapText="1"/>
    </xf>
    <xf numFmtId="43" fontId="12" fillId="3" borderId="8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43" fontId="12" fillId="3" borderId="8" xfId="0" applyNumberFormat="1" applyFont="1" applyFill="1" applyBorder="1" applyAlignment="1">
      <alignment horizontal="center" vertical="center"/>
    </xf>
    <xf numFmtId="43" fontId="12" fillId="3" borderId="21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4" fillId="0" borderId="9" xfId="3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4" fontId="7" fillId="0" borderId="16" xfId="0" applyNumberFormat="1" applyFont="1" applyBorder="1" applyAlignment="1">
      <alignment horizont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43" fontId="15" fillId="3" borderId="17" xfId="0" applyNumberFormat="1" applyFont="1" applyFill="1" applyBorder="1" applyAlignment="1">
      <alignment horizontal="center" vertical="center" wrapText="1"/>
    </xf>
    <xf numFmtId="43" fontId="15" fillId="3" borderId="17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16" xfId="1" applyFont="1" applyBorder="1" applyAlignment="1">
      <alignment horizontal="center" vertical="top"/>
    </xf>
    <xf numFmtId="164" fontId="10" fillId="0" borderId="7" xfId="1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164" fontId="0" fillId="0" borderId="0" xfId="0" applyNumberFormat="1"/>
    <xf numFmtId="43" fontId="0" fillId="0" borderId="7" xfId="0" applyNumberFormat="1" applyBorder="1"/>
    <xf numFmtId="164" fontId="21" fillId="0" borderId="27" xfId="1" applyFont="1" applyBorder="1" applyAlignment="1">
      <alignment horizontal="center"/>
    </xf>
    <xf numFmtId="0" fontId="0" fillId="0" borderId="16" xfId="0" applyBorder="1"/>
    <xf numFmtId="43" fontId="15" fillId="3" borderId="8" xfId="0" applyNumberFormat="1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/>
    </xf>
    <xf numFmtId="164" fontId="4" fillId="0" borderId="12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top"/>
    </xf>
    <xf numFmtId="164" fontId="4" fillId="0" borderId="9" xfId="1" applyFont="1" applyBorder="1" applyAlignment="1">
      <alignment vertical="center"/>
    </xf>
    <xf numFmtId="43" fontId="15" fillId="3" borderId="21" xfId="0" applyNumberFormat="1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43" fontId="4" fillId="0" borderId="16" xfId="0" applyNumberFormat="1" applyFont="1" applyBorder="1" applyAlignment="1">
      <alignment horizontal="center" vertical="center" wrapText="1"/>
    </xf>
    <xf numFmtId="164" fontId="0" fillId="0" borderId="15" xfId="0" applyNumberFormat="1" applyBorder="1"/>
    <xf numFmtId="0" fontId="12" fillId="3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/>
    </xf>
    <xf numFmtId="43" fontId="6" fillId="2" borderId="7" xfId="0" applyNumberFormat="1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horizontal="center"/>
    </xf>
    <xf numFmtId="2" fontId="4" fillId="0" borderId="16" xfId="0" applyNumberFormat="1" applyFont="1" applyBorder="1"/>
    <xf numFmtId="0" fontId="15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43" fontId="15" fillId="2" borderId="7" xfId="0" applyNumberFormat="1" applyFont="1" applyFill="1" applyBorder="1" applyAlignment="1">
      <alignment horizontal="center" vertical="center" wrapText="1"/>
    </xf>
    <xf numFmtId="43" fontId="15" fillId="2" borderId="7" xfId="0" applyNumberFormat="1" applyFont="1" applyFill="1" applyBorder="1" applyAlignment="1">
      <alignment horizontal="center" vertical="center"/>
    </xf>
    <xf numFmtId="164" fontId="4" fillId="0" borderId="7" xfId="0" applyNumberFormat="1" applyFont="1" applyBorder="1" applyAlignment="1">
      <alignment vertical="center"/>
    </xf>
    <xf numFmtId="2" fontId="5" fillId="4" borderId="16" xfId="0" applyNumberFormat="1" applyFont="1" applyFill="1" applyBorder="1" applyAlignment="1">
      <alignment horizontal="center" vertical="center"/>
    </xf>
    <xf numFmtId="164" fontId="5" fillId="4" borderId="16" xfId="1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right"/>
    </xf>
    <xf numFmtId="164" fontId="5" fillId="0" borderId="7" xfId="1" applyFont="1" applyBorder="1" applyAlignment="1">
      <alignment horizontal="center" vertical="center" indent="1"/>
    </xf>
    <xf numFmtId="0" fontId="6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3" fontId="12" fillId="3" borderId="7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20" fillId="2" borderId="7" xfId="0" applyFont="1" applyFill="1" applyBorder="1"/>
    <xf numFmtId="2" fontId="0" fillId="2" borderId="7" xfId="0" applyNumberFormat="1" applyFill="1" applyBorder="1"/>
    <xf numFmtId="0" fontId="6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4" fillId="0" borderId="17" xfId="0" applyFont="1" applyBorder="1"/>
    <xf numFmtId="14" fontId="4" fillId="0" borderId="17" xfId="0" applyNumberFormat="1" applyFont="1" applyBorder="1" applyAlignment="1">
      <alignment horizontal="center"/>
    </xf>
    <xf numFmtId="2" fontId="4" fillId="0" borderId="17" xfId="0" applyNumberFormat="1" applyFont="1" applyBorder="1"/>
    <xf numFmtId="2" fontId="4" fillId="0" borderId="17" xfId="0" applyNumberFormat="1" applyFont="1" applyBorder="1" applyAlignment="1">
      <alignment horizontal="right"/>
    </xf>
    <xf numFmtId="43" fontId="6" fillId="2" borderId="17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5" fillId="3" borderId="17" xfId="0" applyNumberFormat="1" applyFont="1" applyFill="1" applyBorder="1" applyAlignment="1">
      <alignment horizontal="center" vertical="center"/>
    </xf>
    <xf numFmtId="0" fontId="4" fillId="0" borderId="7" xfId="1" applyNumberFormat="1" applyFont="1" applyBorder="1" applyAlignment="1">
      <alignment vertical="center"/>
    </xf>
    <xf numFmtId="0" fontId="4" fillId="0" borderId="15" xfId="0" applyFont="1" applyBorder="1"/>
    <xf numFmtId="2" fontId="5" fillId="0" borderId="0" xfId="0" applyNumberFormat="1" applyFont="1"/>
    <xf numFmtId="2" fontId="10" fillId="4" borderId="10" xfId="0" applyNumberFormat="1" applyFont="1" applyFill="1" applyBorder="1" applyAlignment="1">
      <alignment horizontal="center" vertical="center"/>
    </xf>
    <xf numFmtId="2" fontId="0" fillId="0" borderId="16" xfId="0" applyNumberFormat="1" applyBorder="1"/>
    <xf numFmtId="0" fontId="11" fillId="0" borderId="17" xfId="0" applyFont="1" applyBorder="1" applyAlignment="1">
      <alignment horizontal="center" vertical="center"/>
    </xf>
    <xf numFmtId="2" fontId="10" fillId="4" borderId="32" xfId="0" applyNumberFormat="1" applyFont="1" applyFill="1" applyBorder="1" applyAlignment="1">
      <alignment horizontal="center" vertical="center"/>
    </xf>
    <xf numFmtId="164" fontId="4" fillId="0" borderId="15" xfId="1" applyFont="1" applyBorder="1" applyAlignment="1">
      <alignment vertical="center"/>
    </xf>
    <xf numFmtId="164" fontId="4" fillId="0" borderId="17" xfId="1" applyFont="1" applyBorder="1" applyAlignment="1">
      <alignment horizontal="center" vertical="center"/>
    </xf>
    <xf numFmtId="164" fontId="4" fillId="4" borderId="16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164" fontId="4" fillId="0" borderId="12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8" xfId="0" applyNumberFormat="1" applyFont="1" applyFill="1" applyBorder="1" applyAlignment="1">
      <alignment horizontal="right" vertical="center" wrapText="1"/>
    </xf>
    <xf numFmtId="164" fontId="4" fillId="0" borderId="9" xfId="1" applyFont="1" applyBorder="1" applyAlignment="1">
      <alignment horizontal="right" vertical="center"/>
    </xf>
    <xf numFmtId="0" fontId="4" fillId="0" borderId="7" xfId="3" applyNumberFormat="1" applyFont="1" applyBorder="1" applyAlignment="1">
      <alignment vertical="center"/>
    </xf>
    <xf numFmtId="3" fontId="4" fillId="0" borderId="7" xfId="3" applyNumberFormat="1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2" fontId="4" fillId="4" borderId="16" xfId="0" applyNumberFormat="1" applyFont="1" applyFill="1" applyBorder="1" applyAlignment="1">
      <alignment horizontal="center" vertical="center"/>
    </xf>
    <xf numFmtId="164" fontId="4" fillId="0" borderId="17" xfId="1" applyFont="1" applyBorder="1" applyAlignment="1">
      <alignment vertical="center"/>
    </xf>
    <xf numFmtId="164" fontId="4" fillId="0" borderId="15" xfId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2" fillId="3" borderId="7" xfId="0" applyFont="1" applyFill="1" applyBorder="1" applyAlignment="1">
      <alignment horizontal="right" vertical="center" wrapText="1"/>
    </xf>
    <xf numFmtId="164" fontId="10" fillId="4" borderId="7" xfId="1" applyFont="1" applyFill="1" applyBorder="1" applyAlignment="1">
      <alignment horizontal="right" vertical="center"/>
    </xf>
    <xf numFmtId="0" fontId="4" fillId="0" borderId="17" xfId="0" applyFont="1" applyBorder="1" applyAlignment="1">
      <alignment vertical="center"/>
    </xf>
    <xf numFmtId="0" fontId="4" fillId="0" borderId="16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164" fontId="11" fillId="0" borderId="14" xfId="1" applyFont="1" applyBorder="1" applyAlignment="1">
      <alignment horizontal="center" vertical="center"/>
    </xf>
    <xf numFmtId="164" fontId="11" fillId="0" borderId="15" xfId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right" vertical="center"/>
    </xf>
    <xf numFmtId="164" fontId="11" fillId="0" borderId="7" xfId="1" applyFont="1" applyBorder="1" applyAlignment="1">
      <alignment horizontal="left" vertical="top"/>
    </xf>
    <xf numFmtId="165" fontId="4" fillId="0" borderId="14" xfId="0" applyNumberFormat="1" applyFont="1" applyBorder="1" applyAlignment="1">
      <alignment horizontal="center"/>
    </xf>
    <xf numFmtId="164" fontId="10" fillId="0" borderId="17" xfId="1" applyFont="1" applyBorder="1" applyAlignment="1">
      <alignment horizontal="center" vertical="center"/>
    </xf>
    <xf numFmtId="0" fontId="11" fillId="0" borderId="17" xfId="0" applyFont="1" applyBorder="1"/>
    <xf numFmtId="164" fontId="11" fillId="0" borderId="17" xfId="0" applyNumberFormat="1" applyFont="1" applyBorder="1"/>
    <xf numFmtId="2" fontId="10" fillId="4" borderId="16" xfId="0" applyNumberFormat="1" applyFont="1" applyFill="1" applyBorder="1" applyAlignment="1">
      <alignment horizontal="center" vertical="center"/>
    </xf>
    <xf numFmtId="164" fontId="10" fillId="4" borderId="16" xfId="1" applyFont="1" applyFill="1" applyBorder="1" applyAlignment="1">
      <alignment horizontal="center" vertical="center"/>
    </xf>
    <xf numFmtId="0" fontId="14" fillId="0" borderId="7" xfId="3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0" borderId="21" xfId="3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4" fillId="0" borderId="16" xfId="1" applyNumberFormat="1" applyFont="1" applyBorder="1" applyAlignment="1">
      <alignment vertical="center"/>
    </xf>
    <xf numFmtId="164" fontId="4" fillId="0" borderId="16" xfId="1" applyFont="1" applyBorder="1" applyAlignment="1">
      <alignment vertical="center"/>
    </xf>
    <xf numFmtId="2" fontId="6" fillId="2" borderId="7" xfId="0" applyNumberFormat="1" applyFont="1" applyFill="1" applyBorder="1" applyAlignment="1">
      <alignment horizontal="center" vertical="center"/>
    </xf>
    <xf numFmtId="164" fontId="4" fillId="0" borderId="33" xfId="1" applyFont="1" applyBorder="1" applyAlignment="1">
      <alignment horizontal="center" vertical="center"/>
    </xf>
    <xf numFmtId="164" fontId="4" fillId="0" borderId="12" xfId="1" applyFont="1" applyBorder="1" applyAlignment="1">
      <alignment horizontal="center" vertical="top"/>
    </xf>
    <xf numFmtId="164" fontId="4" fillId="0" borderId="13" xfId="1" applyFont="1" applyBorder="1" applyAlignment="1">
      <alignment horizontal="center" vertical="top"/>
    </xf>
    <xf numFmtId="0" fontId="4" fillId="0" borderId="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2" fontId="0" fillId="0" borderId="17" xfId="0" applyNumberFormat="1" applyBorder="1"/>
    <xf numFmtId="0" fontId="15" fillId="2" borderId="4" xfId="0" applyFont="1" applyFill="1" applyBorder="1" applyAlignment="1">
      <alignment horizontal="center" vertical="center"/>
    </xf>
    <xf numFmtId="2" fontId="15" fillId="3" borderId="17" xfId="0" applyNumberFormat="1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/>
    </xf>
    <xf numFmtId="0" fontId="15" fillId="2" borderId="17" xfId="0" applyFont="1" applyFill="1" applyBorder="1" applyAlignment="1">
      <alignment horizontal="center" vertical="center" wrapText="1"/>
    </xf>
    <xf numFmtId="164" fontId="10" fillId="0" borderId="17" xfId="1" applyFont="1" applyBorder="1" applyAlignment="1">
      <alignment vertical="center"/>
    </xf>
    <xf numFmtId="164" fontId="0" fillId="0" borderId="17" xfId="0" applyNumberFormat="1" applyBorder="1"/>
    <xf numFmtId="164" fontId="11" fillId="0" borderId="16" xfId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165" fontId="4" fillId="0" borderId="29" xfId="0" applyNumberFormat="1" applyFont="1" applyBorder="1" applyAlignment="1">
      <alignment horizontal="center"/>
    </xf>
    <xf numFmtId="164" fontId="4" fillId="0" borderId="5" xfId="1" applyFont="1" applyBorder="1" applyAlignment="1">
      <alignment vertical="center"/>
    </xf>
    <xf numFmtId="165" fontId="4" fillId="0" borderId="34" xfId="0" applyNumberFormat="1" applyFont="1" applyBorder="1" applyAlignment="1">
      <alignment horizontal="center"/>
    </xf>
    <xf numFmtId="0" fontId="0" fillId="0" borderId="26" xfId="0" applyBorder="1"/>
    <xf numFmtId="0" fontId="4" fillId="0" borderId="1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165" fontId="15" fillId="3" borderId="17" xfId="0" applyNumberFormat="1" applyFont="1" applyFill="1" applyBorder="1" applyAlignment="1">
      <alignment horizontal="center" vertical="center" wrapText="1"/>
    </xf>
    <xf numFmtId="15" fontId="20" fillId="2" borderId="7" xfId="0" applyNumberFormat="1" applyFont="1" applyFill="1" applyBorder="1"/>
    <xf numFmtId="2" fontId="20" fillId="0" borderId="17" xfId="0" applyNumberFormat="1" applyFont="1" applyBorder="1"/>
    <xf numFmtId="1" fontId="0" fillId="0" borderId="7" xfId="0" applyNumberFormat="1" applyBorder="1"/>
    <xf numFmtId="0" fontId="6" fillId="0" borderId="17" xfId="0" applyFont="1" applyBorder="1"/>
    <xf numFmtId="0" fontId="0" fillId="5" borderId="0" xfId="0" applyFill="1"/>
    <xf numFmtId="0" fontId="23" fillId="0" borderId="0" xfId="0" applyFont="1"/>
    <xf numFmtId="2" fontId="12" fillId="3" borderId="7" xfId="0" applyNumberFormat="1" applyFont="1" applyFill="1" applyBorder="1" applyAlignment="1">
      <alignment horizontal="center" vertical="center" wrapText="1"/>
    </xf>
    <xf numFmtId="2" fontId="10" fillId="0" borderId="17" xfId="1" applyNumberFormat="1" applyFont="1" applyBorder="1" applyAlignment="1">
      <alignment vertical="center"/>
    </xf>
    <xf numFmtId="2" fontId="10" fillId="4" borderId="7" xfId="1" applyNumberFormat="1" applyFont="1" applyFill="1" applyBorder="1" applyAlignment="1">
      <alignment horizontal="right" vertical="center"/>
    </xf>
    <xf numFmtId="2" fontId="15" fillId="3" borderId="8" xfId="0" applyNumberFormat="1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/>
    </xf>
    <xf numFmtId="0" fontId="19" fillId="0" borderId="17" xfId="0" applyFont="1" applyBorder="1"/>
    <xf numFmtId="0" fontId="24" fillId="0" borderId="0" xfId="0" applyFont="1"/>
    <xf numFmtId="2" fontId="12" fillId="3" borderId="7" xfId="0" applyNumberFormat="1" applyFont="1" applyFill="1" applyBorder="1" applyAlignment="1">
      <alignment horizontal="right" vertical="center" wrapText="1"/>
    </xf>
    <xf numFmtId="2" fontId="10" fillId="4" borderId="7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wrapText="1"/>
    </xf>
    <xf numFmtId="164" fontId="4" fillId="2" borderId="7" xfId="1" applyFont="1" applyFill="1" applyBorder="1" applyAlignment="1">
      <alignment horizontal="center" vertical="center"/>
    </xf>
    <xf numFmtId="2" fontId="0" fillId="0" borderId="29" xfId="0" applyNumberFormat="1" applyBorder="1"/>
    <xf numFmtId="164" fontId="10" fillId="0" borderId="14" xfId="1" applyFont="1" applyBorder="1" applyAlignment="1">
      <alignment vertical="center"/>
    </xf>
    <xf numFmtId="0" fontId="0" fillId="0" borderId="15" xfId="0" applyBorder="1"/>
    <xf numFmtId="164" fontId="11" fillId="0" borderId="12" xfId="1" applyFont="1" applyBorder="1" applyAlignment="1">
      <alignment horizontal="center" vertical="center"/>
    </xf>
    <xf numFmtId="164" fontId="11" fillId="0" borderId="6" xfId="1" applyFont="1" applyBorder="1" applyAlignment="1">
      <alignment horizontal="center" vertical="center"/>
    </xf>
    <xf numFmtId="164" fontId="11" fillId="0" borderId="23" xfId="1" applyFont="1" applyBorder="1" applyAlignment="1">
      <alignment horizontal="center" vertical="center"/>
    </xf>
    <xf numFmtId="164" fontId="11" fillId="0" borderId="30" xfId="1" applyFont="1" applyBorder="1" applyAlignment="1">
      <alignment horizontal="center" vertical="center"/>
    </xf>
    <xf numFmtId="2" fontId="0" fillId="0" borderId="14" xfId="0" applyNumberFormat="1" applyBorder="1"/>
    <xf numFmtId="2" fontId="0" fillId="0" borderId="15" xfId="0" applyNumberFormat="1" applyBorder="1"/>
    <xf numFmtId="2" fontId="0" fillId="0" borderId="30" xfId="0" applyNumberFormat="1" applyBorder="1"/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0" fontId="15" fillId="3" borderId="17" xfId="0" applyFont="1" applyFill="1" applyBorder="1" applyAlignment="1">
      <alignment horizontal="right" vertical="center" wrapText="1"/>
    </xf>
    <xf numFmtId="1" fontId="4" fillId="0" borderId="9" xfId="1" applyNumberFormat="1" applyFont="1" applyBorder="1" applyAlignment="1">
      <alignment horizontal="center" vertical="center"/>
    </xf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9" fillId="7" borderId="0" xfId="0" applyFont="1" applyFill="1"/>
    <xf numFmtId="0" fontId="0" fillId="0" borderId="16" xfId="0" applyBorder="1" applyAlignment="1">
      <alignment horizontal="center"/>
    </xf>
    <xf numFmtId="0" fontId="0" fillId="2" borderId="14" xfId="0" applyFill="1" applyBorder="1"/>
    <xf numFmtId="0" fontId="20" fillId="2" borderId="0" xfId="0" applyFont="1" applyFill="1"/>
    <xf numFmtId="0" fontId="0" fillId="2" borderId="7" xfId="0" quotePrefix="1" applyFill="1" applyBorder="1" applyAlignment="1">
      <alignment horizontal="right"/>
    </xf>
    <xf numFmtId="2" fontId="0" fillId="2" borderId="16" xfId="0" applyNumberFormat="1" applyFill="1" applyBorder="1"/>
    <xf numFmtId="0" fontId="6" fillId="2" borderId="7" xfId="0" applyFont="1" applyFill="1" applyBorder="1" applyAlignment="1">
      <alignment horizontal="center"/>
    </xf>
    <xf numFmtId="2" fontId="0" fillId="2" borderId="17" xfId="0" applyNumberFormat="1" applyFill="1" applyBorder="1"/>
    <xf numFmtId="4" fontId="0" fillId="2" borderId="7" xfId="0" applyNumberFormat="1" applyFill="1" applyBorder="1"/>
    <xf numFmtId="0" fontId="0" fillId="2" borderId="0" xfId="0" applyFill="1"/>
    <xf numFmtId="0" fontId="20" fillId="2" borderId="7" xfId="0" quotePrefix="1" applyFont="1" applyFill="1" applyBorder="1" applyAlignment="1">
      <alignment horizontal="right"/>
    </xf>
    <xf numFmtId="0" fontId="0" fillId="2" borderId="29" xfId="0" applyFill="1" applyBorder="1"/>
    <xf numFmtId="0" fontId="20" fillId="2" borderId="17" xfId="0" applyFont="1" applyFill="1" applyBorder="1"/>
    <xf numFmtId="0" fontId="20" fillId="2" borderId="17" xfId="0" quotePrefix="1" applyFont="1" applyFill="1" applyBorder="1" applyAlignment="1">
      <alignment horizontal="right"/>
    </xf>
    <xf numFmtId="0" fontId="0" fillId="2" borderId="17" xfId="0" applyFill="1" applyBorder="1"/>
    <xf numFmtId="0" fontId="16" fillId="5" borderId="7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/>
    </xf>
    <xf numFmtId="2" fontId="25" fillId="6" borderId="14" xfId="0" applyNumberFormat="1" applyFont="1" applyFill="1" applyBorder="1" applyAlignment="1">
      <alignment horizontal="center"/>
    </xf>
    <xf numFmtId="2" fontId="25" fillId="6" borderId="26" xfId="0" applyNumberFormat="1" applyFont="1" applyFill="1" applyBorder="1" applyAlignment="1">
      <alignment horizontal="center"/>
    </xf>
    <xf numFmtId="2" fontId="25" fillId="6" borderId="15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164" fontId="4" fillId="0" borderId="14" xfId="1" applyFont="1" applyBorder="1" applyAlignment="1">
      <alignment horizontal="center" vertical="center"/>
    </xf>
    <xf numFmtId="164" fontId="4" fillId="0" borderId="23" xfId="1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21" xfId="1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/>
    </xf>
    <xf numFmtId="0" fontId="0" fillId="2" borderId="16" xfId="0" applyFill="1" applyBorder="1"/>
    <xf numFmtId="0" fontId="20" fillId="2" borderId="16" xfId="0" applyFont="1" applyFill="1" applyBorder="1"/>
    <xf numFmtId="0" fontId="20" fillId="2" borderId="7" xfId="0" applyFont="1" applyFill="1" applyBorder="1" applyAlignment="1">
      <alignment wrapText="1"/>
    </xf>
    <xf numFmtId="4" fontId="0" fillId="2" borderId="0" xfId="0" applyNumberFormat="1" applyFill="1"/>
    <xf numFmtId="0" fontId="0" fillId="2" borderId="17" xfId="0" quotePrefix="1" applyFill="1" applyBorder="1" applyAlignment="1">
      <alignment horizontal="right"/>
    </xf>
    <xf numFmtId="0" fontId="0" fillId="2" borderId="16" xfId="0" quotePrefix="1" applyFill="1" applyBorder="1" applyAlignment="1">
      <alignment horizontal="right"/>
    </xf>
    <xf numFmtId="0" fontId="0" fillId="2" borderId="30" xfId="0" applyFill="1" applyBorder="1"/>
    <xf numFmtId="0" fontId="0" fillId="2" borderId="7" xfId="0" applyFill="1" applyBorder="1" applyAlignment="1">
      <alignment wrapText="1"/>
    </xf>
    <xf numFmtId="4" fontId="0" fillId="2" borderId="17" xfId="0" applyNumberFormat="1" applyFill="1" applyBorder="1"/>
    <xf numFmtId="0" fontId="0" fillId="2" borderId="17" xfId="0" applyFill="1" applyBorder="1" applyAlignment="1">
      <alignment wrapText="1"/>
    </xf>
    <xf numFmtId="2" fontId="4" fillId="0" borderId="7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43" fontId="25" fillId="6" borderId="14" xfId="0" applyNumberFormat="1" applyFont="1" applyFill="1" applyBorder="1" applyAlignment="1">
      <alignment horizontal="center" indent="1"/>
    </xf>
    <xf numFmtId="43" fontId="25" fillId="6" borderId="26" xfId="0" applyNumberFormat="1" applyFont="1" applyFill="1" applyBorder="1" applyAlignment="1">
      <alignment horizontal="center" indent="1"/>
    </xf>
    <xf numFmtId="43" fontId="25" fillId="6" borderId="15" xfId="0" applyNumberFormat="1" applyFont="1" applyFill="1" applyBorder="1" applyAlignment="1">
      <alignment horizontal="center" indent="1"/>
    </xf>
    <xf numFmtId="2" fontId="0" fillId="0" borderId="16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43" fontId="6" fillId="2" borderId="7" xfId="0" applyNumberFormat="1" applyFont="1" applyFill="1" applyBorder="1"/>
    <xf numFmtId="0" fontId="0" fillId="2" borderId="15" xfId="0" applyFill="1" applyBorder="1" applyAlignment="1">
      <alignment horizontal="center"/>
    </xf>
    <xf numFmtId="0" fontId="19" fillId="2" borderId="17" xfId="0" applyFont="1" applyFill="1" applyBorder="1" applyAlignment="1">
      <alignment horizontal="right"/>
    </xf>
    <xf numFmtId="2" fontId="0" fillId="2" borderId="7" xfId="0" applyNumberFormat="1" applyFill="1" applyBorder="1" applyAlignment="1">
      <alignment horizontal="center"/>
    </xf>
    <xf numFmtId="0" fontId="0" fillId="2" borderId="34" xfId="0" applyFill="1" applyBorder="1"/>
    <xf numFmtId="0" fontId="0" fillId="2" borderId="17" xfId="0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20" fillId="0" borderId="15" xfId="0" quotePrefix="1" applyFont="1" applyBorder="1" applyAlignment="1">
      <alignment horizontal="left"/>
    </xf>
    <xf numFmtId="0" fontId="20" fillId="0" borderId="0" xfId="0" applyFont="1"/>
    <xf numFmtId="0" fontId="0" fillId="2" borderId="14" xfId="0" quotePrefix="1" applyFill="1" applyBorder="1" applyAlignment="1">
      <alignment horizontal="right"/>
    </xf>
    <xf numFmtId="2" fontId="0" fillId="2" borderId="35" xfId="0" applyNumberFormat="1" applyFill="1" applyBorder="1"/>
    <xf numFmtId="2" fontId="0" fillId="2" borderId="17" xfId="0" applyNumberFormat="1" applyFill="1" applyBorder="1" applyAlignment="1">
      <alignment horizontal="center"/>
    </xf>
    <xf numFmtId="4" fontId="6" fillId="0" borderId="7" xfId="0" applyNumberFormat="1" applyFont="1" applyBorder="1"/>
    <xf numFmtId="1" fontId="0" fillId="0" borderId="7" xfId="0" quotePrefix="1" applyNumberFormat="1" applyBorder="1"/>
    <xf numFmtId="1" fontId="0" fillId="0" borderId="17" xfId="0" quotePrefix="1" applyNumberFormat="1" applyBorder="1"/>
    <xf numFmtId="1" fontId="0" fillId="0" borderId="0" xfId="0" applyNumberFormat="1"/>
    <xf numFmtId="0" fontId="27" fillId="8" borderId="36" xfId="0" applyFont="1" applyFill="1" applyBorder="1"/>
    <xf numFmtId="0" fontId="27" fillId="8" borderId="37" xfId="0" applyFont="1" applyFill="1" applyBorder="1"/>
    <xf numFmtId="2" fontId="27" fillId="8" borderId="37" xfId="0" applyNumberFormat="1" applyFont="1" applyFill="1" applyBorder="1"/>
    <xf numFmtId="2" fontId="27" fillId="8" borderId="38" xfId="0" applyNumberFormat="1" applyFont="1" applyFill="1" applyBorder="1"/>
    <xf numFmtId="2" fontId="28" fillId="9" borderId="43" xfId="0" applyNumberFormat="1" applyFont="1" applyFill="1" applyBorder="1"/>
    <xf numFmtId="169" fontId="28" fillId="9" borderId="43" xfId="0" applyNumberFormat="1" applyFont="1" applyFill="1" applyBorder="1"/>
    <xf numFmtId="0" fontId="22" fillId="0" borderId="15" xfId="0" applyFont="1" applyBorder="1"/>
    <xf numFmtId="164" fontId="0" fillId="0" borderId="0" xfId="0" applyNumberFormat="1" applyAlignment="1">
      <alignment horizontal="center"/>
    </xf>
    <xf numFmtId="0" fontId="29" fillId="0" borderId="7" xfId="0" applyFont="1" applyBorder="1" applyAlignment="1">
      <alignment horizontal="center"/>
    </xf>
    <xf numFmtId="164" fontId="29" fillId="0" borderId="7" xfId="1" applyFont="1" applyBorder="1" applyAlignment="1">
      <alignment horizontal="center" vertical="center"/>
    </xf>
    <xf numFmtId="1" fontId="0" fillId="9" borderId="7" xfId="0" applyNumberFormat="1" applyFill="1" applyBorder="1"/>
    <xf numFmtId="0" fontId="20" fillId="2" borderId="14" xfId="0" applyFont="1" applyFill="1" applyBorder="1"/>
    <xf numFmtId="1" fontId="0" fillId="10" borderId="7" xfId="0" applyNumberFormat="1" applyFill="1" applyBorder="1"/>
    <xf numFmtId="1" fontId="20" fillId="10" borderId="7" xfId="0" applyNumberFormat="1" applyFont="1" applyFill="1" applyBorder="1"/>
    <xf numFmtId="1" fontId="20" fillId="10" borderId="15" xfId="0" applyNumberFormat="1" applyFont="1" applyFill="1" applyBorder="1"/>
    <xf numFmtId="1" fontId="30" fillId="10" borderId="7" xfId="0" applyNumberFormat="1" applyFont="1" applyFill="1" applyBorder="1"/>
    <xf numFmtId="1" fontId="4" fillId="10" borderId="5" xfId="1" applyNumberFormat="1" applyFont="1" applyFill="1" applyBorder="1" applyAlignment="1">
      <alignment vertical="center"/>
    </xf>
    <xf numFmtId="0" fontId="20" fillId="0" borderId="16" xfId="0" applyFont="1" applyBorder="1"/>
    <xf numFmtId="0" fontId="15" fillId="3" borderId="8" xfId="0" applyFont="1" applyFill="1" applyBorder="1" applyAlignment="1">
      <alignment vertical="center" wrapText="1"/>
    </xf>
    <xf numFmtId="166" fontId="4" fillId="0" borderId="7" xfId="0" applyNumberFormat="1" applyFont="1" applyBorder="1"/>
    <xf numFmtId="164" fontId="5" fillId="4" borderId="7" xfId="1" applyFont="1" applyFill="1" applyBorder="1" applyAlignment="1">
      <alignment vertical="center"/>
    </xf>
    <xf numFmtId="15" fontId="6" fillId="0" borderId="7" xfId="0" applyNumberFormat="1" applyFont="1" applyBorder="1"/>
    <xf numFmtId="0" fontId="20" fillId="0" borderId="15" xfId="0" applyFont="1" applyBorder="1"/>
    <xf numFmtId="15" fontId="6" fillId="0" borderId="16" xfId="0" applyNumberFormat="1" applyFont="1" applyBorder="1"/>
    <xf numFmtId="0" fontId="20" fillId="0" borderId="44" xfId="0" applyFont="1" applyBorder="1"/>
    <xf numFmtId="164" fontId="10" fillId="0" borderId="29" xfId="1" applyFont="1" applyBorder="1" applyAlignment="1">
      <alignment vertical="center"/>
    </xf>
    <xf numFmtId="0" fontId="20" fillId="0" borderId="26" xfId="0" applyFont="1" applyBorder="1"/>
    <xf numFmtId="0" fontId="0" fillId="0" borderId="30" xfId="0" applyBorder="1"/>
    <xf numFmtId="2" fontId="0" fillId="10" borderId="7" xfId="0" applyNumberFormat="1" applyFill="1" applyBorder="1"/>
    <xf numFmtId="0" fontId="6" fillId="10" borderId="16" xfId="0" applyFont="1" applyFill="1" applyBorder="1"/>
    <xf numFmtId="0" fontId="6" fillId="11" borderId="16" xfId="0" applyFont="1" applyFill="1" applyBorder="1"/>
    <xf numFmtId="0" fontId="0" fillId="12" borderId="7" xfId="0" applyFill="1" applyBorder="1"/>
    <xf numFmtId="1" fontId="4" fillId="0" borderId="7" xfId="0" applyNumberFormat="1" applyFont="1" applyBorder="1"/>
    <xf numFmtId="0" fontId="6" fillId="0" borderId="44" xfId="0" applyFont="1" applyBorder="1"/>
    <xf numFmtId="0" fontId="31" fillId="13" borderId="36" xfId="0" applyFont="1" applyFill="1" applyBorder="1" applyAlignment="1">
      <alignment horizontal="center" vertical="center"/>
    </xf>
    <xf numFmtId="0" fontId="31" fillId="13" borderId="45" xfId="0" applyFont="1" applyFill="1" applyBorder="1" applyAlignment="1">
      <alignment horizontal="center" vertical="center"/>
    </xf>
    <xf numFmtId="0" fontId="31" fillId="13" borderId="4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 wrapText="1"/>
    </xf>
    <xf numFmtId="43" fontId="20" fillId="0" borderId="7" xfId="0" applyNumberFormat="1" applyFont="1" applyBorder="1"/>
    <xf numFmtId="43" fontId="6" fillId="0" borderId="7" xfId="0" applyNumberFormat="1" applyFont="1" applyBorder="1"/>
    <xf numFmtId="0" fontId="6" fillId="0" borderId="26" xfId="0" applyFont="1" applyBorder="1"/>
    <xf numFmtId="1" fontId="6" fillId="2" borderId="15" xfId="0" applyNumberFormat="1" applyFont="1" applyFill="1" applyBorder="1" applyAlignment="1">
      <alignment horizontal="center" vertical="center"/>
    </xf>
    <xf numFmtId="1" fontId="6" fillId="2" borderId="44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16" xfId="0" applyNumberFormat="1" applyFont="1" applyFill="1" applyBorder="1" applyAlignment="1">
      <alignment horizontal="center" vertical="center"/>
    </xf>
    <xf numFmtId="1" fontId="29" fillId="2" borderId="44" xfId="0" applyNumberFormat="1" applyFont="1" applyFill="1" applyBorder="1" applyAlignment="1">
      <alignment horizontal="center" vertical="center"/>
    </xf>
    <xf numFmtId="1" fontId="29" fillId="2" borderId="15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29" fillId="2" borderId="16" xfId="0" applyNumberFormat="1" applyFont="1" applyFill="1" applyBorder="1" applyAlignment="1">
      <alignment horizontal="center" vertical="center"/>
    </xf>
    <xf numFmtId="1" fontId="6" fillId="14" borderId="44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5" borderId="13" xfId="0" applyFont="1" applyFill="1" applyBorder="1" applyAlignment="1">
      <alignment horizontal="center"/>
    </xf>
    <xf numFmtId="0" fontId="28" fillId="9" borderId="40" xfId="0" applyFont="1" applyFill="1" applyBorder="1" applyAlignment="1">
      <alignment horizontal="center"/>
    </xf>
    <xf numFmtId="0" fontId="28" fillId="9" borderId="41" xfId="0" applyFont="1" applyFill="1" applyBorder="1" applyAlignment="1">
      <alignment horizontal="center"/>
    </xf>
    <xf numFmtId="0" fontId="28" fillId="9" borderId="42" xfId="0" applyFont="1" applyFill="1" applyBorder="1" applyAlignment="1">
      <alignment horizontal="center"/>
    </xf>
    <xf numFmtId="0" fontId="28" fillId="9" borderId="7" xfId="0" applyFont="1" applyFill="1" applyBorder="1" applyAlignment="1">
      <alignment horizontal="center"/>
    </xf>
    <xf numFmtId="0" fontId="32" fillId="14" borderId="14" xfId="0" applyFont="1" applyFill="1" applyBorder="1" applyAlignment="1">
      <alignment horizontal="center" vertical="center"/>
    </xf>
    <xf numFmtId="0" fontId="32" fillId="14" borderId="26" xfId="0" applyFont="1" applyFill="1" applyBorder="1" applyAlignment="1">
      <alignment horizontal="center" vertical="center"/>
    </xf>
    <xf numFmtId="0" fontId="32" fillId="14" borderId="15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7" fillId="5" borderId="13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5" borderId="1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6" fillId="5" borderId="0" xfId="0" applyFont="1" applyFill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horizontal="center" vertical="center"/>
    </xf>
    <xf numFmtId="43" fontId="5" fillId="2" borderId="15" xfId="0" applyNumberFormat="1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wrapText="1"/>
    </xf>
    <xf numFmtId="2" fontId="16" fillId="5" borderId="7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5" borderId="0" xfId="0" applyFont="1" applyFill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1" fillId="0" borderId="39" xfId="0" applyFont="1" applyBorder="1"/>
    <xf numFmtId="0" fontId="1" fillId="0" borderId="7" xfId="0" applyFont="1" applyBorder="1"/>
    <xf numFmtId="0" fontId="1" fillId="0" borderId="14" xfId="0" applyFont="1" applyBorder="1"/>
    <xf numFmtId="0" fontId="1" fillId="0" borderId="7" xfId="0" applyFont="1" applyBorder="1" applyAlignment="1">
      <alignment wrapText="1"/>
    </xf>
    <xf numFmtId="0" fontId="1" fillId="0" borderId="14" xfId="0" applyFont="1" applyBorder="1" applyAlignment="1">
      <alignment wrapText="1"/>
    </xf>
    <xf numFmtId="2" fontId="1" fillId="0" borderId="7" xfId="0" applyNumberFormat="1" applyFont="1" applyBorder="1"/>
    <xf numFmtId="2" fontId="1" fillId="0" borderId="14" xfId="0" applyNumberFormat="1" applyFont="1" applyBorder="1"/>
  </cellXfs>
  <cellStyles count="4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45EE16EE-A7DD-4CC1-B5D4-5C213C4B5B28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04-02T06:54:39.11" personId="{45EE16EE-A7DD-4CC1-B5D4-5C213C4B5B28}" id="{D76A3085-B4A7-4189-80EE-3EABD4A10957}">
    <text>discount</text>
  </threadedComment>
  <threadedComment ref="L30" dT="2025-05-28T05:05:58.31" personId="{45EE16EE-A7DD-4CC1-B5D4-5C213C4B5B28}" id="{5429F9F2-FAD8-4C41-A702-EDBFED1EC3CE}">
    <text> fuel discount </text>
  </threadedComment>
</ThreadedComment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7E20-622B-4D77-9106-288DCA6BFCC7}">
  <dimension ref="A1:K49"/>
  <sheetViews>
    <sheetView workbookViewId="0">
      <selection activeCell="A2" sqref="A2:XFD4"/>
    </sheetView>
  </sheetViews>
  <sheetFormatPr defaultColWidth="20.28515625" defaultRowHeight="15"/>
  <cols>
    <col min="1" max="1" width="7.7109375" customWidth="1"/>
    <col min="2" max="2" width="23.7109375" customWidth="1"/>
    <col min="3" max="3" width="34.5703125" bestFit="1" customWidth="1"/>
    <col min="4" max="4" width="13" customWidth="1"/>
    <col min="5" max="5" width="14" customWidth="1"/>
    <col min="6" max="6" width="11.7109375" customWidth="1"/>
    <col min="7" max="7" width="13.140625" customWidth="1"/>
    <col min="8" max="8" width="14.28515625" customWidth="1"/>
    <col min="9" max="9" width="18.5703125" customWidth="1"/>
    <col min="10" max="10" width="13.7109375" customWidth="1"/>
    <col min="11" max="11" width="16.42578125" customWidth="1"/>
  </cols>
  <sheetData>
    <row r="1" spans="1:11">
      <c r="A1" s="372" t="s">
        <v>0</v>
      </c>
      <c r="B1" s="373" t="s">
        <v>1</v>
      </c>
      <c r="C1" s="373" t="s">
        <v>2</v>
      </c>
      <c r="D1" s="374" t="s">
        <v>3</v>
      </c>
      <c r="E1" s="374" t="s">
        <v>4</v>
      </c>
      <c r="F1" s="374" t="s">
        <v>5</v>
      </c>
      <c r="G1" s="374" t="s">
        <v>6</v>
      </c>
      <c r="H1" s="374" t="s">
        <v>7</v>
      </c>
      <c r="I1" s="374" t="s">
        <v>8</v>
      </c>
      <c r="J1" s="374" t="s">
        <v>9</v>
      </c>
      <c r="K1" s="375" t="s">
        <v>10</v>
      </c>
    </row>
    <row r="2" spans="1:11">
      <c r="A2" s="482">
        <v>1</v>
      </c>
      <c r="B2" s="483" t="s">
        <v>11</v>
      </c>
      <c r="C2" s="484" t="s">
        <v>12</v>
      </c>
      <c r="D2" s="404">
        <v>11984.26</v>
      </c>
      <c r="E2" s="404">
        <v>1146653.9968000001</v>
      </c>
      <c r="F2" s="404">
        <v>130</v>
      </c>
      <c r="G2" s="404">
        <v>13969.8</v>
      </c>
      <c r="H2" s="404">
        <f>E2+G2</f>
        <v>1160623.7968000001</v>
      </c>
      <c r="I2" s="404">
        <v>5140597</v>
      </c>
      <c r="J2" s="404">
        <v>2500000</v>
      </c>
      <c r="K2" s="404">
        <f>I2+H2-J2</f>
        <v>3801220.7968000006</v>
      </c>
    </row>
    <row r="3" spans="1:11">
      <c r="A3" s="482">
        <v>2</v>
      </c>
      <c r="B3" s="483" t="s">
        <v>13</v>
      </c>
      <c r="C3" s="484" t="s">
        <v>14</v>
      </c>
      <c r="D3" s="404">
        <v>118512.26</v>
      </c>
      <c r="E3" s="404">
        <v>11339228.036800001</v>
      </c>
      <c r="F3" s="404">
        <v>535</v>
      </c>
      <c r="G3" s="404">
        <v>57491.099999999991</v>
      </c>
      <c r="H3" s="404">
        <f>E3+G3</f>
        <v>11396719.1368</v>
      </c>
      <c r="I3" s="404">
        <v>3730421</v>
      </c>
      <c r="J3" s="404">
        <v>1500000</v>
      </c>
      <c r="K3" s="404">
        <f>I3+H3-J3</f>
        <v>13627140.1368</v>
      </c>
    </row>
    <row r="4" spans="1:11">
      <c r="A4" s="482">
        <v>3</v>
      </c>
      <c r="B4" s="483" t="s">
        <v>15</v>
      </c>
      <c r="C4" s="484" t="s">
        <v>16</v>
      </c>
      <c r="D4" s="404">
        <v>33155.089999999997</v>
      </c>
      <c r="E4" s="404">
        <v>3172942.1129999999</v>
      </c>
      <c r="F4" s="404">
        <v>70</v>
      </c>
      <c r="G4" s="404">
        <v>7523.6</v>
      </c>
      <c r="H4" s="404">
        <f>E4+G4</f>
        <v>3180465.713</v>
      </c>
      <c r="I4" s="404">
        <v>8891075.4399999995</v>
      </c>
      <c r="J4" s="404">
        <v>2000000</v>
      </c>
      <c r="K4" s="404">
        <f>I4+H4-J4</f>
        <v>10071541.152999999</v>
      </c>
    </row>
    <row r="5" spans="1:11">
      <c r="A5" s="482">
        <v>4</v>
      </c>
      <c r="B5" s="483" t="s">
        <v>17</v>
      </c>
      <c r="C5" s="484" t="s">
        <v>18</v>
      </c>
      <c r="D5" s="404">
        <v>6550.84</v>
      </c>
      <c r="E5" s="404">
        <v>631631.99279999989</v>
      </c>
      <c r="F5" s="404">
        <v>305.75</v>
      </c>
      <c r="G5" s="404">
        <v>33091.322500000002</v>
      </c>
      <c r="H5" s="404">
        <f>E5+G5</f>
        <v>664723.3152999999</v>
      </c>
      <c r="I5" s="404">
        <v>1966837.0260999999</v>
      </c>
      <c r="J5" s="404">
        <v>0</v>
      </c>
      <c r="K5" s="404">
        <f>I5+H5-J5</f>
        <v>2631560.3413999998</v>
      </c>
    </row>
    <row r="6" spans="1:11">
      <c r="A6" s="482">
        <v>5</v>
      </c>
      <c r="B6" s="483" t="s">
        <v>19</v>
      </c>
      <c r="C6" s="484" t="s">
        <v>20</v>
      </c>
      <c r="D6" s="404">
        <v>0</v>
      </c>
      <c r="E6" s="404">
        <v>0</v>
      </c>
      <c r="F6" s="404">
        <v>0</v>
      </c>
      <c r="G6" s="404">
        <v>0</v>
      </c>
      <c r="H6" s="404">
        <f>E6+G6</f>
        <v>0</v>
      </c>
      <c r="I6" s="404">
        <v>1832240.6062999999</v>
      </c>
      <c r="J6" s="404">
        <v>0</v>
      </c>
      <c r="K6" s="404">
        <f>I6+H6-J6</f>
        <v>1832240.6062999999</v>
      </c>
    </row>
    <row r="7" spans="1:11">
      <c r="A7" s="482">
        <v>6</v>
      </c>
      <c r="B7" s="483" t="s">
        <v>21</v>
      </c>
      <c r="C7" s="484" t="s">
        <v>22</v>
      </c>
      <c r="D7" s="404">
        <v>4040</v>
      </c>
      <c r="E7" s="404">
        <v>389092.4</v>
      </c>
      <c r="F7" s="404">
        <v>0</v>
      </c>
      <c r="G7" s="404">
        <v>0</v>
      </c>
      <c r="H7" s="404">
        <f>E7+G7</f>
        <v>389092.4</v>
      </c>
      <c r="I7" s="404">
        <v>0</v>
      </c>
      <c r="J7" s="404">
        <v>0</v>
      </c>
      <c r="K7" s="404">
        <f>I7+H7-J7</f>
        <v>389092.4</v>
      </c>
    </row>
    <row r="8" spans="1:11">
      <c r="A8" s="482">
        <v>7</v>
      </c>
      <c r="B8" s="483" t="s">
        <v>23</v>
      </c>
      <c r="C8" s="484" t="s">
        <v>24</v>
      </c>
      <c r="D8" s="404">
        <v>11600</v>
      </c>
      <c r="E8" s="404">
        <v>1118588</v>
      </c>
      <c r="F8" s="404">
        <v>0</v>
      </c>
      <c r="G8" s="404">
        <v>0</v>
      </c>
      <c r="H8" s="404">
        <f>E8+G8</f>
        <v>1118588</v>
      </c>
      <c r="I8" s="404">
        <v>0</v>
      </c>
      <c r="J8" s="404">
        <v>0</v>
      </c>
      <c r="K8" s="404">
        <f>I8+H8-J8</f>
        <v>1118588</v>
      </c>
    </row>
    <row r="9" spans="1:11">
      <c r="A9" s="482">
        <v>8</v>
      </c>
      <c r="B9" s="483" t="s">
        <v>25</v>
      </c>
      <c r="C9" s="484" t="s">
        <v>26</v>
      </c>
      <c r="D9" s="404">
        <v>4185.96</v>
      </c>
      <c r="E9" s="404">
        <v>403359.10560000001</v>
      </c>
      <c r="F9" s="404">
        <v>62</v>
      </c>
      <c r="G9" s="404">
        <v>6706.54</v>
      </c>
      <c r="H9" s="404">
        <f>E9+G9</f>
        <v>410065.64559999999</v>
      </c>
      <c r="I9" s="404">
        <v>1004531.9846000002</v>
      </c>
      <c r="J9" s="404">
        <v>1414699.8099999998</v>
      </c>
      <c r="K9" s="404">
        <v>0</v>
      </c>
    </row>
    <row r="10" spans="1:11">
      <c r="A10" s="482">
        <v>9</v>
      </c>
      <c r="B10" s="483" t="s">
        <v>27</v>
      </c>
      <c r="C10" s="484" t="s">
        <v>28</v>
      </c>
      <c r="D10" s="404">
        <v>165</v>
      </c>
      <c r="E10" s="404">
        <v>15912</v>
      </c>
      <c r="F10" s="404">
        <v>16</v>
      </c>
      <c r="G10" s="404">
        <v>1732.96</v>
      </c>
      <c r="H10" s="404">
        <f>E10+G10</f>
        <v>17644.96</v>
      </c>
      <c r="I10" s="404">
        <v>0</v>
      </c>
      <c r="J10" s="404">
        <v>17644.96</v>
      </c>
      <c r="K10" s="404">
        <f t="shared" ref="K9:K40" si="0">I10+H10-J10</f>
        <v>0</v>
      </c>
    </row>
    <row r="11" spans="1:11">
      <c r="A11" s="482">
        <v>10</v>
      </c>
      <c r="B11" s="483" t="s">
        <v>29</v>
      </c>
      <c r="C11" s="484" t="s">
        <v>30</v>
      </c>
      <c r="D11" s="404">
        <v>40</v>
      </c>
      <c r="E11" s="404">
        <v>3849</v>
      </c>
      <c r="F11" s="404">
        <v>0</v>
      </c>
      <c r="G11" s="404">
        <v>0</v>
      </c>
      <c r="H11" s="404">
        <f>E11+G11</f>
        <v>3849</v>
      </c>
      <c r="I11" s="404">
        <v>0</v>
      </c>
      <c r="J11" s="404">
        <v>3849</v>
      </c>
      <c r="K11" s="404">
        <f t="shared" si="0"/>
        <v>0</v>
      </c>
    </row>
    <row r="12" spans="1:11">
      <c r="A12" s="482">
        <v>11</v>
      </c>
      <c r="B12" s="483" t="s">
        <v>31</v>
      </c>
      <c r="C12" s="484" t="s">
        <v>32</v>
      </c>
      <c r="D12" s="404">
        <v>1459.79</v>
      </c>
      <c r="E12" s="404">
        <v>140476</v>
      </c>
      <c r="F12" s="404">
        <v>16</v>
      </c>
      <c r="G12" s="404">
        <v>1732.96</v>
      </c>
      <c r="H12" s="404">
        <f>E12+G12</f>
        <v>142208.95999999999</v>
      </c>
      <c r="I12" s="404">
        <v>0</v>
      </c>
      <c r="J12" s="404">
        <v>142208.95999999999</v>
      </c>
      <c r="K12" s="404">
        <f t="shared" si="0"/>
        <v>0</v>
      </c>
    </row>
    <row r="13" spans="1:11">
      <c r="A13" s="482">
        <v>12</v>
      </c>
      <c r="B13" s="483" t="s">
        <v>33</v>
      </c>
      <c r="C13" s="484" t="s">
        <v>34</v>
      </c>
      <c r="D13" s="404">
        <v>3800</v>
      </c>
      <c r="E13" s="404">
        <v>346940</v>
      </c>
      <c r="F13" s="404">
        <v>385</v>
      </c>
      <c r="G13" s="404">
        <v>39747.399999999994</v>
      </c>
      <c r="H13" s="404">
        <f>E13+G13</f>
        <v>386687.4</v>
      </c>
      <c r="I13" s="404">
        <v>244365</v>
      </c>
      <c r="J13" s="404">
        <v>299920</v>
      </c>
      <c r="K13" s="404">
        <f t="shared" si="0"/>
        <v>331132.40000000002</v>
      </c>
    </row>
    <row r="14" spans="1:11">
      <c r="A14" s="482">
        <v>13</v>
      </c>
      <c r="B14" s="483" t="s">
        <v>35</v>
      </c>
      <c r="C14" s="484" t="s">
        <v>36</v>
      </c>
      <c r="D14" s="404">
        <v>4500</v>
      </c>
      <c r="E14" s="404">
        <v>412380</v>
      </c>
      <c r="F14" s="404">
        <v>140</v>
      </c>
      <c r="G14" s="404">
        <v>14777</v>
      </c>
      <c r="H14" s="404">
        <f>E14+G14</f>
        <v>427157</v>
      </c>
      <c r="I14" s="404">
        <v>0</v>
      </c>
      <c r="J14" s="404">
        <v>150000</v>
      </c>
      <c r="K14" s="404">
        <f t="shared" si="0"/>
        <v>277157</v>
      </c>
    </row>
    <row r="15" spans="1:11">
      <c r="A15" s="482">
        <v>14</v>
      </c>
      <c r="B15" s="483" t="s">
        <v>37</v>
      </c>
      <c r="C15" s="484" t="s">
        <v>38</v>
      </c>
      <c r="D15" s="404">
        <v>2000</v>
      </c>
      <c r="E15" s="404">
        <v>182780</v>
      </c>
      <c r="F15" s="404">
        <v>135</v>
      </c>
      <c r="G15" s="404">
        <v>13967.1</v>
      </c>
      <c r="H15" s="404">
        <f>E15+G15</f>
        <v>196747.1</v>
      </c>
      <c r="I15" s="404">
        <v>151569.40000000002</v>
      </c>
      <c r="J15" s="404">
        <v>150000</v>
      </c>
      <c r="K15" s="404">
        <f t="shared" si="0"/>
        <v>198316.5</v>
      </c>
    </row>
    <row r="16" spans="1:11">
      <c r="A16" s="482">
        <v>15</v>
      </c>
      <c r="B16" s="485" t="s">
        <v>39</v>
      </c>
      <c r="C16" s="486" t="s">
        <v>40</v>
      </c>
      <c r="D16" s="404">
        <v>3277.82</v>
      </c>
      <c r="E16" s="404">
        <v>301888</v>
      </c>
      <c r="F16" s="404">
        <v>138</v>
      </c>
      <c r="G16" s="404">
        <v>14332</v>
      </c>
      <c r="H16" s="404">
        <f>E16+G16</f>
        <v>316220</v>
      </c>
      <c r="I16" s="404">
        <v>96655</v>
      </c>
      <c r="J16" s="404">
        <v>385490</v>
      </c>
      <c r="K16" s="404">
        <f t="shared" si="0"/>
        <v>27385</v>
      </c>
    </row>
    <row r="17" spans="1:11">
      <c r="A17" s="482">
        <v>16</v>
      </c>
      <c r="B17" s="483" t="s">
        <v>41</v>
      </c>
      <c r="C17" s="484" t="s">
        <v>42</v>
      </c>
      <c r="D17" s="404">
        <v>2000</v>
      </c>
      <c r="E17" s="404">
        <v>182300</v>
      </c>
      <c r="F17" s="404">
        <v>145</v>
      </c>
      <c r="G17" s="404">
        <v>15119.149999999998</v>
      </c>
      <c r="H17" s="404">
        <f>E17+G17</f>
        <v>197419.15</v>
      </c>
      <c r="I17" s="404">
        <v>578097.65</v>
      </c>
      <c r="J17" s="404">
        <v>0</v>
      </c>
      <c r="K17" s="404">
        <f t="shared" si="0"/>
        <v>775516.8</v>
      </c>
    </row>
    <row r="18" spans="1:11">
      <c r="A18" s="482">
        <v>17</v>
      </c>
      <c r="B18" s="483" t="s">
        <v>43</v>
      </c>
      <c r="C18" s="484" t="s">
        <v>44</v>
      </c>
      <c r="D18" s="404">
        <v>2400</v>
      </c>
      <c r="E18" s="404">
        <v>221040</v>
      </c>
      <c r="F18" s="404">
        <v>210</v>
      </c>
      <c r="G18" s="404">
        <v>21810.6</v>
      </c>
      <c r="H18" s="404">
        <f>E18+G18</f>
        <v>242850.6</v>
      </c>
      <c r="I18" s="404">
        <v>237520</v>
      </c>
      <c r="J18" s="404">
        <v>250000</v>
      </c>
      <c r="K18" s="404">
        <f t="shared" si="0"/>
        <v>230370.59999999998</v>
      </c>
    </row>
    <row r="19" spans="1:11">
      <c r="A19" s="482">
        <v>18</v>
      </c>
      <c r="B19" s="483" t="s">
        <v>45</v>
      </c>
      <c r="C19" s="484" t="s">
        <v>46</v>
      </c>
      <c r="D19" s="404">
        <v>2045</v>
      </c>
      <c r="E19" s="404">
        <v>188324.05</v>
      </c>
      <c r="F19" s="404">
        <v>125</v>
      </c>
      <c r="G19" s="404">
        <v>12982.5</v>
      </c>
      <c r="H19" s="404">
        <f>E19+G19</f>
        <v>201306.55</v>
      </c>
      <c r="I19" s="404">
        <v>0</v>
      </c>
      <c r="J19" s="404">
        <v>201306.55</v>
      </c>
      <c r="K19" s="404">
        <f t="shared" si="0"/>
        <v>0</v>
      </c>
    </row>
    <row r="20" spans="1:11">
      <c r="A20" s="482">
        <v>19</v>
      </c>
      <c r="B20" s="483" t="s">
        <v>47</v>
      </c>
      <c r="C20" s="484" t="s">
        <v>48</v>
      </c>
      <c r="D20" s="404">
        <v>169</v>
      </c>
      <c r="E20" s="404">
        <v>15411.11</v>
      </c>
      <c r="F20" s="404">
        <v>16.25</v>
      </c>
      <c r="G20" s="404">
        <v>1669.23</v>
      </c>
      <c r="H20" s="404">
        <f>E20+G20</f>
        <v>17080.34</v>
      </c>
      <c r="I20" s="404">
        <v>0</v>
      </c>
      <c r="J20" s="404">
        <v>17080.34</v>
      </c>
      <c r="K20" s="404">
        <f t="shared" si="0"/>
        <v>0</v>
      </c>
    </row>
    <row r="21" spans="1:11">
      <c r="A21" s="482">
        <v>20</v>
      </c>
      <c r="B21" s="483" t="s">
        <v>49</v>
      </c>
      <c r="C21" s="484" t="s">
        <v>50</v>
      </c>
      <c r="D21" s="404">
        <v>14283.35</v>
      </c>
      <c r="E21" s="404">
        <v>1303412.121</v>
      </c>
      <c r="F21" s="404">
        <v>127</v>
      </c>
      <c r="G21" s="404">
        <v>13103.86</v>
      </c>
      <c r="H21" s="404">
        <f>E21+G21</f>
        <v>1316515.9810000001</v>
      </c>
      <c r="I21" s="404">
        <v>58857</v>
      </c>
      <c r="J21" s="404">
        <v>1134279.8999999999</v>
      </c>
      <c r="K21" s="404">
        <f t="shared" si="0"/>
        <v>241093.08100000024</v>
      </c>
    </row>
    <row r="22" spans="1:11">
      <c r="A22" s="482">
        <v>21</v>
      </c>
      <c r="B22" s="483" t="s">
        <v>51</v>
      </c>
      <c r="C22" s="484" t="s">
        <v>52</v>
      </c>
      <c r="D22" s="404">
        <v>230</v>
      </c>
      <c r="E22" s="404">
        <v>21108.629999999997</v>
      </c>
      <c r="F22" s="404">
        <v>31</v>
      </c>
      <c r="G22" s="404">
        <v>3215.63</v>
      </c>
      <c r="H22" s="404">
        <f>E22+G22</f>
        <v>24324.26</v>
      </c>
      <c r="I22" s="404">
        <v>234525.2237</v>
      </c>
      <c r="J22" s="404">
        <v>251844.75</v>
      </c>
      <c r="K22" s="404">
        <f t="shared" si="0"/>
        <v>7004.7337000000116</v>
      </c>
    </row>
    <row r="23" spans="1:11">
      <c r="A23" s="482">
        <v>22</v>
      </c>
      <c r="B23" s="483" t="s">
        <v>53</v>
      </c>
      <c r="C23" s="484" t="s">
        <v>54</v>
      </c>
      <c r="D23" s="404">
        <v>2571.8999999999996</v>
      </c>
      <c r="E23" s="404">
        <v>236431.70699999999</v>
      </c>
      <c r="F23" s="404">
        <v>123</v>
      </c>
      <c r="G23" s="404">
        <v>12778.47</v>
      </c>
      <c r="H23" s="404">
        <f>E23+G23</f>
        <v>249210.177</v>
      </c>
      <c r="I23" s="404">
        <v>273174.2227000001</v>
      </c>
      <c r="J23" s="404">
        <v>310000</v>
      </c>
      <c r="K23" s="404">
        <f t="shared" si="0"/>
        <v>212384.39970000007</v>
      </c>
    </row>
    <row r="24" spans="1:11">
      <c r="A24" s="482">
        <v>23</v>
      </c>
      <c r="B24" s="483" t="s">
        <v>55</v>
      </c>
      <c r="C24" s="484" t="s">
        <v>56</v>
      </c>
      <c r="D24" s="404">
        <v>509.02</v>
      </c>
      <c r="E24" s="404">
        <v>46621.141799999998</v>
      </c>
      <c r="F24" s="404">
        <v>11.56</v>
      </c>
      <c r="G24" s="404">
        <v>1196.8068000000001</v>
      </c>
      <c r="H24" s="404">
        <f>E24+G24</f>
        <v>47817.948599999996</v>
      </c>
      <c r="I24" s="404">
        <v>0</v>
      </c>
      <c r="J24" s="404">
        <v>47817.948600000003</v>
      </c>
      <c r="K24" s="404">
        <f t="shared" si="0"/>
        <v>0</v>
      </c>
    </row>
    <row r="25" spans="1:11">
      <c r="A25" s="482">
        <v>24</v>
      </c>
      <c r="B25" s="483" t="s">
        <v>57</v>
      </c>
      <c r="C25" s="484" t="s">
        <v>58</v>
      </c>
      <c r="D25" s="404">
        <v>760.32999999999993</v>
      </c>
      <c r="E25" s="404">
        <v>69889.53360000001</v>
      </c>
      <c r="F25" s="404">
        <v>47.46</v>
      </c>
      <c r="G25" s="404">
        <v>4933.9415999999992</v>
      </c>
      <c r="H25" s="404">
        <f>E25+G25</f>
        <v>74823.475200000015</v>
      </c>
      <c r="I25" s="404"/>
      <c r="J25" s="404">
        <v>74823.475200000001</v>
      </c>
      <c r="K25" s="404">
        <f t="shared" si="0"/>
        <v>0</v>
      </c>
    </row>
    <row r="26" spans="1:11">
      <c r="A26" s="482">
        <v>25</v>
      </c>
      <c r="B26" s="483" t="s">
        <v>59</v>
      </c>
      <c r="C26" s="484" t="s">
        <v>60</v>
      </c>
      <c r="D26" s="404">
        <v>597.14</v>
      </c>
      <c r="E26" s="404">
        <v>54712.182000000001</v>
      </c>
      <c r="F26" s="404">
        <v>13.520000000000001</v>
      </c>
      <c r="G26" s="404">
        <v>1419.4272000000001</v>
      </c>
      <c r="H26" s="404">
        <f>E26+G26</f>
        <v>56131.609199999999</v>
      </c>
      <c r="I26" s="404">
        <v>4528.49</v>
      </c>
      <c r="J26" s="404">
        <v>49930.510699999999</v>
      </c>
      <c r="K26" s="404">
        <f t="shared" si="0"/>
        <v>10729.588499999998</v>
      </c>
    </row>
    <row r="27" spans="1:11">
      <c r="A27" s="482">
        <v>26</v>
      </c>
      <c r="B27" s="483" t="s">
        <v>61</v>
      </c>
      <c r="C27" s="484" t="s">
        <v>62</v>
      </c>
      <c r="D27" s="404">
        <v>25450</v>
      </c>
      <c r="E27" s="404">
        <v>2319513</v>
      </c>
      <c r="F27" s="404">
        <v>75</v>
      </c>
      <c r="G27" s="404">
        <v>7845</v>
      </c>
      <c r="H27" s="404">
        <f>E27+G27</f>
        <v>2327358</v>
      </c>
      <c r="I27" s="404">
        <v>1668531</v>
      </c>
      <c r="J27" s="404">
        <v>2000000</v>
      </c>
      <c r="K27" s="404">
        <f t="shared" si="0"/>
        <v>1995889</v>
      </c>
    </row>
    <row r="28" spans="1:11">
      <c r="A28" s="482">
        <v>27</v>
      </c>
      <c r="B28" s="483" t="s">
        <v>63</v>
      </c>
      <c r="C28" s="484" t="s">
        <v>64</v>
      </c>
      <c r="D28" s="404">
        <v>944.45999999999992</v>
      </c>
      <c r="E28" s="404">
        <v>86389.756199999989</v>
      </c>
      <c r="F28" s="404">
        <v>63.01</v>
      </c>
      <c r="G28" s="404">
        <v>6517.1243000000004</v>
      </c>
      <c r="H28" s="404">
        <f>E28+G28</f>
        <v>92906.880499999985</v>
      </c>
      <c r="I28" s="404">
        <v>90058</v>
      </c>
      <c r="J28" s="404">
        <v>115444</v>
      </c>
      <c r="K28" s="404">
        <f t="shared" si="0"/>
        <v>67520.88049999997</v>
      </c>
    </row>
    <row r="29" spans="1:11">
      <c r="A29" s="482">
        <v>28</v>
      </c>
      <c r="B29" s="483" t="s">
        <v>65</v>
      </c>
      <c r="C29" s="484" t="s">
        <v>66</v>
      </c>
      <c r="D29" s="404">
        <v>935.89</v>
      </c>
      <c r="E29" s="404">
        <v>85914.702000000005</v>
      </c>
      <c r="F29" s="404">
        <v>40</v>
      </c>
      <c r="G29" s="404">
        <v>4150.4000000000005</v>
      </c>
      <c r="H29" s="404">
        <f>E29+G29</f>
        <v>90065.101999999999</v>
      </c>
      <c r="I29" s="404"/>
      <c r="J29" s="404">
        <v>90065.101999999999</v>
      </c>
      <c r="K29" s="404">
        <f t="shared" si="0"/>
        <v>0</v>
      </c>
    </row>
    <row r="30" spans="1:11">
      <c r="A30" s="482">
        <v>29</v>
      </c>
      <c r="B30" s="483" t="s">
        <v>67</v>
      </c>
      <c r="C30" s="484" t="s">
        <v>68</v>
      </c>
      <c r="D30" s="404">
        <v>1032.57</v>
      </c>
      <c r="E30" s="404">
        <v>95037.742800000007</v>
      </c>
      <c r="F30" s="404">
        <v>45</v>
      </c>
      <c r="G30" s="404">
        <v>4680.8999999999996</v>
      </c>
      <c r="H30" s="404">
        <f>E30+G30</f>
        <v>99718.642800000001</v>
      </c>
      <c r="I30" s="404"/>
      <c r="J30" s="404">
        <v>99718.642800000016</v>
      </c>
      <c r="K30" s="404">
        <f t="shared" si="0"/>
        <v>0</v>
      </c>
    </row>
    <row r="31" spans="1:11">
      <c r="A31" s="482">
        <v>30</v>
      </c>
      <c r="B31" s="483" t="s">
        <v>69</v>
      </c>
      <c r="C31" s="484" t="s">
        <v>70</v>
      </c>
      <c r="D31" s="404">
        <v>60</v>
      </c>
      <c r="E31" s="404">
        <v>5509.8</v>
      </c>
      <c r="F31" s="404">
        <v>18</v>
      </c>
      <c r="G31" s="404">
        <v>1868.4</v>
      </c>
      <c r="H31" s="404">
        <f>E31+G31</f>
        <v>7378.2000000000007</v>
      </c>
      <c r="I31" s="404">
        <v>30323</v>
      </c>
      <c r="J31" s="404">
        <v>7378.2000000000007</v>
      </c>
      <c r="K31" s="404">
        <f t="shared" si="0"/>
        <v>30322.999999999996</v>
      </c>
    </row>
    <row r="32" spans="1:11">
      <c r="A32" s="482">
        <v>31</v>
      </c>
      <c r="B32" s="487" t="s">
        <v>71</v>
      </c>
      <c r="C32" s="488" t="s">
        <v>72</v>
      </c>
      <c r="D32" s="404">
        <v>0</v>
      </c>
      <c r="E32" s="404">
        <v>0</v>
      </c>
      <c r="F32" s="404">
        <v>0</v>
      </c>
      <c r="G32" s="404">
        <v>0</v>
      </c>
      <c r="H32" s="404">
        <f t="shared" ref="H30:H35" si="1">E32+G32</f>
        <v>0</v>
      </c>
      <c r="I32" s="404">
        <v>1036347.3179000001</v>
      </c>
      <c r="J32" s="404">
        <v>400000</v>
      </c>
      <c r="K32" s="404">
        <f t="shared" si="0"/>
        <v>636347.31790000014</v>
      </c>
    </row>
    <row r="33" spans="1:11">
      <c r="A33" s="482">
        <v>32</v>
      </c>
      <c r="B33" s="487" t="s">
        <v>73</v>
      </c>
      <c r="C33" s="488" t="s">
        <v>74</v>
      </c>
      <c r="D33" s="404">
        <v>11163.57</v>
      </c>
      <c r="E33" s="404">
        <v>1021243.3835999999</v>
      </c>
      <c r="F33" s="404">
        <v>271</v>
      </c>
      <c r="G33" s="404">
        <v>28024.109999999997</v>
      </c>
      <c r="H33" s="404">
        <f>E33+G33</f>
        <v>1049267.4935999999</v>
      </c>
      <c r="I33" s="404">
        <v>473791</v>
      </c>
      <c r="J33" s="404">
        <v>300000</v>
      </c>
      <c r="K33" s="404">
        <f t="shared" si="0"/>
        <v>1223058.4935999999</v>
      </c>
    </row>
    <row r="34" spans="1:11">
      <c r="A34" s="482">
        <v>33</v>
      </c>
      <c r="B34" s="487" t="s">
        <v>75</v>
      </c>
      <c r="C34" s="488" t="s">
        <v>76</v>
      </c>
      <c r="D34" s="404">
        <v>0</v>
      </c>
      <c r="E34" s="404">
        <v>0</v>
      </c>
      <c r="F34" s="404">
        <v>4.82</v>
      </c>
      <c r="G34" s="404">
        <v>499.98</v>
      </c>
      <c r="H34" s="404">
        <f>E34+G34</f>
        <v>499.98</v>
      </c>
      <c r="I34" s="404">
        <v>0</v>
      </c>
      <c r="J34" s="404">
        <v>499.98</v>
      </c>
      <c r="K34" s="404">
        <f t="shared" si="0"/>
        <v>0</v>
      </c>
    </row>
    <row r="35" spans="1:11">
      <c r="A35" s="482">
        <v>34</v>
      </c>
      <c r="B35" s="487" t="s">
        <v>77</v>
      </c>
      <c r="C35" s="488" t="s">
        <v>78</v>
      </c>
      <c r="D35" s="404">
        <v>152.92000000000002</v>
      </c>
      <c r="E35" s="404">
        <v>13949.9288</v>
      </c>
      <c r="F35" s="404">
        <v>37.28</v>
      </c>
      <c r="G35" s="404">
        <v>3857.5144</v>
      </c>
      <c r="H35" s="404">
        <f t="shared" ref="H35:H42" si="2">E35+G35</f>
        <v>17807.443200000002</v>
      </c>
      <c r="I35" s="404">
        <v>0</v>
      </c>
      <c r="J35" s="404">
        <v>17807.443200000002</v>
      </c>
      <c r="K35" s="404">
        <f t="shared" si="0"/>
        <v>0</v>
      </c>
    </row>
    <row r="36" spans="1:11">
      <c r="A36" s="482">
        <v>35</v>
      </c>
      <c r="B36" s="487" t="s">
        <v>79</v>
      </c>
      <c r="C36" s="488" t="s">
        <v>80</v>
      </c>
      <c r="D36" s="404">
        <v>637.80000000000007</v>
      </c>
      <c r="E36" s="404">
        <v>58358.7</v>
      </c>
      <c r="F36" s="404">
        <v>61.989999999999995</v>
      </c>
      <c r="G36" s="404">
        <v>5912.6304</v>
      </c>
      <c r="H36" s="404">
        <f t="shared" si="2"/>
        <v>64271.330399999999</v>
      </c>
      <c r="I36" s="404">
        <v>0</v>
      </c>
      <c r="J36" s="404">
        <v>64271.330399999999</v>
      </c>
      <c r="K36" s="404">
        <f t="shared" si="0"/>
        <v>0</v>
      </c>
    </row>
    <row r="37" spans="1:11">
      <c r="A37" s="482">
        <v>36</v>
      </c>
      <c r="B37" s="487" t="s">
        <v>81</v>
      </c>
      <c r="C37" s="488" t="s">
        <v>82</v>
      </c>
      <c r="D37" s="404">
        <v>577.29</v>
      </c>
      <c r="E37" s="404">
        <v>52088.876700000008</v>
      </c>
      <c r="F37" s="404">
        <v>43.88</v>
      </c>
      <c r="G37" s="404">
        <v>4482.7807999999995</v>
      </c>
      <c r="H37" s="404">
        <f t="shared" si="2"/>
        <v>56571.657500000008</v>
      </c>
      <c r="I37" s="404">
        <v>192780</v>
      </c>
      <c r="J37" s="404">
        <v>192780</v>
      </c>
      <c r="K37" s="404">
        <f t="shared" si="0"/>
        <v>56571.657500000001</v>
      </c>
    </row>
    <row r="38" spans="1:11">
      <c r="A38" s="482">
        <v>37</v>
      </c>
      <c r="B38" s="487" t="s">
        <v>83</v>
      </c>
      <c r="C38" s="488" t="s">
        <v>84</v>
      </c>
      <c r="D38" s="404">
        <v>138</v>
      </c>
      <c r="E38" s="404">
        <v>12589.74</v>
      </c>
      <c r="F38" s="404">
        <v>0</v>
      </c>
      <c r="G38" s="404">
        <v>0</v>
      </c>
      <c r="H38" s="404">
        <f t="shared" si="2"/>
        <v>12589.74</v>
      </c>
      <c r="I38" s="404">
        <v>0</v>
      </c>
      <c r="J38" s="404">
        <v>12589.74</v>
      </c>
      <c r="K38" s="404">
        <f t="shared" si="0"/>
        <v>0</v>
      </c>
    </row>
    <row r="39" spans="1:11">
      <c r="A39" s="482">
        <v>38</v>
      </c>
      <c r="B39" s="487" t="s">
        <v>85</v>
      </c>
      <c r="C39" s="488" t="s">
        <v>86</v>
      </c>
      <c r="D39" s="404">
        <v>98.41</v>
      </c>
      <c r="E39" s="404">
        <v>8999.5944999999992</v>
      </c>
      <c r="F39" s="404">
        <v>33.809999999999995</v>
      </c>
      <c r="G39" s="404">
        <v>3495.6159000000002</v>
      </c>
      <c r="H39" s="404">
        <f t="shared" si="2"/>
        <v>12495.2104</v>
      </c>
      <c r="I39" s="404">
        <v>0</v>
      </c>
      <c r="J39" s="404">
        <v>12495.2104</v>
      </c>
      <c r="K39" s="404">
        <f t="shared" si="0"/>
        <v>0</v>
      </c>
    </row>
    <row r="40" spans="1:11">
      <c r="A40" s="482">
        <v>39</v>
      </c>
      <c r="B40" s="487" t="s">
        <v>87</v>
      </c>
      <c r="C40" s="488" t="s">
        <v>88</v>
      </c>
      <c r="D40" s="404">
        <v>35.03</v>
      </c>
      <c r="E40" s="404">
        <v>3199.2898999999998</v>
      </c>
      <c r="F40" s="404">
        <v>30.919999999999998</v>
      </c>
      <c r="G40" s="404">
        <v>3192.7992000000004</v>
      </c>
      <c r="H40" s="404">
        <f t="shared" si="2"/>
        <v>6392.0891000000001</v>
      </c>
      <c r="I40" s="404">
        <v>0</v>
      </c>
      <c r="J40" s="404">
        <v>6392.0891000000001</v>
      </c>
      <c r="K40" s="404">
        <f t="shared" si="0"/>
        <v>0</v>
      </c>
    </row>
    <row r="41" spans="1:11">
      <c r="A41" s="482">
        <v>40</v>
      </c>
      <c r="B41" s="487" t="s">
        <v>89</v>
      </c>
      <c r="C41" s="488" t="s">
        <v>90</v>
      </c>
      <c r="D41" s="404">
        <v>71.77</v>
      </c>
      <c r="E41" s="404">
        <v>6500.2088999999987</v>
      </c>
      <c r="F41" s="404">
        <v>35.130000000000003</v>
      </c>
      <c r="G41" s="404">
        <v>3599.4198000000001</v>
      </c>
      <c r="H41" s="404">
        <f t="shared" si="2"/>
        <v>10099.628699999999</v>
      </c>
      <c r="I41" s="404">
        <v>0</v>
      </c>
      <c r="J41" s="404">
        <v>10099.628699999999</v>
      </c>
      <c r="K41" s="404">
        <f>I41+H41-J41</f>
        <v>0</v>
      </c>
    </row>
    <row r="42" spans="1:11">
      <c r="A42" s="482">
        <v>41</v>
      </c>
      <c r="B42" s="487" t="s">
        <v>91</v>
      </c>
      <c r="C42" s="488" t="s">
        <v>92</v>
      </c>
      <c r="D42" s="404">
        <v>436.89</v>
      </c>
      <c r="E42" s="404">
        <v>40027.861800000006</v>
      </c>
      <c r="F42" s="404">
        <v>21.25</v>
      </c>
      <c r="G42" s="404">
        <v>2200.8625000000002</v>
      </c>
      <c r="H42" s="404">
        <f t="shared" si="2"/>
        <v>42228.724300000009</v>
      </c>
      <c r="I42" s="404">
        <v>48315</v>
      </c>
      <c r="J42" s="404">
        <v>90535.84</v>
      </c>
      <c r="K42" s="404">
        <f>I42+H42-J42</f>
        <v>7.8843000000051688</v>
      </c>
    </row>
    <row r="43" spans="1:11">
      <c r="A43" s="428" t="s">
        <v>93</v>
      </c>
      <c r="B43" s="429"/>
      <c r="C43" s="430"/>
      <c r="D43" s="376">
        <f>SUM(D2:D42)</f>
        <v>272571.36</v>
      </c>
      <c r="E43" s="376">
        <f>SUM(E2:E42)</f>
        <v>25754293.705600001</v>
      </c>
      <c r="F43" s="376">
        <f>SUM(F2:F42)</f>
        <v>3563.6300000000006</v>
      </c>
      <c r="G43" s="376">
        <f>SUM(G2:G42)</f>
        <v>373628.93540000002</v>
      </c>
      <c r="H43" s="376">
        <f>SUM(H2:H42)</f>
        <v>26127922.641000003</v>
      </c>
      <c r="I43" s="376">
        <f>SUM(I2:I42)</f>
        <v>27985140.361299992</v>
      </c>
      <c r="J43" s="376">
        <f>SUM(J2:J42)</f>
        <v>14320973.411099998</v>
      </c>
      <c r="K43" s="377">
        <f>SUM(K2:K42)</f>
        <v>39792191.770999998</v>
      </c>
    </row>
    <row r="47" spans="1:11">
      <c r="K47" s="24"/>
    </row>
    <row r="49" spans="3:4">
      <c r="C49" s="280"/>
      <c r="D49" t="str">
        <f>PROPER(C49)</f>
        <v/>
      </c>
    </row>
  </sheetData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L48"/>
  <sheetViews>
    <sheetView workbookViewId="0">
      <selection activeCell="N17" sqref="N17"/>
    </sheetView>
  </sheetViews>
  <sheetFormatPr defaultColWidth="8.28515625" defaultRowHeight="15"/>
  <cols>
    <col min="2" max="2" width="25" customWidth="1"/>
    <col min="3" max="3" width="34.5703125" bestFit="1" customWidth="1"/>
    <col min="4" max="4" width="14.85546875" customWidth="1"/>
    <col min="5" max="5" width="13.42578125" customWidth="1"/>
    <col min="6" max="6" width="11.28515625" customWidth="1"/>
    <col min="7" max="7" width="14.42578125" bestFit="1" customWidth="1"/>
    <col min="8" max="8" width="21" customWidth="1"/>
    <col min="9" max="9" width="15.140625" bestFit="1" customWidth="1"/>
    <col min="10" max="10" width="12.7109375" bestFit="1" customWidth="1"/>
    <col min="11" max="11" width="17.42578125" customWidth="1"/>
    <col min="12" max="12" width="13.28515625" bestFit="1" customWidth="1"/>
  </cols>
  <sheetData>
    <row r="1" spans="1:12">
      <c r="A1" s="372" t="s">
        <v>0</v>
      </c>
      <c r="B1" s="373" t="s">
        <v>1</v>
      </c>
      <c r="C1" s="373" t="s">
        <v>2</v>
      </c>
      <c r="D1" s="374" t="s">
        <v>3</v>
      </c>
      <c r="E1" s="374" t="s">
        <v>4</v>
      </c>
      <c r="F1" s="374" t="s">
        <v>5</v>
      </c>
      <c r="G1" s="374" t="s">
        <v>6</v>
      </c>
      <c r="H1" s="374" t="s">
        <v>7</v>
      </c>
      <c r="I1" s="374" t="s">
        <v>8</v>
      </c>
      <c r="J1" s="374" t="s">
        <v>9</v>
      </c>
      <c r="K1" s="375" t="s">
        <v>10</v>
      </c>
    </row>
    <row r="2" spans="1:12">
      <c r="A2" s="483">
        <v>1</v>
      </c>
      <c r="B2" s="483" t="s">
        <v>11</v>
      </c>
      <c r="C2" s="483" t="s">
        <v>12</v>
      </c>
      <c r="D2" s="384">
        <f>+'Khammam-1'!E36</f>
        <v>11984.26</v>
      </c>
      <c r="E2" s="384">
        <f>+'Khammam-1'!G36</f>
        <v>1146653.9968000001</v>
      </c>
      <c r="F2" s="384">
        <f>+'Khammam-1'!H36</f>
        <v>130</v>
      </c>
      <c r="G2" s="384">
        <f>+'Khammam-1'!J36</f>
        <v>13969.8</v>
      </c>
      <c r="H2" s="384">
        <f>E2+G2</f>
        <v>1160623.7968000001</v>
      </c>
      <c r="I2" s="384">
        <f>+'Khammam-1'!K3</f>
        <v>5140597</v>
      </c>
      <c r="J2" s="384">
        <f>+'Khammam-1'!L36</f>
        <v>4000000</v>
      </c>
      <c r="K2" s="384">
        <f>H2+I2-J2</f>
        <v>2301220.7968000006</v>
      </c>
      <c r="L2" s="24"/>
    </row>
    <row r="3" spans="1:12">
      <c r="A3" s="483">
        <v>2</v>
      </c>
      <c r="B3" s="483" t="s">
        <v>13</v>
      </c>
      <c r="C3" s="483" t="s">
        <v>14</v>
      </c>
      <c r="D3" s="384">
        <f>+'Khammam-2'!E37</f>
        <v>146362.51999999999</v>
      </c>
      <c r="E3" s="384">
        <f>+'Khammam-2'!G37</f>
        <v>14003940.9136</v>
      </c>
      <c r="F3" s="384">
        <f>+'Khammam-2'!H37</f>
        <v>680</v>
      </c>
      <c r="G3" s="384">
        <f>+'Khammam-2'!J37</f>
        <v>73072.800000000003</v>
      </c>
      <c r="H3" s="384">
        <f>E3+G3</f>
        <v>14077013.7136</v>
      </c>
      <c r="I3" s="384">
        <f>+'Khammam-2'!K3</f>
        <v>3730421</v>
      </c>
      <c r="J3" s="384">
        <f>+'Khammam-2'!L37</f>
        <v>8500000</v>
      </c>
      <c r="K3" s="384">
        <f>H3+I3-J3</f>
        <v>9307434.7136000022</v>
      </c>
      <c r="L3" s="24"/>
    </row>
    <row r="4" spans="1:12">
      <c r="A4" s="483">
        <v>3</v>
      </c>
      <c r="B4" s="483" t="s">
        <v>15</v>
      </c>
      <c r="C4" s="483" t="s">
        <v>16</v>
      </c>
      <c r="D4" s="384">
        <f>+'Khammam-3'!E35</f>
        <v>57904.99</v>
      </c>
      <c r="E4" s="384">
        <f>+'Khammam-3'!G35</f>
        <v>5541507.5429999996</v>
      </c>
      <c r="F4" s="384">
        <f>+'Khammam-3'!H35</f>
        <v>230</v>
      </c>
      <c r="G4" s="384">
        <f>+'Khammam-3'!J35</f>
        <v>24720.399999999998</v>
      </c>
      <c r="H4" s="384">
        <f>E4+G4</f>
        <v>5566227.943</v>
      </c>
      <c r="I4" s="384">
        <f>+'Khammam-3'!K3</f>
        <v>8891075.4399999995</v>
      </c>
      <c r="J4" s="384">
        <f>+'Khammam-3'!L35</f>
        <v>7000000</v>
      </c>
      <c r="K4" s="384">
        <f>H4+I4-J4</f>
        <v>7457303.3829999994</v>
      </c>
      <c r="L4" s="24"/>
    </row>
    <row r="5" spans="1:12">
      <c r="A5" s="483">
        <v>4</v>
      </c>
      <c r="B5" s="483" t="s">
        <v>17</v>
      </c>
      <c r="C5" s="483" t="s">
        <v>18</v>
      </c>
      <c r="D5" s="384">
        <f>+'Jedcherla -1'!E35</f>
        <v>6568.06</v>
      </c>
      <c r="E5" s="384">
        <f>+'Jedcherla -1'!G35</f>
        <v>633292.34519999987</v>
      </c>
      <c r="F5" s="384">
        <f>+'Jedcherla -1'!H35</f>
        <v>459.59</v>
      </c>
      <c r="G5" s="384">
        <f>+'Jedcherla -1'!J35</f>
        <v>49741.425700000007</v>
      </c>
      <c r="H5" s="384">
        <f>E5+G5</f>
        <v>683033.77089999989</v>
      </c>
      <c r="I5" s="384">
        <f>+'Jedcherla -1'!K3</f>
        <v>1966837.0260999999</v>
      </c>
      <c r="J5" s="384">
        <f>+'Jedcherla -1'!L35</f>
        <v>1500000</v>
      </c>
      <c r="K5" s="384">
        <f>H5+I5-J5</f>
        <v>1149870.7969999998</v>
      </c>
      <c r="L5" s="24"/>
    </row>
    <row r="6" spans="1:12">
      <c r="A6" s="483">
        <v>5</v>
      </c>
      <c r="B6" s="483" t="s">
        <v>19</v>
      </c>
      <c r="C6" s="483" t="s">
        <v>20</v>
      </c>
      <c r="D6" s="384">
        <v>0</v>
      </c>
      <c r="E6" s="384">
        <v>0</v>
      </c>
      <c r="F6" s="384">
        <v>0</v>
      </c>
      <c r="G6" s="384">
        <v>0</v>
      </c>
      <c r="H6" s="384">
        <f>E6+G6</f>
        <v>0</v>
      </c>
      <c r="I6" s="384">
        <v>1832240.6062999999</v>
      </c>
      <c r="J6" s="384">
        <v>1500000</v>
      </c>
      <c r="K6" s="384">
        <f>H6+I6-J6</f>
        <v>332240.60629999987</v>
      </c>
      <c r="L6" s="24"/>
    </row>
    <row r="7" spans="1:12">
      <c r="A7" s="483">
        <v>6</v>
      </c>
      <c r="B7" s="483" t="s">
        <v>21</v>
      </c>
      <c r="C7" s="483" t="s">
        <v>22</v>
      </c>
      <c r="D7" s="384">
        <f>'Jadcharla-3'!E35</f>
        <v>4040</v>
      </c>
      <c r="E7" s="384">
        <f>+'Jadcharla-3'!G35</f>
        <v>389092.4</v>
      </c>
      <c r="F7" s="384">
        <v>0</v>
      </c>
      <c r="G7" s="384">
        <v>0</v>
      </c>
      <c r="H7" s="384">
        <f>E7+G7</f>
        <v>389092.4</v>
      </c>
      <c r="I7" s="384">
        <v>0</v>
      </c>
      <c r="J7" s="384">
        <v>389092.4</v>
      </c>
      <c r="K7" s="384">
        <f>H7+I7-J7</f>
        <v>0</v>
      </c>
      <c r="L7" s="24"/>
    </row>
    <row r="8" spans="1:12">
      <c r="A8" s="483">
        <v>7</v>
      </c>
      <c r="B8" s="483" t="s">
        <v>23</v>
      </c>
      <c r="C8" s="483" t="s">
        <v>24</v>
      </c>
      <c r="D8" s="384">
        <f>+'Jedcharla-4'!E35</f>
        <v>18600</v>
      </c>
      <c r="E8" s="384">
        <f>+'Jedcharla-4'!G35</f>
        <v>1793598</v>
      </c>
      <c r="F8" s="384">
        <v>0</v>
      </c>
      <c r="G8" s="384">
        <v>0</v>
      </c>
      <c r="H8" s="384">
        <f t="shared" ref="H8:H44" si="0">E8+G8</f>
        <v>1793598</v>
      </c>
      <c r="I8" s="384">
        <v>0</v>
      </c>
      <c r="J8" s="384">
        <f>+'Jedcharla-4'!L35</f>
        <v>1793598</v>
      </c>
      <c r="K8" s="384">
        <f>H8+I8-J8</f>
        <v>0</v>
      </c>
      <c r="L8" s="24"/>
    </row>
    <row r="9" spans="1:12">
      <c r="A9" s="483">
        <v>8</v>
      </c>
      <c r="B9" s="483" t="s">
        <v>25</v>
      </c>
      <c r="C9" s="483" t="s">
        <v>26</v>
      </c>
      <c r="D9" s="384">
        <v>4186</v>
      </c>
      <c r="E9" s="384">
        <v>403359</v>
      </c>
      <c r="F9" s="384">
        <v>62</v>
      </c>
      <c r="G9" s="384">
        <v>6707</v>
      </c>
      <c r="H9" s="384">
        <f t="shared" si="0"/>
        <v>410066</v>
      </c>
      <c r="I9" s="384">
        <v>1004532</v>
      </c>
      <c r="J9" s="384">
        <v>1414700</v>
      </c>
      <c r="K9" s="384">
        <f t="shared" ref="K9:K44" si="1">H9+I9-J9</f>
        <v>-102</v>
      </c>
      <c r="L9" s="24"/>
    </row>
    <row r="10" spans="1:12">
      <c r="A10" s="483">
        <v>9</v>
      </c>
      <c r="B10" s="483" t="s">
        <v>27</v>
      </c>
      <c r="C10" s="483" t="s">
        <v>28</v>
      </c>
      <c r="D10" s="385">
        <v>165</v>
      </c>
      <c r="E10" s="386">
        <v>15912</v>
      </c>
      <c r="F10" s="386">
        <v>16</v>
      </c>
      <c r="G10" s="386">
        <v>1733</v>
      </c>
      <c r="H10" s="386">
        <v>17645</v>
      </c>
      <c r="I10" s="386">
        <v>0</v>
      </c>
      <c r="J10" s="386">
        <v>17645</v>
      </c>
      <c r="K10" s="384">
        <f t="shared" si="1"/>
        <v>0</v>
      </c>
      <c r="L10" s="24"/>
    </row>
    <row r="11" spans="1:12">
      <c r="A11" s="483">
        <v>10</v>
      </c>
      <c r="B11" s="483" t="s">
        <v>29</v>
      </c>
      <c r="C11" s="483" t="s">
        <v>30</v>
      </c>
      <c r="D11" s="384">
        <v>40</v>
      </c>
      <c r="E11" s="384">
        <v>3849</v>
      </c>
      <c r="F11" s="384">
        <v>0</v>
      </c>
      <c r="G11" s="384">
        <v>0</v>
      </c>
      <c r="H11" s="384">
        <v>3849</v>
      </c>
      <c r="I11" s="384"/>
      <c r="J11" s="384">
        <v>3849</v>
      </c>
      <c r="K11" s="384">
        <f t="shared" si="1"/>
        <v>0</v>
      </c>
      <c r="L11" s="24"/>
    </row>
    <row r="12" spans="1:12">
      <c r="A12" s="483">
        <v>11</v>
      </c>
      <c r="B12" s="483" t="s">
        <v>31</v>
      </c>
      <c r="C12" s="483" t="s">
        <v>32</v>
      </c>
      <c r="D12" s="387">
        <v>4154.79</v>
      </c>
      <c r="E12" s="387">
        <v>399815.85</v>
      </c>
      <c r="F12" s="387">
        <v>56.92</v>
      </c>
      <c r="G12" s="387">
        <v>6149.07</v>
      </c>
      <c r="H12" s="387">
        <f>E12+G12</f>
        <v>405964.92</v>
      </c>
      <c r="I12" s="387">
        <v>0</v>
      </c>
      <c r="J12" s="387">
        <v>405965</v>
      </c>
      <c r="K12" s="387">
        <f t="shared" si="1"/>
        <v>-8.0000000016298145E-2</v>
      </c>
      <c r="L12" s="24"/>
    </row>
    <row r="13" spans="1:12">
      <c r="A13" s="483">
        <v>12</v>
      </c>
      <c r="B13" s="483" t="s">
        <v>94</v>
      </c>
      <c r="C13" s="483"/>
      <c r="D13" s="384">
        <f>+Dindi!E35</f>
        <v>160.67000000000002</v>
      </c>
      <c r="E13" s="384">
        <f>+Dindi!G35</f>
        <v>15529.940499999999</v>
      </c>
      <c r="F13" s="384">
        <f>+Dindi!H35</f>
        <v>0</v>
      </c>
      <c r="G13" s="384">
        <f>+Dindi!J35</f>
        <v>0</v>
      </c>
      <c r="H13" s="384">
        <f>E13+G13</f>
        <v>15529.940499999999</v>
      </c>
      <c r="I13" s="384"/>
      <c r="J13" s="384">
        <f>+Dindi!L35</f>
        <v>15529.940499999999</v>
      </c>
      <c r="K13" s="384">
        <f t="shared" si="1"/>
        <v>0</v>
      </c>
      <c r="L13" s="24"/>
    </row>
    <row r="14" spans="1:12">
      <c r="A14" s="483">
        <v>12</v>
      </c>
      <c r="B14" s="483" t="s">
        <v>33</v>
      </c>
      <c r="C14" s="483" t="s">
        <v>34</v>
      </c>
      <c r="D14" s="384">
        <f>+'YG Gudda '!E36</f>
        <v>6528.47</v>
      </c>
      <c r="E14" s="384">
        <f>+'YG Gudda '!G36</f>
        <v>596059.16509999998</v>
      </c>
      <c r="F14" s="384">
        <f>+'YG Gudda '!H36</f>
        <v>595</v>
      </c>
      <c r="G14" s="384">
        <f>+'YG Gudda '!J36</f>
        <v>61427.799999999988</v>
      </c>
      <c r="H14" s="384">
        <f t="shared" si="0"/>
        <v>657486.96509999991</v>
      </c>
      <c r="I14" s="384">
        <f>'YG Gudda '!K3</f>
        <v>244365</v>
      </c>
      <c r="J14" s="384">
        <f>+'YG Gudda '!L36</f>
        <v>829920</v>
      </c>
      <c r="K14" s="384">
        <f t="shared" si="1"/>
        <v>71931.965099999914</v>
      </c>
      <c r="L14" s="24"/>
    </row>
    <row r="15" spans="1:12">
      <c r="A15" s="483">
        <v>13</v>
      </c>
      <c r="B15" s="483" t="s">
        <v>35</v>
      </c>
      <c r="C15" s="483" t="s">
        <v>36</v>
      </c>
      <c r="D15" s="384">
        <f>+Hosadurga!E35</f>
        <v>4500</v>
      </c>
      <c r="E15" s="384">
        <f>+Hosadurga!G35</f>
        <v>412380</v>
      </c>
      <c r="F15" s="384">
        <f>+Hosadurga!H35</f>
        <v>140</v>
      </c>
      <c r="G15" s="384">
        <f>+Hosadurga!J35</f>
        <v>14777</v>
      </c>
      <c r="H15" s="384">
        <f t="shared" si="0"/>
        <v>427157</v>
      </c>
      <c r="I15" s="384">
        <v>0</v>
      </c>
      <c r="J15" s="384">
        <v>427157</v>
      </c>
      <c r="K15" s="384">
        <f t="shared" si="1"/>
        <v>0</v>
      </c>
      <c r="L15" s="24"/>
    </row>
    <row r="16" spans="1:12">
      <c r="A16" s="483">
        <v>14</v>
      </c>
      <c r="B16" s="483" t="s">
        <v>37</v>
      </c>
      <c r="C16" s="483" t="s">
        <v>38</v>
      </c>
      <c r="D16" s="384">
        <f>+'Hosadurga -2'!E35</f>
        <v>3999.21</v>
      </c>
      <c r="E16" s="384">
        <f>+'Hosadurga -2'!G35</f>
        <v>365487.80189999996</v>
      </c>
      <c r="F16" s="384">
        <f>+'Hosadurga -2'!H35</f>
        <v>205</v>
      </c>
      <c r="G16" s="384">
        <f>+'Hosadurga -2'!J35</f>
        <v>21209.3</v>
      </c>
      <c r="H16" s="384">
        <f t="shared" si="0"/>
        <v>386697.10189999995</v>
      </c>
      <c r="I16" s="384">
        <v>151569.40000000002</v>
      </c>
      <c r="J16" s="384">
        <v>150000</v>
      </c>
      <c r="K16" s="384">
        <f t="shared" si="1"/>
        <v>388266.50190000003</v>
      </c>
      <c r="L16" s="24"/>
    </row>
    <row r="17" spans="1:12">
      <c r="A17" s="483">
        <v>15</v>
      </c>
      <c r="B17" s="485" t="s">
        <v>39</v>
      </c>
      <c r="C17" s="485" t="s">
        <v>40</v>
      </c>
      <c r="D17" s="384">
        <f>+'Malebenur(KUWSDB)'!E38</f>
        <v>4752.84</v>
      </c>
      <c r="E17" s="384">
        <f>+'Malebenur(KUWSDB)'!G38</f>
        <v>437736.26399999997</v>
      </c>
      <c r="F17" s="384">
        <f>+'Malebenur(KUWSDB)'!H38</f>
        <v>193</v>
      </c>
      <c r="G17" s="384">
        <f>+'Malebenur(KUWSDB)'!J38</f>
        <v>20044.899999999998</v>
      </c>
      <c r="H17" s="384">
        <f>E17+G17</f>
        <v>457781.16399999999</v>
      </c>
      <c r="I17" s="384">
        <v>96655</v>
      </c>
      <c r="J17" s="384">
        <f>+'Malebenur(KUWSDB)'!L38</f>
        <v>517820.15</v>
      </c>
      <c r="K17" s="384">
        <f t="shared" si="1"/>
        <v>36616.013999999966</v>
      </c>
      <c r="L17" s="24"/>
    </row>
    <row r="18" spans="1:12">
      <c r="A18" s="483">
        <v>16</v>
      </c>
      <c r="B18" s="483" t="s">
        <v>41</v>
      </c>
      <c r="C18" s="483" t="s">
        <v>42</v>
      </c>
      <c r="D18" s="384">
        <f>+Kadur!E35</f>
        <v>4011.04</v>
      </c>
      <c r="E18" s="384">
        <f>+Kadur!G35</f>
        <v>365606.29599999997</v>
      </c>
      <c r="F18" s="384">
        <f>+Kadur!H35</f>
        <v>250</v>
      </c>
      <c r="G18" s="384">
        <f>+Kadur!J35</f>
        <v>26067.5</v>
      </c>
      <c r="H18" s="384">
        <f t="shared" si="0"/>
        <v>391673.79599999997</v>
      </c>
      <c r="I18" s="384">
        <v>578097.65</v>
      </c>
      <c r="J18" s="384">
        <v>1006.3</v>
      </c>
      <c r="K18" s="384">
        <f t="shared" si="1"/>
        <v>968765.14599999995</v>
      </c>
      <c r="L18" s="24"/>
    </row>
    <row r="19" spans="1:12">
      <c r="A19" s="483">
        <v>17</v>
      </c>
      <c r="B19" s="483" t="s">
        <v>43</v>
      </c>
      <c r="C19" s="483" t="s">
        <v>44</v>
      </c>
      <c r="D19" s="384">
        <f>+'Hiriyur(VJNL)'!E35</f>
        <v>2400</v>
      </c>
      <c r="E19" s="384">
        <f>+'Hiriyur(VJNL)'!G35</f>
        <v>221040</v>
      </c>
      <c r="F19" s="384">
        <f>+'Hiriyur(VJNL)'!H35</f>
        <v>280</v>
      </c>
      <c r="G19" s="384">
        <f>+'Hiriyur(VJNL)'!J35</f>
        <v>29080.799999999999</v>
      </c>
      <c r="H19" s="384">
        <f t="shared" si="0"/>
        <v>250120.8</v>
      </c>
      <c r="I19" s="384">
        <v>237520</v>
      </c>
      <c r="J19" s="384">
        <f>+'Hiriyur(VJNL)'!L35</f>
        <v>400000</v>
      </c>
      <c r="K19" s="384">
        <f t="shared" si="1"/>
        <v>87640.799999999988</v>
      </c>
      <c r="L19" s="24"/>
    </row>
    <row r="20" spans="1:12">
      <c r="A20" s="483">
        <v>18</v>
      </c>
      <c r="B20" s="483" t="s">
        <v>45</v>
      </c>
      <c r="C20" s="483" t="s">
        <v>46</v>
      </c>
      <c r="D20" s="384">
        <f>+'Chellakere (KUWSDB)'!E35</f>
        <v>2970</v>
      </c>
      <c r="E20" s="384">
        <f>+'Chellakere (KUWSDB)'!G35</f>
        <v>273507.3</v>
      </c>
      <c r="F20" s="384">
        <f>+'Chellakere (KUWSDB)'!H35</f>
        <v>165</v>
      </c>
      <c r="G20" s="384">
        <f>+'Chellakere (KUWSDB)'!J35</f>
        <v>17136.900000000001</v>
      </c>
      <c r="H20" s="384">
        <f t="shared" si="0"/>
        <v>290644.2</v>
      </c>
      <c r="I20" s="384">
        <v>0</v>
      </c>
      <c r="J20" s="384">
        <f>+'Chellakere (KUWSDB)'!L35</f>
        <v>290644.2</v>
      </c>
      <c r="K20" s="384">
        <f t="shared" si="1"/>
        <v>0</v>
      </c>
      <c r="L20" s="24"/>
    </row>
    <row r="21" spans="1:12">
      <c r="A21" s="483">
        <v>19</v>
      </c>
      <c r="B21" s="483" t="s">
        <v>47</v>
      </c>
      <c r="C21" s="483" t="s">
        <v>48</v>
      </c>
      <c r="D21" s="384">
        <f>+Khanapur!E35</f>
        <v>402.01</v>
      </c>
      <c r="E21" s="384">
        <f>+Khanapur!G35</f>
        <v>36587.058799999999</v>
      </c>
      <c r="F21" s="384">
        <f>+Khanapur!H35</f>
        <v>21.25</v>
      </c>
      <c r="G21" s="384">
        <f>+Khanapur!J35</f>
        <v>2183.1813999999999</v>
      </c>
      <c r="H21" s="384">
        <f t="shared" si="0"/>
        <v>38770.2402</v>
      </c>
      <c r="I21" s="384">
        <v>0</v>
      </c>
      <c r="J21" s="384">
        <f>+Khanapur!M35</f>
        <v>38770.240199999993</v>
      </c>
      <c r="K21" s="384">
        <f t="shared" si="1"/>
        <v>0</v>
      </c>
      <c r="L21" s="24"/>
    </row>
    <row r="22" spans="1:12">
      <c r="A22" s="483">
        <v>20</v>
      </c>
      <c r="B22" s="483" t="s">
        <v>49</v>
      </c>
      <c r="C22" s="483" t="s">
        <v>50</v>
      </c>
      <c r="D22" s="384">
        <f>+'Munavalli(KUWSDB)'!E39</f>
        <v>16582.169999999998</v>
      </c>
      <c r="E22" s="384">
        <f>+'Munavalli(KUWSDB)'!G39</f>
        <v>1513202.4342000003</v>
      </c>
      <c r="F22" s="384">
        <f>+'Munavalli(KUWSDB)'!H39</f>
        <v>186.32</v>
      </c>
      <c r="G22" s="384">
        <f>+'Munavalli(KUWSDB)'!J39</f>
        <v>19224.497599999995</v>
      </c>
      <c r="H22" s="384">
        <f t="shared" si="0"/>
        <v>1532426.9318000001</v>
      </c>
      <c r="I22" s="384">
        <v>58857</v>
      </c>
      <c r="J22" s="384">
        <f>+'Munavalli(KUWSDB)'!L39</f>
        <v>1484279.9</v>
      </c>
      <c r="K22" s="384">
        <f>H22+I22-J22</f>
        <v>107004.03180000023</v>
      </c>
      <c r="L22" s="24"/>
    </row>
    <row r="23" spans="1:12">
      <c r="A23" s="483">
        <v>21</v>
      </c>
      <c r="B23" s="483" t="s">
        <v>51</v>
      </c>
      <c r="C23" s="483" t="s">
        <v>52</v>
      </c>
      <c r="D23" s="384">
        <f>+Borgaon!E35</f>
        <v>445.45</v>
      </c>
      <c r="E23" s="384">
        <f>+Borgaon!G35</f>
        <v>40880.476499999997</v>
      </c>
      <c r="F23" s="384">
        <f>+Borgaon!H35</f>
        <v>46</v>
      </c>
      <c r="G23" s="384">
        <f>+Borgaon!J35</f>
        <v>4771.58</v>
      </c>
      <c r="H23" s="384">
        <f t="shared" si="0"/>
        <v>45652.056499999999</v>
      </c>
      <c r="I23" s="384">
        <v>234525.2237</v>
      </c>
      <c r="J23" s="384">
        <f>+Borgaon!L35</f>
        <v>257350.95</v>
      </c>
      <c r="K23" s="384">
        <f t="shared" si="1"/>
        <v>22826.330199999968</v>
      </c>
      <c r="L23" s="24"/>
    </row>
    <row r="24" spans="1:12">
      <c r="A24" s="483">
        <v>22</v>
      </c>
      <c r="B24" s="483" t="s">
        <v>53</v>
      </c>
      <c r="C24" s="483" t="s">
        <v>54</v>
      </c>
      <c r="D24" s="384">
        <f>+'Ugar,Khagwad,Kudichi'!E35</f>
        <v>2836.99</v>
      </c>
      <c r="E24" s="384">
        <f>+'Ugar,Khagwad,Kudichi'!G35</f>
        <v>260804.49069999997</v>
      </c>
      <c r="F24" s="384">
        <f>+'Ugar,Khagwad,Kudichi'!H35</f>
        <v>168</v>
      </c>
      <c r="G24" s="384">
        <f>+'Ugar,Khagwad,Kudichi'!J35</f>
        <v>17453.52</v>
      </c>
      <c r="H24" s="384">
        <f t="shared" si="0"/>
        <v>278258.01069999998</v>
      </c>
      <c r="I24" s="384">
        <v>273174.2227000001</v>
      </c>
      <c r="J24" s="384">
        <f>+'Ugar,Khagwad,Kudichi'!L35</f>
        <v>310000</v>
      </c>
      <c r="K24" s="384">
        <f t="shared" si="1"/>
        <v>241432.23340000003</v>
      </c>
      <c r="L24" s="24"/>
    </row>
    <row r="25" spans="1:12">
      <c r="A25" s="483">
        <v>23</v>
      </c>
      <c r="B25" s="483" t="s">
        <v>55</v>
      </c>
      <c r="C25" s="483" t="s">
        <v>56</v>
      </c>
      <c r="D25" s="384">
        <f>+Kabbur!E35</f>
        <v>609.02</v>
      </c>
      <c r="E25" s="384">
        <f>+Kabbur!G35</f>
        <v>55780.141799999998</v>
      </c>
      <c r="F25" s="384">
        <f>+Kabbur!H35</f>
        <v>11.559999999999999</v>
      </c>
      <c r="G25" s="384">
        <f>+Kabbur!J35</f>
        <v>1196.8068000000001</v>
      </c>
      <c r="H25" s="384">
        <f t="shared" si="0"/>
        <v>56976.948599999996</v>
      </c>
      <c r="I25" s="384">
        <v>0</v>
      </c>
      <c r="J25" s="384">
        <f>+Kabbur!L35</f>
        <v>56976.948600000003</v>
      </c>
      <c r="K25" s="384">
        <f t="shared" si="1"/>
        <v>0</v>
      </c>
      <c r="L25" s="24"/>
    </row>
    <row r="26" spans="1:12">
      <c r="A26" s="483">
        <v>24</v>
      </c>
      <c r="B26" s="483" t="s">
        <v>57</v>
      </c>
      <c r="C26" s="483" t="s">
        <v>58</v>
      </c>
      <c r="D26" s="384">
        <f>+kumta!E35</f>
        <v>1080.33</v>
      </c>
      <c r="E26" s="384">
        <f>+kumta!G35</f>
        <v>99303.933600000004</v>
      </c>
      <c r="F26" s="384">
        <f>+kumta!H35</f>
        <v>76.239999999999995</v>
      </c>
      <c r="G26" s="384">
        <f>+kumta!J35</f>
        <v>7925.6553999999987</v>
      </c>
      <c r="H26" s="384">
        <f t="shared" si="0"/>
        <v>107229.58900000001</v>
      </c>
      <c r="I26" s="384">
        <v>0</v>
      </c>
      <c r="J26" s="384">
        <f>+kumta!L35</f>
        <v>107229.58900000001</v>
      </c>
      <c r="K26" s="384">
        <f t="shared" si="1"/>
        <v>0</v>
      </c>
      <c r="L26" s="24"/>
    </row>
    <row r="27" spans="1:12">
      <c r="A27" s="483">
        <v>25</v>
      </c>
      <c r="B27" s="483" t="s">
        <v>59</v>
      </c>
      <c r="C27" s="483" t="s">
        <v>60</v>
      </c>
      <c r="D27" s="384">
        <f>+Jalgaon!E39</f>
        <v>856.7399999999999</v>
      </c>
      <c r="E27" s="384">
        <f>+Jalgaon!G39</f>
        <v>78520.440799999997</v>
      </c>
      <c r="F27" s="384">
        <f>+Jalgaon!H39</f>
        <v>13.520000000000001</v>
      </c>
      <c r="G27" s="384">
        <f>+Jalgaon!J39</f>
        <v>1419.4272000000001</v>
      </c>
      <c r="H27" s="384">
        <f t="shared" si="0"/>
        <v>79939.868000000002</v>
      </c>
      <c r="I27" s="384">
        <v>4528.49</v>
      </c>
      <c r="J27" s="384">
        <f>+Jalgaon!L39</f>
        <v>70742.445699999997</v>
      </c>
      <c r="K27" s="384">
        <f t="shared" si="1"/>
        <v>13725.912300000011</v>
      </c>
      <c r="L27" s="24"/>
    </row>
    <row r="28" spans="1:12">
      <c r="A28" s="483">
        <v>26</v>
      </c>
      <c r="B28" s="483" t="s">
        <v>61</v>
      </c>
      <c r="C28" s="483" t="s">
        <v>62</v>
      </c>
      <c r="D28" s="384">
        <f>+MKBD!E36</f>
        <v>34366.54</v>
      </c>
      <c r="E28" s="384">
        <f>+MKBD!G36</f>
        <v>3132158.8472000002</v>
      </c>
      <c r="F28" s="384">
        <f>+MKBD!H36</f>
        <v>95</v>
      </c>
      <c r="G28" s="384">
        <f>+MKBD!J36</f>
        <v>9937</v>
      </c>
      <c r="H28" s="384">
        <f t="shared" si="0"/>
        <v>3142095.8472000002</v>
      </c>
      <c r="I28" s="384">
        <v>1668531</v>
      </c>
      <c r="J28" s="384">
        <f>+MKBD!L36</f>
        <v>4361948.8499999996</v>
      </c>
      <c r="K28" s="384">
        <f t="shared" si="1"/>
        <v>448677.99720000103</v>
      </c>
      <c r="L28" s="24"/>
    </row>
    <row r="29" spans="1:12">
      <c r="A29" s="483">
        <v>27</v>
      </c>
      <c r="B29" s="483" t="s">
        <v>63</v>
      </c>
      <c r="C29" s="483" t="s">
        <v>64</v>
      </c>
      <c r="D29" s="384">
        <f>+Haveri!E35</f>
        <v>1327.13</v>
      </c>
      <c r="E29" s="384">
        <f>+Haveri!G35</f>
        <v>121392.58109999998</v>
      </c>
      <c r="F29" s="384">
        <f>+Haveri!H35</f>
        <v>74.679999999999993</v>
      </c>
      <c r="G29" s="384">
        <f>+Haveri!J35</f>
        <v>7723.8023000000003</v>
      </c>
      <c r="H29" s="384">
        <f t="shared" si="0"/>
        <v>129116.38339999998</v>
      </c>
      <c r="I29" s="384">
        <v>90058</v>
      </c>
      <c r="J29" s="384">
        <f>+Haveri!L35</f>
        <v>182855.22999999998</v>
      </c>
      <c r="K29" s="384">
        <f t="shared" si="1"/>
        <v>36319.15340000001</v>
      </c>
      <c r="L29" s="24"/>
    </row>
    <row r="30" spans="1:12">
      <c r="A30" s="483">
        <v>28</v>
      </c>
      <c r="B30" s="483" t="s">
        <v>65</v>
      </c>
      <c r="C30" s="483" t="s">
        <v>66</v>
      </c>
      <c r="D30" s="384">
        <f>+Guttal!E35</f>
        <v>1295.79</v>
      </c>
      <c r="E30" s="384">
        <f>+Guttal!G35</f>
        <v>118953.52200000001</v>
      </c>
      <c r="F30" s="384">
        <f>+Guttal!H35</f>
        <v>67</v>
      </c>
      <c r="G30" s="384">
        <f>+Guttal!J35</f>
        <v>6951.920000000001</v>
      </c>
      <c r="H30" s="384">
        <f t="shared" si="0"/>
        <v>125905.44200000001</v>
      </c>
      <c r="I30" s="384">
        <v>0</v>
      </c>
      <c r="J30" s="384">
        <f>+Guttal!L35</f>
        <v>125905.44000000003</v>
      </c>
      <c r="K30" s="384">
        <f t="shared" si="1"/>
        <v>1.9999999785795808E-3</v>
      </c>
      <c r="L30" s="24"/>
    </row>
    <row r="31" spans="1:12">
      <c r="A31" s="483">
        <v>29</v>
      </c>
      <c r="B31" s="483" t="s">
        <v>67</v>
      </c>
      <c r="C31" s="483" t="s">
        <v>95</v>
      </c>
      <c r="D31" s="384">
        <f>+Rattihali!E35</f>
        <v>1382.4199999999998</v>
      </c>
      <c r="E31" s="384">
        <f>+Rattihali!G35</f>
        <v>127237.93680000001</v>
      </c>
      <c r="F31" s="384">
        <f>+Rattihali!H35</f>
        <v>55</v>
      </c>
      <c r="G31" s="384">
        <f>+Rattihali!J35</f>
        <v>5722.9</v>
      </c>
      <c r="H31" s="384">
        <f t="shared" si="0"/>
        <v>132960.83680000002</v>
      </c>
      <c r="I31" s="384">
        <v>0</v>
      </c>
      <c r="J31" s="384">
        <f>+Rattihali!L35</f>
        <v>132960.83680000002</v>
      </c>
      <c r="K31" s="384">
        <f t="shared" si="1"/>
        <v>0</v>
      </c>
      <c r="L31" s="24"/>
    </row>
    <row r="32" spans="1:12">
      <c r="A32" s="483">
        <v>30</v>
      </c>
      <c r="B32" s="483" t="s">
        <v>69</v>
      </c>
      <c r="C32" s="483" t="s">
        <v>70</v>
      </c>
      <c r="D32" s="384">
        <f>+Gajendragada!E35</f>
        <v>280</v>
      </c>
      <c r="E32" s="384">
        <f>+Gajendragada!G35</f>
        <v>25712.400000000005</v>
      </c>
      <c r="F32" s="384">
        <f>+Gajendragada!H35</f>
        <v>33</v>
      </c>
      <c r="G32" s="384">
        <f>+Gajendragada!J35</f>
        <v>3425.4</v>
      </c>
      <c r="H32" s="384">
        <f t="shared" si="0"/>
        <v>29137.800000000007</v>
      </c>
      <c r="I32" s="384">
        <v>30323</v>
      </c>
      <c r="J32" s="384">
        <f>+Gajendragada!L35</f>
        <v>0</v>
      </c>
      <c r="K32" s="384">
        <f t="shared" si="1"/>
        <v>59460.800000000003</v>
      </c>
      <c r="L32" s="24"/>
    </row>
    <row r="33" spans="1:12">
      <c r="A33" s="483">
        <v>31</v>
      </c>
      <c r="B33" s="487" t="s">
        <v>71</v>
      </c>
      <c r="C33" s="487" t="s">
        <v>72</v>
      </c>
      <c r="D33" s="384">
        <f>+Ghattaprabha!E35</f>
        <v>0</v>
      </c>
      <c r="E33" s="384">
        <f>+Ghattaprabha!G35</f>
        <v>0</v>
      </c>
      <c r="F33" s="384">
        <f>+Ghattaprabha!H35</f>
        <v>0</v>
      </c>
      <c r="G33" s="384">
        <f>+Ghattaprabha!J35</f>
        <v>0</v>
      </c>
      <c r="H33" s="384">
        <f t="shared" si="0"/>
        <v>0</v>
      </c>
      <c r="I33" s="384">
        <v>1036347.3179000001</v>
      </c>
      <c r="J33" s="384">
        <f>+Ghattaprabha!L35</f>
        <v>1036347</v>
      </c>
      <c r="K33" s="384">
        <f t="shared" si="1"/>
        <v>0.31790000014007092</v>
      </c>
      <c r="L33" s="24"/>
    </row>
    <row r="34" spans="1:12">
      <c r="A34" s="483">
        <v>32</v>
      </c>
      <c r="B34" s="487" t="s">
        <v>73</v>
      </c>
      <c r="C34" s="487" t="s">
        <v>74</v>
      </c>
      <c r="D34" s="384">
        <f>+'Gokak Dharwad PKG 3'!E35</f>
        <v>16586.07</v>
      </c>
      <c r="E34" s="384">
        <f>+'Gokak Dharwad PKG 3'!G35</f>
        <v>1517293.6835999996</v>
      </c>
      <c r="F34" s="384">
        <f>+'Gokak Dharwad PKG 3'!H35</f>
        <v>452</v>
      </c>
      <c r="G34" s="384">
        <f>+'Gokak Dharwad PKG 3'!J35</f>
        <v>46904.279999999992</v>
      </c>
      <c r="H34" s="384">
        <f t="shared" si="0"/>
        <v>1564197.9635999997</v>
      </c>
      <c r="I34" s="388">
        <v>473791</v>
      </c>
      <c r="J34" s="384">
        <f>+'Gokak Dharwad PKG 3'!L35</f>
        <v>500000</v>
      </c>
      <c r="K34" s="384">
        <f t="shared" si="1"/>
        <v>1537988.9635999997</v>
      </c>
      <c r="L34" s="24"/>
    </row>
    <row r="35" spans="1:12">
      <c r="A35" s="483">
        <v>33</v>
      </c>
      <c r="B35" s="487" t="s">
        <v>75</v>
      </c>
      <c r="C35" s="487" t="s">
        <v>76</v>
      </c>
      <c r="D35" s="387">
        <v>0</v>
      </c>
      <c r="E35" s="387">
        <v>0</v>
      </c>
      <c r="F35" s="387">
        <v>4.82</v>
      </c>
      <c r="G35" s="387">
        <v>499.98</v>
      </c>
      <c r="H35" s="387">
        <f t="shared" si="0"/>
        <v>499.98</v>
      </c>
      <c r="I35" s="387">
        <v>0</v>
      </c>
      <c r="J35" s="387">
        <v>499.98</v>
      </c>
      <c r="K35" s="387">
        <f t="shared" si="1"/>
        <v>0</v>
      </c>
      <c r="L35" s="24"/>
    </row>
    <row r="36" spans="1:12">
      <c r="A36" s="483">
        <v>34</v>
      </c>
      <c r="B36" s="487" t="s">
        <v>77</v>
      </c>
      <c r="C36" s="487" t="s">
        <v>78</v>
      </c>
      <c r="D36" s="387">
        <v>152.92000000000002</v>
      </c>
      <c r="E36" s="387">
        <v>13949.9288</v>
      </c>
      <c r="F36" s="387">
        <v>37.28</v>
      </c>
      <c r="G36" s="387">
        <v>3857.5144</v>
      </c>
      <c r="H36" s="387">
        <f>E36+G36</f>
        <v>17807.443200000002</v>
      </c>
      <c r="I36" s="387">
        <v>0</v>
      </c>
      <c r="J36" s="387">
        <v>17807.443200000002</v>
      </c>
      <c r="K36" s="387">
        <f t="shared" si="1"/>
        <v>0</v>
      </c>
      <c r="L36" s="24"/>
    </row>
    <row r="37" spans="1:12">
      <c r="A37" s="483">
        <v>35</v>
      </c>
      <c r="B37" s="487" t="s">
        <v>96</v>
      </c>
      <c r="C37" s="487" t="s">
        <v>97</v>
      </c>
      <c r="D37" s="384">
        <f>+' Shankeshwar'!F35</f>
        <v>317</v>
      </c>
      <c r="E37" s="384">
        <f>+' Shankeshwar'!H35</f>
        <v>28942.1</v>
      </c>
      <c r="F37" s="384">
        <f>+' Shankeshwar'!I35</f>
        <v>9.68</v>
      </c>
      <c r="G37" s="384">
        <f>+' Shankeshwar'!K35</f>
        <v>999.16959999999995</v>
      </c>
      <c r="H37" s="384">
        <f t="shared" si="0"/>
        <v>29941.2696</v>
      </c>
      <c r="I37" s="384"/>
      <c r="J37" s="384">
        <v>18442</v>
      </c>
      <c r="K37" s="384">
        <f t="shared" si="1"/>
        <v>11499.2696</v>
      </c>
      <c r="L37" s="24"/>
    </row>
    <row r="38" spans="1:12">
      <c r="A38" s="483">
        <v>36</v>
      </c>
      <c r="B38" s="487" t="s">
        <v>79</v>
      </c>
      <c r="C38" s="487" t="s">
        <v>80</v>
      </c>
      <c r="D38" s="384">
        <f>+' Talikote'!E44</f>
        <v>1084.7500000000002</v>
      </c>
      <c r="E38" s="384">
        <f>+' Talikote'!G44</f>
        <v>99250.543999999994</v>
      </c>
      <c r="F38" s="384">
        <f>+' Talikote'!H44</f>
        <v>90.519999999999982</v>
      </c>
      <c r="G38" s="384">
        <f>+' Talikote'!J44</f>
        <v>9363.3888000000006</v>
      </c>
      <c r="H38" s="384">
        <f t="shared" si="0"/>
        <v>108613.9328</v>
      </c>
      <c r="I38" s="384">
        <v>0</v>
      </c>
      <c r="J38" s="384">
        <f>+' Talikote'!L44</f>
        <v>106125.1894</v>
      </c>
      <c r="K38" s="384">
        <f t="shared" si="1"/>
        <v>2488.7433999999921</v>
      </c>
      <c r="L38" s="24"/>
    </row>
    <row r="39" spans="1:12">
      <c r="A39" s="483">
        <v>37</v>
      </c>
      <c r="B39" s="487" t="s">
        <v>81</v>
      </c>
      <c r="C39" s="487" t="s">
        <v>82</v>
      </c>
      <c r="D39" s="384">
        <f>+Chadchan!E35</f>
        <v>795.91</v>
      </c>
      <c r="E39" s="384">
        <f>+Chadchan!G35</f>
        <v>71814.959300000002</v>
      </c>
      <c r="F39" s="384">
        <f>+Chadchan!H35</f>
        <v>60.360000000000007</v>
      </c>
      <c r="G39" s="384">
        <f>+Chadchan!J35</f>
        <v>6166.3775999999989</v>
      </c>
      <c r="H39" s="384">
        <f t="shared" si="0"/>
        <v>77981.336899999995</v>
      </c>
      <c r="I39" s="384">
        <v>192780</v>
      </c>
      <c r="J39" s="384">
        <f>+Chadchan!L35</f>
        <v>192780</v>
      </c>
      <c r="K39" s="384">
        <f t="shared" si="1"/>
        <v>77981.336899999995</v>
      </c>
      <c r="L39" s="24"/>
    </row>
    <row r="40" spans="1:12">
      <c r="A40" s="483">
        <v>38</v>
      </c>
      <c r="B40" s="487" t="s">
        <v>83</v>
      </c>
      <c r="C40" s="487" t="s">
        <v>84</v>
      </c>
      <c r="D40" s="384">
        <f>+Sindagi!E44</f>
        <v>607.70000000000005</v>
      </c>
      <c r="E40" s="384">
        <f>+Sindagi!G44</f>
        <v>55440.471000000005</v>
      </c>
      <c r="F40" s="384">
        <f>+Sindagi!H44</f>
        <v>0</v>
      </c>
      <c r="G40" s="384">
        <f>+Sindagi!J44</f>
        <v>0</v>
      </c>
      <c r="H40" s="384">
        <f t="shared" si="0"/>
        <v>55440.471000000005</v>
      </c>
      <c r="I40" s="384">
        <v>0</v>
      </c>
      <c r="J40" s="384">
        <f>+Sindagi!L44</f>
        <v>55440.471000000005</v>
      </c>
      <c r="K40" s="384">
        <f t="shared" si="1"/>
        <v>0</v>
      </c>
      <c r="L40" s="24"/>
    </row>
    <row r="41" spans="1:12">
      <c r="A41" s="483">
        <v>39</v>
      </c>
      <c r="B41" s="487" t="s">
        <v>85</v>
      </c>
      <c r="C41" s="487" t="s">
        <v>86</v>
      </c>
      <c r="D41" s="384">
        <f>+Muddebihal!E46</f>
        <v>146.70999999999998</v>
      </c>
      <c r="E41" s="384">
        <f>+Muddebihal!G46</f>
        <v>13416.629499999999</v>
      </c>
      <c r="F41" s="384">
        <f>+Muddebihal!H46</f>
        <v>38.639999999999993</v>
      </c>
      <c r="G41" s="384">
        <f>+Muddebihal!J46</f>
        <v>3994.9896000000003</v>
      </c>
      <c r="H41" s="384">
        <f t="shared" si="0"/>
        <v>17411.6191</v>
      </c>
      <c r="I41" s="384">
        <v>0</v>
      </c>
      <c r="J41" s="384">
        <f>+Muddebihal!L46</f>
        <v>17411.6191</v>
      </c>
      <c r="K41" s="384">
        <f t="shared" si="1"/>
        <v>0</v>
      </c>
      <c r="L41" s="24"/>
    </row>
    <row r="42" spans="1:12">
      <c r="A42" s="483">
        <v>40</v>
      </c>
      <c r="B42" s="487" t="s">
        <v>87</v>
      </c>
      <c r="C42" s="487" t="s">
        <v>88</v>
      </c>
      <c r="D42" s="384">
        <f>+Alemela!E43</f>
        <v>295.22000000000003</v>
      </c>
      <c r="E42" s="384">
        <f>+Alemela!G43</f>
        <v>26962.442599999995</v>
      </c>
      <c r="F42" s="384">
        <f>+Alemela!H43</f>
        <v>50.620000000000005</v>
      </c>
      <c r="G42" s="384">
        <f>+Alemela!J43</f>
        <v>5227.021200000001</v>
      </c>
      <c r="H42" s="384">
        <f t="shared" si="0"/>
        <v>32189.463799999998</v>
      </c>
      <c r="I42" s="384">
        <v>0</v>
      </c>
      <c r="J42" s="384">
        <f>+Alemela!L43</f>
        <v>32189.463799999998</v>
      </c>
      <c r="K42" s="384">
        <f t="shared" si="1"/>
        <v>0</v>
      </c>
      <c r="L42" s="24"/>
    </row>
    <row r="43" spans="1:12">
      <c r="A43" s="483">
        <v>42</v>
      </c>
      <c r="B43" s="487" t="s">
        <v>91</v>
      </c>
      <c r="C43" s="487" t="s">
        <v>92</v>
      </c>
      <c r="D43" s="384">
        <f>+Nalatwad!E43</f>
        <v>646.89</v>
      </c>
      <c r="E43" s="384">
        <f>+Nalatwad!G43</f>
        <v>59268.061799999996</v>
      </c>
      <c r="F43" s="384">
        <f>+Nalatwad!H43</f>
        <v>30.909999999999997</v>
      </c>
      <c r="G43" s="384">
        <f>+Nalatwad!J43</f>
        <v>3201.3487000000005</v>
      </c>
      <c r="H43" s="384">
        <f>E43+G43</f>
        <v>62469.410499999998</v>
      </c>
      <c r="I43" s="384">
        <v>48315</v>
      </c>
      <c r="J43" s="384">
        <f>+Nalatwad!L43</f>
        <v>90535.84</v>
      </c>
      <c r="K43" s="384">
        <f>H43+I43-J43</f>
        <v>20248.570500000002</v>
      </c>
      <c r="L43" s="24"/>
    </row>
    <row r="44" spans="1:12">
      <c r="A44" s="483">
        <v>41</v>
      </c>
      <c r="B44" s="487" t="s">
        <v>89</v>
      </c>
      <c r="C44" s="487" t="s">
        <v>90</v>
      </c>
      <c r="D44" s="384">
        <f>+Srirangapatna!E35</f>
        <v>259.47000000000003</v>
      </c>
      <c r="E44" s="384">
        <f>+Srirangapatna!G35</f>
        <v>23500.197899999999</v>
      </c>
      <c r="F44" s="384">
        <f>+Srirangapatna!H35</f>
        <v>49.160000000000004</v>
      </c>
      <c r="G44" s="384">
        <f>+Srirangapatna!J35</f>
        <v>5036.9336000000003</v>
      </c>
      <c r="H44" s="384">
        <f t="shared" si="0"/>
        <v>28537.1315</v>
      </c>
      <c r="I44" s="384">
        <v>0</v>
      </c>
      <c r="J44" s="384">
        <f>+Srirangapatna!L35</f>
        <v>28537.1315</v>
      </c>
      <c r="K44" s="384">
        <f t="shared" si="1"/>
        <v>0</v>
      </c>
      <c r="L44" s="24"/>
    </row>
    <row r="45" spans="1:12">
      <c r="A45" s="431" t="s">
        <v>93</v>
      </c>
      <c r="B45" s="431"/>
      <c r="C45" s="431"/>
      <c r="D45" s="382">
        <f>SUM(D2:D44)</f>
        <v>365685.07999999996</v>
      </c>
      <c r="E45" s="382">
        <f>SUM(E2:E44)</f>
        <v>34538741.098099992</v>
      </c>
      <c r="F45" s="382">
        <f>SUM(F2:F44)</f>
        <v>5134.0699999999988</v>
      </c>
      <c r="G45" s="382">
        <f>SUM(G2:G44)</f>
        <v>539024.38989999995</v>
      </c>
      <c r="H45" s="382">
        <f>SUM(H2:H44)</f>
        <v>35077765.487999998</v>
      </c>
      <c r="I45" s="382">
        <f>SUM(I2:I44)</f>
        <v>27985140.376699992</v>
      </c>
      <c r="J45" s="382">
        <f>SUM(J2:J44)</f>
        <v>38382063.55879999</v>
      </c>
      <c r="K45" s="382">
        <f>H45+I45-J45</f>
        <v>24680842.3059</v>
      </c>
      <c r="L45" s="24"/>
    </row>
    <row r="46" spans="1:12">
      <c r="K46" s="371">
        <v>24419621</v>
      </c>
    </row>
    <row r="47" spans="1:12">
      <c r="K47" s="24">
        <f>K45-K46</f>
        <v>261221.30590000004</v>
      </c>
    </row>
    <row r="48" spans="1:12">
      <c r="K48" s="24"/>
    </row>
  </sheetData>
  <sheetProtection algorithmName="SHA-512" hashValue="bJo4x3/bOP/0uZCchiLip8V+YXUVS5DydUEsUtaoEJI4PVd5aiumNQuK1edAQQq0LiOf/0nxGnjSFAFVaPXarg==" saltValue="MgU8MQZnwrh1ylhfpV8nBg==" spinCount="100000" sheet="1" objects="1" scenarios="1"/>
  <mergeCells count="1">
    <mergeCell ref="A45:C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245B-3A8E-41F0-B3BA-16CCD10434D7}">
  <dimension ref="A1:M48"/>
  <sheetViews>
    <sheetView workbookViewId="0">
      <pane ySplit="1" topLeftCell="A13" activePane="bottomLeft" state="frozen"/>
      <selection pane="bottomLeft" activeCell="A22" sqref="A22:XFD22"/>
    </sheetView>
  </sheetViews>
  <sheetFormatPr defaultRowHeight="15"/>
  <cols>
    <col min="1" max="1" width="5" style="409" bestFit="1" customWidth="1"/>
    <col min="2" max="2" width="32" style="409" customWidth="1"/>
    <col min="3" max="3" width="34.5703125" style="409" bestFit="1" customWidth="1"/>
    <col min="4" max="4" width="12.7109375" style="409" bestFit="1" customWidth="1"/>
    <col min="5" max="5" width="14.42578125" style="409" bestFit="1" customWidth="1"/>
    <col min="6" max="6" width="12.7109375" style="409" bestFit="1" customWidth="1"/>
    <col min="7" max="7" width="14.42578125" style="409" bestFit="1" customWidth="1"/>
    <col min="8" max="8" width="13.5703125" style="409" bestFit="1" customWidth="1"/>
    <col min="9" max="9" width="15.140625" style="409" bestFit="1" customWidth="1"/>
    <col min="10" max="10" width="12.7109375" style="409" bestFit="1" customWidth="1"/>
    <col min="11" max="11" width="16" style="409" bestFit="1" customWidth="1"/>
    <col min="12" max="16384" width="9.140625" style="409"/>
  </cols>
  <sheetData>
    <row r="1" spans="1:12">
      <c r="A1" s="406" t="s">
        <v>0</v>
      </c>
      <c r="B1" s="407" t="s">
        <v>1</v>
      </c>
      <c r="C1" s="407" t="s">
        <v>2</v>
      </c>
      <c r="D1" s="407" t="s">
        <v>3</v>
      </c>
      <c r="E1" s="407" t="s">
        <v>4</v>
      </c>
      <c r="F1" s="407" t="s">
        <v>5</v>
      </c>
      <c r="G1" s="407" t="s">
        <v>6</v>
      </c>
      <c r="H1" s="407" t="s">
        <v>7</v>
      </c>
      <c r="I1" s="407" t="s">
        <v>8</v>
      </c>
      <c r="J1" s="407" t="s">
        <v>9</v>
      </c>
      <c r="K1" s="408" t="s">
        <v>10</v>
      </c>
      <c r="L1" s="96"/>
    </row>
    <row r="2" spans="1:12">
      <c r="A2" s="224">
        <v>1</v>
      </c>
      <c r="B2" s="247" t="s">
        <v>11</v>
      </c>
      <c r="C2" s="247" t="s">
        <v>12</v>
      </c>
      <c r="D2" s="416">
        <f>'Khammam-1'!E36</f>
        <v>11984.26</v>
      </c>
      <c r="E2" s="416">
        <f>'Khammam-1'!G36</f>
        <v>1146653.9968000001</v>
      </c>
      <c r="F2" s="416">
        <f>'Khammam-1'!H36</f>
        <v>130</v>
      </c>
      <c r="G2" s="416">
        <f>'Khammam-1'!J36</f>
        <v>13969.8</v>
      </c>
      <c r="H2" s="416">
        <f>E2+G2</f>
        <v>1160623.7968000001</v>
      </c>
      <c r="I2" s="416">
        <f>'Khammam-1'!K3</f>
        <v>5140597</v>
      </c>
      <c r="J2" s="416">
        <f>+'Khammam-1'!L36</f>
        <v>4000000</v>
      </c>
      <c r="K2" s="416">
        <f>I2+H2-J2</f>
        <v>2301220.7968000006</v>
      </c>
      <c r="L2" s="96"/>
    </row>
    <row r="3" spans="1:12">
      <c r="A3" s="410">
        <v>2</v>
      </c>
      <c r="B3" s="411" t="s">
        <v>13</v>
      </c>
      <c r="C3" s="411" t="s">
        <v>14</v>
      </c>
      <c r="D3" s="417">
        <f>+'Khammam-2'!E37</f>
        <v>146362.51999999999</v>
      </c>
      <c r="E3" s="417">
        <f>+'Khammam-2'!G37</f>
        <v>14003940.9136</v>
      </c>
      <c r="F3" s="417">
        <f>+'Khammam-2'!H37</f>
        <v>680</v>
      </c>
      <c r="G3" s="417">
        <f>+'Khammam-2'!J37</f>
        <v>73072.800000000003</v>
      </c>
      <c r="H3" s="416">
        <f>E3+G3</f>
        <v>14077013.7136</v>
      </c>
      <c r="I3" s="417">
        <f>+'Khammam-2'!K3</f>
        <v>3730421</v>
      </c>
      <c r="J3" s="417">
        <f>+'Khammam-2'!L37</f>
        <v>8500000</v>
      </c>
      <c r="K3" s="416">
        <f>I3+H3-J3</f>
        <v>9307434.7136000022</v>
      </c>
      <c r="L3" s="96"/>
    </row>
    <row r="4" spans="1:12">
      <c r="A4" s="410">
        <v>3</v>
      </c>
      <c r="B4" s="411" t="s">
        <v>15</v>
      </c>
      <c r="C4" s="411" t="s">
        <v>16</v>
      </c>
      <c r="D4" s="417">
        <f>+'Khammam-3'!E35</f>
        <v>57904.99</v>
      </c>
      <c r="E4" s="417">
        <f>+'Khammam-3'!G35</f>
        <v>5541507.5429999996</v>
      </c>
      <c r="F4" s="417">
        <f>+'Khammam-3'!H35</f>
        <v>230</v>
      </c>
      <c r="G4" s="417">
        <f>+'Khammam-3'!J35</f>
        <v>24720.399999999998</v>
      </c>
      <c r="H4" s="416">
        <f t="shared" ref="H4:H44" si="0">E4+G4</f>
        <v>5566227.943</v>
      </c>
      <c r="I4" s="417">
        <f>+'Khammam-3'!K3</f>
        <v>8891075.4399999995</v>
      </c>
      <c r="J4" s="417">
        <f>+'Khammam-3'!L35</f>
        <v>7000000</v>
      </c>
      <c r="K4" s="416">
        <f t="shared" ref="K4:K44" si="1">I4+H4-J4</f>
        <v>7457303.3829999994</v>
      </c>
      <c r="L4" s="96"/>
    </row>
    <row r="5" spans="1:12">
      <c r="A5" s="410">
        <v>4</v>
      </c>
      <c r="B5" s="411" t="s">
        <v>17</v>
      </c>
      <c r="C5" s="411" t="s">
        <v>18</v>
      </c>
      <c r="D5" s="417">
        <f>+'Jedcherla -1'!E35</f>
        <v>6568.06</v>
      </c>
      <c r="E5" s="417">
        <f>+'Jedcherla -1'!G35</f>
        <v>633292.34519999987</v>
      </c>
      <c r="F5" s="417">
        <f>+'Jedcherla -1'!H35</f>
        <v>459.59</v>
      </c>
      <c r="G5" s="417">
        <f>+'Jedcherla -1'!J35</f>
        <v>49741.425700000007</v>
      </c>
      <c r="H5" s="416">
        <f t="shared" si="0"/>
        <v>683033.77089999989</v>
      </c>
      <c r="I5" s="417">
        <f>+'Jedcherla -1'!K3</f>
        <v>1966837.0260999999</v>
      </c>
      <c r="J5" s="417">
        <f>+'Jedcherla -1'!L35</f>
        <v>1500000</v>
      </c>
      <c r="K5" s="416">
        <f t="shared" si="1"/>
        <v>1149870.7969999998</v>
      </c>
      <c r="L5" s="96"/>
    </row>
    <row r="6" spans="1:12">
      <c r="A6" s="410">
        <v>5</v>
      </c>
      <c r="B6" s="411" t="s">
        <v>19</v>
      </c>
      <c r="C6" s="411" t="s">
        <v>20</v>
      </c>
      <c r="D6" s="417">
        <f>+'Jedcherla-2'!E35</f>
        <v>0</v>
      </c>
      <c r="E6" s="417">
        <f>+'Jedcherla-2'!G35</f>
        <v>0</v>
      </c>
      <c r="F6" s="417">
        <f>+'Jedcherla-2'!H35</f>
        <v>0</v>
      </c>
      <c r="G6" s="417">
        <f>+'Jedcherla-2'!J35</f>
        <v>0</v>
      </c>
      <c r="H6" s="416">
        <f t="shared" si="0"/>
        <v>0</v>
      </c>
      <c r="I6" s="417">
        <f>+'Jedcherla-2'!K3</f>
        <v>1831699.5263</v>
      </c>
      <c r="J6" s="417">
        <f>+'Jedcherla-2'!L35</f>
        <v>1500000</v>
      </c>
      <c r="K6" s="416">
        <f t="shared" si="1"/>
        <v>331699.52630000003</v>
      </c>
      <c r="L6" s="96"/>
    </row>
    <row r="7" spans="1:12">
      <c r="A7" s="410">
        <v>6</v>
      </c>
      <c r="B7" s="411" t="s">
        <v>21</v>
      </c>
      <c r="C7" s="411" t="s">
        <v>22</v>
      </c>
      <c r="D7" s="417">
        <f>+'Jadcharla-3'!E35</f>
        <v>4040</v>
      </c>
      <c r="E7" s="417">
        <f>+'Jadcharla-3'!G35</f>
        <v>389092.4</v>
      </c>
      <c r="F7" s="417">
        <f>+'Jadcharla-3'!H35</f>
        <v>0</v>
      </c>
      <c r="G7" s="417">
        <f>+'Jadcharla-3'!J35</f>
        <v>0</v>
      </c>
      <c r="H7" s="416">
        <f t="shared" si="0"/>
        <v>389092.4</v>
      </c>
      <c r="I7" s="417">
        <f>+'Jadcharla-3'!M3</f>
        <v>0</v>
      </c>
      <c r="J7" s="417">
        <f>+'Jadcharla-3'!L35</f>
        <v>389092.4</v>
      </c>
      <c r="K7" s="416">
        <f t="shared" si="1"/>
        <v>0</v>
      </c>
      <c r="L7" s="96"/>
    </row>
    <row r="8" spans="1:12">
      <c r="A8" s="410">
        <v>7</v>
      </c>
      <c r="B8" s="411" t="s">
        <v>23</v>
      </c>
      <c r="C8" s="411" t="s">
        <v>24</v>
      </c>
      <c r="D8" s="417">
        <f>+'Jedcharla-4'!E35</f>
        <v>18600</v>
      </c>
      <c r="E8" s="417">
        <f>+'Jedcharla-4'!G35</f>
        <v>1793598</v>
      </c>
      <c r="F8" s="417">
        <f>+'Jedcharla-4'!H35</f>
        <v>0</v>
      </c>
      <c r="G8" s="417">
        <f>+'Jedcharla-4'!J35</f>
        <v>0</v>
      </c>
      <c r="H8" s="416">
        <f t="shared" si="0"/>
        <v>1793598</v>
      </c>
      <c r="I8" s="417">
        <f>+'Jedcharla-4'!M3</f>
        <v>0</v>
      </c>
      <c r="J8" s="417">
        <f>+'Jedcharla-4'!L35</f>
        <v>1793598</v>
      </c>
      <c r="K8" s="416">
        <f t="shared" si="1"/>
        <v>0</v>
      </c>
      <c r="L8" s="96"/>
    </row>
    <row r="9" spans="1:12">
      <c r="A9" s="410">
        <v>8</v>
      </c>
      <c r="B9" s="411" t="s">
        <v>25</v>
      </c>
      <c r="C9" s="411" t="s">
        <v>26</v>
      </c>
      <c r="D9" s="422">
        <v>4186</v>
      </c>
      <c r="E9" s="416">
        <v>403359</v>
      </c>
      <c r="F9" s="416">
        <v>62</v>
      </c>
      <c r="G9" s="416">
        <v>6707</v>
      </c>
      <c r="H9" s="416">
        <v>410066</v>
      </c>
      <c r="I9" s="416">
        <v>1004532</v>
      </c>
      <c r="J9" s="416">
        <v>1414700</v>
      </c>
      <c r="K9" s="416">
        <f t="shared" si="1"/>
        <v>-102</v>
      </c>
      <c r="L9" s="96"/>
    </row>
    <row r="10" spans="1:12">
      <c r="A10" s="410">
        <v>9</v>
      </c>
      <c r="B10" s="411" t="s">
        <v>27</v>
      </c>
      <c r="C10" s="411" t="s">
        <v>28</v>
      </c>
      <c r="D10" s="419">
        <v>165</v>
      </c>
      <c r="E10" s="417">
        <v>15912</v>
      </c>
      <c r="F10" s="417">
        <v>16</v>
      </c>
      <c r="G10" s="417">
        <v>1733</v>
      </c>
      <c r="H10" s="417">
        <v>17645</v>
      </c>
      <c r="I10" s="417">
        <v>0</v>
      </c>
      <c r="J10" s="417">
        <v>17645</v>
      </c>
      <c r="K10" s="416">
        <f t="shared" si="1"/>
        <v>0</v>
      </c>
      <c r="L10" s="96"/>
    </row>
    <row r="11" spans="1:12">
      <c r="A11" s="410">
        <v>10</v>
      </c>
      <c r="B11" s="411" t="s">
        <v>29</v>
      </c>
      <c r="C11" s="411" t="s">
        <v>30</v>
      </c>
      <c r="D11" s="419">
        <v>40</v>
      </c>
      <c r="E11" s="417">
        <v>3849</v>
      </c>
      <c r="F11" s="417">
        <v>0</v>
      </c>
      <c r="G11" s="417">
        <v>0</v>
      </c>
      <c r="H11" s="417">
        <v>3849</v>
      </c>
      <c r="I11" s="417">
        <v>0</v>
      </c>
      <c r="J11" s="417">
        <v>3849</v>
      </c>
      <c r="K11" s="416">
        <f t="shared" si="1"/>
        <v>0</v>
      </c>
      <c r="L11" s="96"/>
    </row>
    <row r="12" spans="1:12">
      <c r="A12" s="410">
        <v>11</v>
      </c>
      <c r="B12" s="411" t="s">
        <v>31</v>
      </c>
      <c r="C12" s="411" t="s">
        <v>32</v>
      </c>
      <c r="D12" s="423">
        <v>4155</v>
      </c>
      <c r="E12" s="420">
        <v>399816</v>
      </c>
      <c r="F12" s="420">
        <v>57</v>
      </c>
      <c r="G12" s="420">
        <v>6149</v>
      </c>
      <c r="H12" s="420">
        <v>405965</v>
      </c>
      <c r="I12" s="420">
        <v>0</v>
      </c>
      <c r="J12" s="420">
        <v>405965</v>
      </c>
      <c r="K12" s="416">
        <f t="shared" si="1"/>
        <v>0</v>
      </c>
      <c r="L12" s="96"/>
    </row>
    <row r="13" spans="1:12">
      <c r="A13" s="410">
        <v>12</v>
      </c>
      <c r="B13" s="411" t="s">
        <v>94</v>
      </c>
      <c r="C13" s="411" t="s">
        <v>98</v>
      </c>
      <c r="D13" s="417">
        <f>+Dindi!E35</f>
        <v>160.67000000000002</v>
      </c>
      <c r="E13" s="417">
        <f>+Dindi!G35</f>
        <v>15529.940499999999</v>
      </c>
      <c r="F13" s="417">
        <f>+Dindi!H35</f>
        <v>0</v>
      </c>
      <c r="G13" s="417">
        <f>+Dindi!J35</f>
        <v>0</v>
      </c>
      <c r="H13" s="416">
        <f t="shared" si="0"/>
        <v>15529.940499999999</v>
      </c>
      <c r="I13" s="417">
        <f>+Dindi!M3</f>
        <v>0</v>
      </c>
      <c r="J13" s="417">
        <f>+Dindi!L35</f>
        <v>15529.940499999999</v>
      </c>
      <c r="K13" s="416">
        <f t="shared" si="1"/>
        <v>0</v>
      </c>
      <c r="L13" s="96"/>
    </row>
    <row r="14" spans="1:12">
      <c r="A14" s="410">
        <v>12</v>
      </c>
      <c r="B14" s="411" t="s">
        <v>33</v>
      </c>
      <c r="C14" s="411" t="s">
        <v>34</v>
      </c>
      <c r="D14" s="417">
        <f>+'YG Gudda '!E36</f>
        <v>6528.47</v>
      </c>
      <c r="E14" s="417">
        <f>+'YG Gudda '!G36</f>
        <v>596059.16509999998</v>
      </c>
      <c r="F14" s="417">
        <f>+'YG Gudda '!H36</f>
        <v>595</v>
      </c>
      <c r="G14" s="417">
        <f>+'YG Gudda '!J36</f>
        <v>61427.799999999988</v>
      </c>
      <c r="H14" s="416">
        <f t="shared" si="0"/>
        <v>657486.96509999991</v>
      </c>
      <c r="I14" s="417">
        <f>+'YG Gudda '!M3</f>
        <v>244365</v>
      </c>
      <c r="J14" s="417">
        <f>+'YG Gudda '!L36</f>
        <v>829920</v>
      </c>
      <c r="K14" s="416">
        <f t="shared" si="1"/>
        <v>71931.965099999914</v>
      </c>
      <c r="L14" s="96"/>
    </row>
    <row r="15" spans="1:12">
      <c r="A15" s="410">
        <v>13</v>
      </c>
      <c r="B15" s="411" t="s">
        <v>35</v>
      </c>
      <c r="C15" s="411" t="s">
        <v>36</v>
      </c>
      <c r="D15" s="417">
        <f>+Hosadurga!E35</f>
        <v>4500</v>
      </c>
      <c r="E15" s="417">
        <f>+Hosadurga!G35</f>
        <v>412380</v>
      </c>
      <c r="F15" s="417">
        <f>+Hosadurga!H35</f>
        <v>140</v>
      </c>
      <c r="G15" s="417">
        <f>+Hosadurga!J35</f>
        <v>14777</v>
      </c>
      <c r="H15" s="416">
        <f t="shared" si="0"/>
        <v>427157</v>
      </c>
      <c r="I15" s="417">
        <f>+Hosadurga!M3</f>
        <v>0</v>
      </c>
      <c r="J15" s="417">
        <f>+Hosadurga!L35</f>
        <v>427157</v>
      </c>
      <c r="K15" s="416">
        <f t="shared" si="1"/>
        <v>0</v>
      </c>
      <c r="L15" s="96"/>
    </row>
    <row r="16" spans="1:12">
      <c r="A16" s="410">
        <v>14</v>
      </c>
      <c r="B16" s="411" t="s">
        <v>37</v>
      </c>
      <c r="C16" s="411" t="s">
        <v>38</v>
      </c>
      <c r="D16" s="417">
        <f>+'Hosadurga -2'!E35</f>
        <v>3999.21</v>
      </c>
      <c r="E16" s="417">
        <f>+'Hosadurga -2'!G35</f>
        <v>365487.80189999996</v>
      </c>
      <c r="F16" s="417">
        <f>+'Hosadurga -2'!H35</f>
        <v>205</v>
      </c>
      <c r="G16" s="417">
        <f>+'Hosadurga -2'!J35</f>
        <v>21209.3</v>
      </c>
      <c r="H16" s="416">
        <f t="shared" si="0"/>
        <v>386697.10189999995</v>
      </c>
      <c r="I16" s="417">
        <f>+'Hosadurga -2'!M3</f>
        <v>151569.40000000002</v>
      </c>
      <c r="J16" s="417">
        <f>+'Hosadurga -2'!L35</f>
        <v>150000</v>
      </c>
      <c r="K16" s="416">
        <f t="shared" si="1"/>
        <v>388266.50190000003</v>
      </c>
      <c r="L16" s="96"/>
    </row>
    <row r="17" spans="1:13">
      <c r="A17" s="410">
        <v>15</v>
      </c>
      <c r="B17" s="412" t="s">
        <v>39</v>
      </c>
      <c r="C17" s="412" t="s">
        <v>40</v>
      </c>
      <c r="D17" s="417">
        <f>+'Malebenur(KUWSDB)'!E38</f>
        <v>4752.84</v>
      </c>
      <c r="E17" s="417">
        <f>+'Malebenur(KUWSDB)'!G38</f>
        <v>437736.26399999997</v>
      </c>
      <c r="F17" s="417">
        <f>+'Malebenur(KUWSDB)'!H38</f>
        <v>193</v>
      </c>
      <c r="G17" s="417">
        <f>+'Malebenur(KUWSDB)'!J38</f>
        <v>20044.899999999998</v>
      </c>
      <c r="H17" s="416">
        <f t="shared" si="0"/>
        <v>457781.16399999999</v>
      </c>
      <c r="I17" s="417">
        <f>+'Malebenur(KUWSDB)'!M3</f>
        <v>96655</v>
      </c>
      <c r="J17" s="417">
        <f>+'Malebenur(KUWSDB)'!L38</f>
        <v>517820.15</v>
      </c>
      <c r="K17" s="416">
        <f t="shared" si="1"/>
        <v>36616.013999999966</v>
      </c>
      <c r="L17" s="96"/>
    </row>
    <row r="18" spans="1:13">
      <c r="A18" s="410">
        <v>16</v>
      </c>
      <c r="B18" s="411" t="s">
        <v>41</v>
      </c>
      <c r="C18" s="411" t="s">
        <v>42</v>
      </c>
      <c r="D18" s="417">
        <f>+Kadur!E35</f>
        <v>4011.04</v>
      </c>
      <c r="E18" s="417">
        <f>+Kadur!G35</f>
        <v>365606.29599999997</v>
      </c>
      <c r="F18" s="417">
        <f>+Kadur!H35</f>
        <v>250</v>
      </c>
      <c r="G18" s="417">
        <f>+Kadur!J35</f>
        <v>26067.5</v>
      </c>
      <c r="H18" s="416">
        <f t="shared" si="0"/>
        <v>391673.79599999997</v>
      </c>
      <c r="I18" s="417">
        <f>+Kadur!K3</f>
        <v>776427.64999999991</v>
      </c>
      <c r="J18" s="417">
        <f>+Kadur!L35</f>
        <v>1006.3</v>
      </c>
      <c r="K18" s="416">
        <f t="shared" si="1"/>
        <v>1167095.1459999999</v>
      </c>
      <c r="L18" s="96"/>
    </row>
    <row r="19" spans="1:13">
      <c r="A19" s="410">
        <v>17</v>
      </c>
      <c r="B19" s="411" t="s">
        <v>43</v>
      </c>
      <c r="C19" s="411" t="s">
        <v>44</v>
      </c>
      <c r="D19" s="417">
        <f>+'Hiriyur(VJNL)'!E35</f>
        <v>2400</v>
      </c>
      <c r="E19" s="417">
        <f>+'Hiriyur(VJNL)'!G35</f>
        <v>221040</v>
      </c>
      <c r="F19" s="417">
        <f>+'Hiriyur(VJNL)'!H35</f>
        <v>280</v>
      </c>
      <c r="G19" s="417">
        <f>+'Hiriyur(VJNL)'!J35</f>
        <v>29080.799999999999</v>
      </c>
      <c r="H19" s="416">
        <f t="shared" si="0"/>
        <v>250120.8</v>
      </c>
      <c r="I19" s="417">
        <f>+'Hiriyur(VJNL)'!M3</f>
        <v>237520</v>
      </c>
      <c r="J19" s="417">
        <f>+'Hiriyur(VJNL)'!L35</f>
        <v>400000</v>
      </c>
      <c r="K19" s="416">
        <f t="shared" si="1"/>
        <v>87640.799999999988</v>
      </c>
      <c r="L19" s="96"/>
    </row>
    <row r="20" spans="1:13">
      <c r="A20" s="410">
        <v>18</v>
      </c>
      <c r="B20" s="411" t="s">
        <v>45</v>
      </c>
      <c r="C20" s="411" t="s">
        <v>46</v>
      </c>
      <c r="D20" s="417">
        <f>+'Chellakere (KUWSDB)'!E35</f>
        <v>2970</v>
      </c>
      <c r="E20" s="417">
        <f>+'Chellakere (KUWSDB)'!G35</f>
        <v>273507.3</v>
      </c>
      <c r="F20" s="417">
        <f>+'Chellakere (KUWSDB)'!H35</f>
        <v>165</v>
      </c>
      <c r="G20" s="417">
        <f>+'Chellakere (KUWSDB)'!J35</f>
        <v>17136.900000000001</v>
      </c>
      <c r="H20" s="416">
        <f t="shared" si="0"/>
        <v>290644.2</v>
      </c>
      <c r="I20" s="417">
        <f>+'Chellakere (KUWSDB)'!L3</f>
        <v>0</v>
      </c>
      <c r="J20" s="417">
        <f>+'Chellakere (KUWSDB)'!L35</f>
        <v>290644.2</v>
      </c>
      <c r="K20" s="416">
        <f t="shared" si="1"/>
        <v>0</v>
      </c>
      <c r="L20" s="96"/>
    </row>
    <row r="21" spans="1:13">
      <c r="A21" s="410">
        <v>19</v>
      </c>
      <c r="B21" s="411" t="s">
        <v>47</v>
      </c>
      <c r="C21" s="411" t="s">
        <v>48</v>
      </c>
      <c r="D21" s="417">
        <f>+Khanapur!E35</f>
        <v>402.01</v>
      </c>
      <c r="E21" s="417">
        <f>+Khanapur!G35</f>
        <v>36587.058799999999</v>
      </c>
      <c r="F21" s="417">
        <f>+Khanapur!H35</f>
        <v>21.25</v>
      </c>
      <c r="G21" s="417">
        <f>+Khanapur!J35</f>
        <v>2183.1813999999999</v>
      </c>
      <c r="H21" s="416">
        <f t="shared" si="0"/>
        <v>38770.2402</v>
      </c>
      <c r="I21" s="417">
        <f>+Khanapur!M3</f>
        <v>0</v>
      </c>
      <c r="J21" s="417">
        <f>+Khanapur!M35</f>
        <v>38770.240199999993</v>
      </c>
      <c r="K21" s="416">
        <f t="shared" si="1"/>
        <v>0</v>
      </c>
      <c r="L21" s="96"/>
    </row>
    <row r="22" spans="1:13">
      <c r="A22" s="410">
        <v>20</v>
      </c>
      <c r="B22" s="411" t="s">
        <v>49</v>
      </c>
      <c r="C22" s="411" t="s">
        <v>50</v>
      </c>
      <c r="D22" s="417">
        <f>'Munavalli(KUWSDB)'!E39</f>
        <v>16582.169999999998</v>
      </c>
      <c r="E22" s="417">
        <f>'Munavalli(KUWSDB)'!G39</f>
        <v>1513202.4342000003</v>
      </c>
      <c r="F22" s="417">
        <f>'Munavalli(KUWSDB)'!H39</f>
        <v>186.32</v>
      </c>
      <c r="G22" s="417">
        <f>'Munavalli(KUWSDB)'!J39</f>
        <v>19224.497599999995</v>
      </c>
      <c r="H22" s="416">
        <f t="shared" si="0"/>
        <v>1532426.9318000001</v>
      </c>
      <c r="I22" s="417">
        <f>'Munavalli(KUWSDB)'!M3</f>
        <v>58857</v>
      </c>
      <c r="J22" s="417">
        <f>'Munavalli(KUWSDB)'!L39</f>
        <v>1484279.9</v>
      </c>
      <c r="K22" s="416">
        <f t="shared" si="1"/>
        <v>107004.03180000023</v>
      </c>
      <c r="L22" s="96"/>
    </row>
    <row r="23" spans="1:13">
      <c r="A23" s="410">
        <v>21</v>
      </c>
      <c r="B23" s="411" t="s">
        <v>51</v>
      </c>
      <c r="C23" s="411" t="s">
        <v>52</v>
      </c>
      <c r="D23" s="417">
        <f>Borgaon!E35</f>
        <v>445.45</v>
      </c>
      <c r="E23" s="417">
        <f>Borgaon!G35</f>
        <v>40880.476499999997</v>
      </c>
      <c r="F23" s="417">
        <f>Borgaon!H35</f>
        <v>46</v>
      </c>
      <c r="G23" s="417">
        <f>Borgaon!J35</f>
        <v>4771.58</v>
      </c>
      <c r="H23" s="416">
        <f t="shared" si="0"/>
        <v>45652.056499999999</v>
      </c>
      <c r="I23" s="417">
        <f>Borgaon!M3</f>
        <v>234525.2237</v>
      </c>
      <c r="J23" s="417">
        <f>Borgaon!L35</f>
        <v>257350.95</v>
      </c>
      <c r="K23" s="416">
        <f t="shared" si="1"/>
        <v>22826.330199999968</v>
      </c>
      <c r="L23" s="96"/>
      <c r="M23" s="425"/>
    </row>
    <row r="24" spans="1:13">
      <c r="A24" s="410">
        <v>22</v>
      </c>
      <c r="B24" s="411" t="s">
        <v>53</v>
      </c>
      <c r="C24" s="411" t="s">
        <v>54</v>
      </c>
      <c r="D24" s="417">
        <f>'Ugar,Khagwad,Kudichi'!E35</f>
        <v>2836.99</v>
      </c>
      <c r="E24" s="417">
        <f>'Ugar,Khagwad,Kudichi'!G35</f>
        <v>260804.49069999997</v>
      </c>
      <c r="F24" s="417">
        <f>'Ugar,Khagwad,Kudichi'!H35</f>
        <v>168</v>
      </c>
      <c r="G24" s="417">
        <f>'Ugar,Khagwad,Kudichi'!J35</f>
        <v>17453.52</v>
      </c>
      <c r="H24" s="416">
        <f t="shared" si="0"/>
        <v>278258.01069999998</v>
      </c>
      <c r="I24" s="417">
        <f>'Ugar,Khagwad,Kudichi'!M3</f>
        <v>273179.6173000001</v>
      </c>
      <c r="J24" s="417">
        <f>'Ugar,Khagwad,Kudichi'!L35</f>
        <v>310000</v>
      </c>
      <c r="K24" s="416">
        <f t="shared" si="1"/>
        <v>241437.62800000003</v>
      </c>
      <c r="L24" s="96"/>
    </row>
    <row r="25" spans="1:13">
      <c r="A25" s="410">
        <v>23</v>
      </c>
      <c r="B25" s="411" t="s">
        <v>55</v>
      </c>
      <c r="C25" s="411" t="s">
        <v>56</v>
      </c>
      <c r="D25" s="417">
        <f>Kabbur!E35</f>
        <v>609.02</v>
      </c>
      <c r="E25" s="417">
        <f>Kabbur!G35</f>
        <v>55780.141799999998</v>
      </c>
      <c r="F25" s="417">
        <f>Kabbur!H35</f>
        <v>11.559999999999999</v>
      </c>
      <c r="G25" s="417">
        <f>Kabbur!J35</f>
        <v>1196.8068000000001</v>
      </c>
      <c r="H25" s="416">
        <f t="shared" si="0"/>
        <v>56976.948599999996</v>
      </c>
      <c r="I25" s="417">
        <f>Kabbur!K3</f>
        <v>0</v>
      </c>
      <c r="J25" s="417">
        <f>Kabbur!L35</f>
        <v>56976.948600000003</v>
      </c>
      <c r="K25" s="416">
        <f t="shared" si="1"/>
        <v>0</v>
      </c>
      <c r="L25" s="96"/>
    </row>
    <row r="26" spans="1:13">
      <c r="A26" s="410">
        <v>24</v>
      </c>
      <c r="B26" s="411" t="s">
        <v>57</v>
      </c>
      <c r="C26" s="411" t="s">
        <v>58</v>
      </c>
      <c r="D26" s="417">
        <f>kumta!E35</f>
        <v>1080.33</v>
      </c>
      <c r="E26" s="417">
        <f>kumta!G35</f>
        <v>99303.933600000004</v>
      </c>
      <c r="F26" s="417">
        <f>kumta!H35</f>
        <v>76.239999999999995</v>
      </c>
      <c r="G26" s="417">
        <f>kumta!J35</f>
        <v>7925.6553999999987</v>
      </c>
      <c r="H26" s="416">
        <f t="shared" si="0"/>
        <v>107229.58900000001</v>
      </c>
      <c r="I26" s="417">
        <f>kumta!M3</f>
        <v>0</v>
      </c>
      <c r="J26" s="417">
        <f>kumta!L35</f>
        <v>107229.58900000001</v>
      </c>
      <c r="K26" s="416">
        <f t="shared" si="1"/>
        <v>0</v>
      </c>
      <c r="L26" s="96"/>
    </row>
    <row r="27" spans="1:13">
      <c r="A27" s="410">
        <v>25</v>
      </c>
      <c r="B27" s="411" t="s">
        <v>59</v>
      </c>
      <c r="C27" s="411" t="s">
        <v>60</v>
      </c>
      <c r="D27" s="417">
        <f>Jalgaon!E39</f>
        <v>856.7399999999999</v>
      </c>
      <c r="E27" s="417">
        <f>Jalgaon!G39</f>
        <v>78520.440799999997</v>
      </c>
      <c r="F27" s="417">
        <f>Jalgaon!H39</f>
        <v>13.520000000000001</v>
      </c>
      <c r="G27" s="417">
        <f>Jalgaon!J39</f>
        <v>1419.4272000000001</v>
      </c>
      <c r="H27" s="416">
        <f t="shared" si="0"/>
        <v>79939.868000000002</v>
      </c>
      <c r="I27" s="417">
        <f>Jalgaon!M3</f>
        <v>4528.49</v>
      </c>
      <c r="J27" s="417">
        <f>Jalgaon!L39</f>
        <v>70742.445699999997</v>
      </c>
      <c r="K27" s="416">
        <f t="shared" si="1"/>
        <v>13725.912300000011</v>
      </c>
      <c r="L27" s="96"/>
    </row>
    <row r="28" spans="1:13">
      <c r="A28" s="410">
        <v>26</v>
      </c>
      <c r="B28" s="411" t="s">
        <v>61</v>
      </c>
      <c r="C28" s="411" t="s">
        <v>62</v>
      </c>
      <c r="D28" s="417">
        <f>MKBD!E36</f>
        <v>34366.54</v>
      </c>
      <c r="E28" s="417">
        <f>MKBD!G36</f>
        <v>3132158.8472000002</v>
      </c>
      <c r="F28" s="417">
        <f>MKBD!H36</f>
        <v>95</v>
      </c>
      <c r="G28" s="417">
        <f>MKBD!J36</f>
        <v>9937</v>
      </c>
      <c r="H28" s="416">
        <f t="shared" si="0"/>
        <v>3142095.8472000002</v>
      </c>
      <c r="I28" s="417">
        <f>MKBD!M3</f>
        <v>1670481.67</v>
      </c>
      <c r="J28" s="417">
        <f>MKBD!L36</f>
        <v>4361948.8499999996</v>
      </c>
      <c r="K28" s="416">
        <f t="shared" si="1"/>
        <v>450628.66720000096</v>
      </c>
      <c r="L28" s="96"/>
    </row>
    <row r="29" spans="1:13">
      <c r="A29" s="410">
        <v>27</v>
      </c>
      <c r="B29" s="411" t="s">
        <v>63</v>
      </c>
      <c r="C29" s="411" t="s">
        <v>64</v>
      </c>
      <c r="D29" s="417">
        <f>Haveri!E35</f>
        <v>1327.13</v>
      </c>
      <c r="E29" s="417">
        <f>Haveri!G35</f>
        <v>121392.58109999998</v>
      </c>
      <c r="F29" s="417">
        <f>Haveri!H35</f>
        <v>74.679999999999993</v>
      </c>
      <c r="G29" s="417">
        <f>Haveri!J35</f>
        <v>7723.8023000000003</v>
      </c>
      <c r="H29" s="416">
        <f t="shared" si="0"/>
        <v>129116.38339999998</v>
      </c>
      <c r="I29" s="417">
        <f>Haveri!M3</f>
        <v>90058</v>
      </c>
      <c r="J29" s="417">
        <f>Haveri!L35</f>
        <v>182855.22999999998</v>
      </c>
      <c r="K29" s="416">
        <f t="shared" si="1"/>
        <v>36319.15340000001</v>
      </c>
      <c r="L29" s="96"/>
    </row>
    <row r="30" spans="1:13">
      <c r="A30" s="410">
        <v>28</v>
      </c>
      <c r="B30" s="411" t="s">
        <v>65</v>
      </c>
      <c r="C30" s="411" t="s">
        <v>66</v>
      </c>
      <c r="D30" s="417">
        <f>Guttal!E35</f>
        <v>1295.79</v>
      </c>
      <c r="E30" s="417">
        <f>Guttal!G35</f>
        <v>118953.52200000001</v>
      </c>
      <c r="F30" s="417">
        <f>Guttal!H35</f>
        <v>67</v>
      </c>
      <c r="G30" s="417">
        <f>Guttal!J35</f>
        <v>6951.920000000001</v>
      </c>
      <c r="H30" s="416">
        <f t="shared" si="0"/>
        <v>125905.44200000001</v>
      </c>
      <c r="I30" s="417">
        <f>Guttal!M3</f>
        <v>0</v>
      </c>
      <c r="J30" s="417">
        <f>Guttal!L35</f>
        <v>125905.44000000003</v>
      </c>
      <c r="K30" s="416">
        <f t="shared" si="1"/>
        <v>1.9999999785795808E-3</v>
      </c>
      <c r="L30" s="96"/>
    </row>
    <row r="31" spans="1:13">
      <c r="A31" s="410">
        <v>29</v>
      </c>
      <c r="B31" s="411" t="s">
        <v>67</v>
      </c>
      <c r="C31" s="411" t="s">
        <v>95</v>
      </c>
      <c r="D31" s="417">
        <f>Rattihali!E35</f>
        <v>1382.4199999999998</v>
      </c>
      <c r="E31" s="417">
        <f>Rattihali!G35</f>
        <v>127237.93680000001</v>
      </c>
      <c r="F31" s="417">
        <f>Rattihali!H35</f>
        <v>55</v>
      </c>
      <c r="G31" s="417">
        <f>Rattihali!J35</f>
        <v>5722.9</v>
      </c>
      <c r="H31" s="416">
        <f t="shared" si="0"/>
        <v>132960.83680000002</v>
      </c>
      <c r="I31" s="417">
        <f>Rattihali!M3</f>
        <v>0</v>
      </c>
      <c r="J31" s="417">
        <f>Rattihali!L35</f>
        <v>132960.83680000002</v>
      </c>
      <c r="K31" s="416">
        <f t="shared" si="1"/>
        <v>0</v>
      </c>
      <c r="L31" s="96"/>
    </row>
    <row r="32" spans="1:13">
      <c r="A32" s="410">
        <v>30</v>
      </c>
      <c r="B32" s="411" t="s">
        <v>69</v>
      </c>
      <c r="C32" s="411" t="s">
        <v>70</v>
      </c>
      <c r="D32" s="417">
        <f>Gajendragada!E35</f>
        <v>280</v>
      </c>
      <c r="E32" s="417">
        <f>Gajendragada!G35</f>
        <v>25712.400000000005</v>
      </c>
      <c r="F32" s="417">
        <f>Gajendragada!H35</f>
        <v>33</v>
      </c>
      <c r="G32" s="417">
        <f>Gajendragada!J35</f>
        <v>3425.4</v>
      </c>
      <c r="H32" s="416">
        <f t="shared" si="0"/>
        <v>29137.800000000007</v>
      </c>
      <c r="I32" s="417">
        <f>Gajendragada!M3</f>
        <v>30323</v>
      </c>
      <c r="J32" s="417">
        <f>Gajendragada!L35</f>
        <v>0</v>
      </c>
      <c r="K32" s="416">
        <f t="shared" si="1"/>
        <v>59460.800000000003</v>
      </c>
      <c r="L32" s="96"/>
    </row>
    <row r="33" spans="1:12">
      <c r="A33" s="410">
        <v>31</v>
      </c>
      <c r="B33" s="411" t="s">
        <v>71</v>
      </c>
      <c r="C33" s="411" t="s">
        <v>72</v>
      </c>
      <c r="D33" s="417">
        <f>Ghattaprabha!E35</f>
        <v>0</v>
      </c>
      <c r="E33" s="417">
        <f>Ghattaprabha!G35</f>
        <v>0</v>
      </c>
      <c r="F33" s="417">
        <f>Ghattaprabha!H35</f>
        <v>0</v>
      </c>
      <c r="G33" s="417">
        <f>Ghattaprabha!J35</f>
        <v>0</v>
      </c>
      <c r="H33" s="416">
        <f t="shared" si="0"/>
        <v>0</v>
      </c>
      <c r="I33" s="417">
        <f>Ghattaprabha!M3</f>
        <v>1036347.3179000001</v>
      </c>
      <c r="J33" s="417">
        <f>Ghattaprabha!L35</f>
        <v>1036347</v>
      </c>
      <c r="K33" s="416">
        <f t="shared" si="1"/>
        <v>0.31790000014007092</v>
      </c>
      <c r="L33" s="96"/>
    </row>
    <row r="34" spans="1:12">
      <c r="A34" s="410">
        <v>32</v>
      </c>
      <c r="B34" s="411" t="s">
        <v>73</v>
      </c>
      <c r="C34" s="411" t="s">
        <v>74</v>
      </c>
      <c r="D34" s="417">
        <f>'Gokak Dharwad PKG 3'!E35</f>
        <v>16586.07</v>
      </c>
      <c r="E34" s="417">
        <f>'Gokak Dharwad PKG 3'!G35</f>
        <v>1517293.6835999996</v>
      </c>
      <c r="F34" s="417">
        <f>'Gokak Dharwad PKG 3'!H35</f>
        <v>452</v>
      </c>
      <c r="G34" s="417">
        <f>'Gokak Dharwad PKG 3'!J35</f>
        <v>46904.279999999992</v>
      </c>
      <c r="H34" s="416">
        <f t="shared" si="0"/>
        <v>1564197.9635999997</v>
      </c>
      <c r="I34" s="418">
        <f>'Gokak Dharwad PKG 3'!M3</f>
        <v>473791</v>
      </c>
      <c r="J34" s="419">
        <f>'Gokak Dharwad PKG 3'!L35</f>
        <v>500000</v>
      </c>
      <c r="K34" s="416">
        <f t="shared" si="1"/>
        <v>1537988.9635999997</v>
      </c>
      <c r="L34" s="96"/>
    </row>
    <row r="35" spans="1:12">
      <c r="A35" s="410">
        <v>33</v>
      </c>
      <c r="B35" s="411" t="s">
        <v>75</v>
      </c>
      <c r="C35" s="411" t="s">
        <v>76</v>
      </c>
      <c r="D35" s="420">
        <f>+' Gokak'!F35</f>
        <v>0</v>
      </c>
      <c r="E35" s="420">
        <f>+' Gokak'!H35</f>
        <v>0</v>
      </c>
      <c r="F35" s="420">
        <f>+' Gokak'!I35</f>
        <v>4.82</v>
      </c>
      <c r="G35" s="420">
        <f>+' Gokak'!K35</f>
        <v>499.97860000000003</v>
      </c>
      <c r="H35" s="416">
        <f t="shared" si="0"/>
        <v>499.97860000000003</v>
      </c>
      <c r="I35" s="421">
        <f>+' Gokak'!M4</f>
        <v>0</v>
      </c>
      <c r="J35" s="420">
        <f>+' Gokak'!M35</f>
        <v>499.97860000000003</v>
      </c>
      <c r="K35" s="416">
        <f t="shared" si="1"/>
        <v>0</v>
      </c>
      <c r="L35" s="96"/>
    </row>
    <row r="36" spans="1:12">
      <c r="A36" s="410">
        <v>34</v>
      </c>
      <c r="B36" s="411" t="s">
        <v>77</v>
      </c>
      <c r="C36" s="411" t="s">
        <v>78</v>
      </c>
      <c r="D36" s="420">
        <f>Ankalgi!E35</f>
        <v>132.92000000000002</v>
      </c>
      <c r="E36" s="420">
        <f>Ankalgi!G35</f>
        <v>12114.328799999999</v>
      </c>
      <c r="F36" s="420">
        <f>Ankalgi!H35</f>
        <v>18</v>
      </c>
      <c r="G36" s="420">
        <f>Ankalgi!J35</f>
        <v>1857.6</v>
      </c>
      <c r="H36" s="416">
        <f t="shared" si="0"/>
        <v>13971.9288</v>
      </c>
      <c r="I36" s="420">
        <f>Ankalgi!M3</f>
        <v>0</v>
      </c>
      <c r="J36" s="420">
        <f>Ankalgi!L35</f>
        <v>13971.928799999998</v>
      </c>
      <c r="K36" s="416">
        <f t="shared" si="1"/>
        <v>0</v>
      </c>
      <c r="L36" s="96"/>
    </row>
    <row r="37" spans="1:12">
      <c r="A37" s="410">
        <v>35</v>
      </c>
      <c r="B37" s="411" t="s">
        <v>96</v>
      </c>
      <c r="C37" s="411" t="s">
        <v>97</v>
      </c>
      <c r="D37" s="417">
        <f>' Shankeshwar'!F35</f>
        <v>317</v>
      </c>
      <c r="E37" s="417">
        <f>' Shankeshwar'!H35</f>
        <v>28942.1</v>
      </c>
      <c r="F37" s="417">
        <f>' Shankeshwar'!I35</f>
        <v>9.68</v>
      </c>
      <c r="G37" s="417">
        <f>' Shankeshwar'!K35</f>
        <v>999.16959999999995</v>
      </c>
      <c r="H37" s="416">
        <f t="shared" si="0"/>
        <v>29941.2696</v>
      </c>
      <c r="I37" s="417">
        <f>' Shankeshwar'!M3</f>
        <v>0</v>
      </c>
      <c r="J37" s="417">
        <f>' Shankeshwar'!L35</f>
        <v>29941.2696</v>
      </c>
      <c r="K37" s="416">
        <f t="shared" si="1"/>
        <v>0</v>
      </c>
      <c r="L37" s="96"/>
    </row>
    <row r="38" spans="1:12">
      <c r="A38" s="410">
        <v>36</v>
      </c>
      <c r="B38" s="411" t="s">
        <v>79</v>
      </c>
      <c r="C38" s="411" t="s">
        <v>80</v>
      </c>
      <c r="D38" s="417">
        <f>' Talikote'!E44</f>
        <v>1084.7500000000002</v>
      </c>
      <c r="E38" s="417">
        <f>' Talikote'!G44</f>
        <v>99250.543999999994</v>
      </c>
      <c r="F38" s="417">
        <f>' Talikote'!H44</f>
        <v>90.519999999999982</v>
      </c>
      <c r="G38" s="417">
        <f>' Talikote'!J44</f>
        <v>9363.3888000000006</v>
      </c>
      <c r="H38" s="416">
        <f t="shared" si="0"/>
        <v>108613.9328</v>
      </c>
      <c r="I38" s="417">
        <f>' Talikote'!M3</f>
        <v>0</v>
      </c>
      <c r="J38" s="417">
        <f>' Talikote'!L44</f>
        <v>106125.1894</v>
      </c>
      <c r="K38" s="416">
        <f t="shared" si="1"/>
        <v>2488.7433999999921</v>
      </c>
      <c r="L38" s="96"/>
    </row>
    <row r="39" spans="1:12">
      <c r="A39" s="410">
        <v>37</v>
      </c>
      <c r="B39" s="411" t="s">
        <v>81</v>
      </c>
      <c r="C39" s="411" t="s">
        <v>82</v>
      </c>
      <c r="D39" s="417">
        <f>Chadchan!E35</f>
        <v>795.91</v>
      </c>
      <c r="E39" s="417">
        <f>Chadchan!G35</f>
        <v>71814.959300000002</v>
      </c>
      <c r="F39" s="417">
        <f>Chadchan!H35</f>
        <v>60.360000000000007</v>
      </c>
      <c r="G39" s="417">
        <f>Chadchan!J35</f>
        <v>6166.3775999999989</v>
      </c>
      <c r="H39" s="416">
        <f t="shared" si="0"/>
        <v>77981.336899999995</v>
      </c>
      <c r="I39" s="417">
        <f>Chadchan!M3</f>
        <v>192780</v>
      </c>
      <c r="J39" s="417">
        <f>Chadchan!L35</f>
        <v>192780</v>
      </c>
      <c r="K39" s="416">
        <f t="shared" si="1"/>
        <v>77981.336899999995</v>
      </c>
      <c r="L39" s="96"/>
    </row>
    <row r="40" spans="1:12">
      <c r="A40" s="410">
        <v>38</v>
      </c>
      <c r="B40" s="411" t="s">
        <v>83</v>
      </c>
      <c r="C40" s="411" t="s">
        <v>84</v>
      </c>
      <c r="D40" s="417">
        <f>Sindagi!E44</f>
        <v>607.70000000000005</v>
      </c>
      <c r="E40" s="417">
        <f>Sindagi!G44</f>
        <v>55440.471000000005</v>
      </c>
      <c r="F40" s="417">
        <f>Sindagi!H44</f>
        <v>0</v>
      </c>
      <c r="G40" s="417">
        <f>Sindagi!J44</f>
        <v>0</v>
      </c>
      <c r="H40" s="416">
        <f t="shared" si="0"/>
        <v>55440.471000000005</v>
      </c>
      <c r="I40" s="417">
        <v>0</v>
      </c>
      <c r="J40" s="417">
        <f>Sindagi!L44</f>
        <v>55440.471000000005</v>
      </c>
      <c r="K40" s="416">
        <f t="shared" si="1"/>
        <v>0</v>
      </c>
      <c r="L40" s="96"/>
    </row>
    <row r="41" spans="1:12">
      <c r="A41" s="410">
        <v>39</v>
      </c>
      <c r="B41" s="411" t="s">
        <v>85</v>
      </c>
      <c r="C41" s="411" t="s">
        <v>86</v>
      </c>
      <c r="D41" s="417">
        <f>Muddebihal!E46</f>
        <v>146.70999999999998</v>
      </c>
      <c r="E41" s="417">
        <f>Muddebihal!G46</f>
        <v>13416.629499999999</v>
      </c>
      <c r="F41" s="417">
        <f>Muddebihal!H46</f>
        <v>38.639999999999993</v>
      </c>
      <c r="G41" s="417">
        <f>Muddebihal!J46</f>
        <v>3994.9896000000003</v>
      </c>
      <c r="H41" s="416">
        <f t="shared" si="0"/>
        <v>17411.6191</v>
      </c>
      <c r="I41" s="417">
        <v>0</v>
      </c>
      <c r="J41" s="417">
        <f>Muddebihal!L46</f>
        <v>17411.6191</v>
      </c>
      <c r="K41" s="416">
        <f t="shared" si="1"/>
        <v>0</v>
      </c>
      <c r="L41" s="96"/>
    </row>
    <row r="42" spans="1:12">
      <c r="A42" s="410">
        <v>40</v>
      </c>
      <c r="B42" s="411" t="s">
        <v>87</v>
      </c>
      <c r="C42" s="411" t="s">
        <v>88</v>
      </c>
      <c r="D42" s="417">
        <f>Alemela!E43</f>
        <v>295.22000000000003</v>
      </c>
      <c r="E42" s="417">
        <f>Alemela!G43</f>
        <v>26962.442599999995</v>
      </c>
      <c r="F42" s="417">
        <f>Alemela!H43</f>
        <v>50.620000000000005</v>
      </c>
      <c r="G42" s="417">
        <f>Alemela!J43</f>
        <v>5227.021200000001</v>
      </c>
      <c r="H42" s="416">
        <f t="shared" si="0"/>
        <v>32189.463799999998</v>
      </c>
      <c r="I42" s="417">
        <f>Alemela!M3</f>
        <v>0</v>
      </c>
      <c r="J42" s="417">
        <f>Alemela!L43</f>
        <v>32189.463799999998</v>
      </c>
      <c r="K42" s="416">
        <f t="shared" si="1"/>
        <v>0</v>
      </c>
      <c r="L42" s="96"/>
    </row>
    <row r="43" spans="1:12">
      <c r="A43" s="410">
        <v>42</v>
      </c>
      <c r="B43" s="411" t="s">
        <v>91</v>
      </c>
      <c r="C43" s="411" t="s">
        <v>92</v>
      </c>
      <c r="D43" s="417">
        <f>Nalatwad!E43</f>
        <v>646.89</v>
      </c>
      <c r="E43" s="417">
        <f>Nalatwad!G43</f>
        <v>59268.061799999996</v>
      </c>
      <c r="F43" s="417">
        <f>Nalatwad!H43</f>
        <v>30.909999999999997</v>
      </c>
      <c r="G43" s="417">
        <f>Nalatwad!J43</f>
        <v>3201.3487000000005</v>
      </c>
      <c r="H43" s="416">
        <f t="shared" si="0"/>
        <v>62469.410499999998</v>
      </c>
      <c r="I43" s="417">
        <f>Nalatwad!M3</f>
        <v>48315</v>
      </c>
      <c r="J43" s="417">
        <f>Nalatwad!L43</f>
        <v>90535.84</v>
      </c>
      <c r="K43" s="416">
        <f t="shared" si="1"/>
        <v>20248.570500000002</v>
      </c>
      <c r="L43" s="96"/>
    </row>
    <row r="44" spans="1:12">
      <c r="A44" s="410">
        <v>41</v>
      </c>
      <c r="B44" s="411" t="s">
        <v>89</v>
      </c>
      <c r="C44" s="411" t="s">
        <v>90</v>
      </c>
      <c r="D44" s="417">
        <f>Srirangapatna!E35</f>
        <v>259.47000000000003</v>
      </c>
      <c r="E44" s="417">
        <f>Srirangapatna!G35</f>
        <v>23500.197899999999</v>
      </c>
      <c r="F44" s="417">
        <f>Srirangapatna!H35</f>
        <v>49.160000000000004</v>
      </c>
      <c r="G44" s="417">
        <f>Srirangapatna!J35</f>
        <v>5036.9336000000003</v>
      </c>
      <c r="H44" s="416">
        <f t="shared" si="0"/>
        <v>28537.1315</v>
      </c>
      <c r="I44" s="417">
        <f>Srirangapatna!M3</f>
        <v>0</v>
      </c>
      <c r="J44" s="417">
        <f>Srirangapatna!L35</f>
        <v>28537.1315</v>
      </c>
      <c r="K44" s="416">
        <f t="shared" si="1"/>
        <v>0</v>
      </c>
      <c r="L44" s="96"/>
    </row>
    <row r="45" spans="1:12">
      <c r="A45" s="432" t="s">
        <v>93</v>
      </c>
      <c r="B45" s="433"/>
      <c r="C45" s="434"/>
      <c r="D45" s="424">
        <f>SUM(D2:D44)</f>
        <v>365665.28999999992</v>
      </c>
      <c r="E45" s="424">
        <f t="shared" ref="E45:K45" si="2">SUM(E2:E44)</f>
        <v>34536905.648099989</v>
      </c>
      <c r="F45" s="424">
        <f t="shared" si="2"/>
        <v>5114.87</v>
      </c>
      <c r="G45" s="424">
        <f t="shared" si="2"/>
        <v>537024.40409999993</v>
      </c>
      <c r="H45" s="424">
        <f t="shared" si="2"/>
        <v>35073930.052200004</v>
      </c>
      <c r="I45" s="424">
        <f t="shared" si="2"/>
        <v>28184885.361299999</v>
      </c>
      <c r="J45" s="424">
        <f t="shared" si="2"/>
        <v>38389727.312599994</v>
      </c>
      <c r="K45" s="424">
        <f t="shared" si="2"/>
        <v>24869088.100900009</v>
      </c>
      <c r="L45" s="96"/>
    </row>
    <row r="46" spans="1:12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</row>
    <row r="47" spans="1:12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</row>
    <row r="48" spans="1:12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</row>
  </sheetData>
  <mergeCells count="1">
    <mergeCell ref="A45:C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sheetPr>
    <tabColor rgb="FF00B050"/>
  </sheetPr>
  <dimension ref="A1:R42"/>
  <sheetViews>
    <sheetView workbookViewId="0">
      <pane ySplit="2" topLeftCell="A14" activePane="bottomLeft" state="frozen"/>
      <selection pane="bottomLeft" activeCell="M34" sqref="M34"/>
    </sheetView>
  </sheetViews>
  <sheetFormatPr defaultRowHeight="15"/>
  <cols>
    <col min="1" max="1" width="5.140625" bestFit="1" customWidth="1"/>
    <col min="2" max="2" width="13" customWidth="1"/>
    <col min="3" max="3" width="16.85546875" bestFit="1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4"/>
    <col min="11" max="11" width="15.28515625" customWidth="1"/>
    <col min="12" max="13" width="14.28515625" customWidth="1"/>
    <col min="14" max="14" width="18.28515625" bestFit="1" customWidth="1"/>
    <col min="16" max="16" width="11.42578125" bestFit="1" customWidth="1"/>
  </cols>
  <sheetData>
    <row r="1" spans="1:16" ht="15.75" customHeight="1">
      <c r="A1" s="435" t="s">
        <v>12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65"/>
    </row>
    <row r="2" spans="1:16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141" t="s">
        <v>107</v>
      </c>
      <c r="L2" s="144" t="s">
        <v>108</v>
      </c>
      <c r="M2" s="144" t="s">
        <v>109</v>
      </c>
      <c r="N2" s="142" t="s">
        <v>110</v>
      </c>
      <c r="O2" s="72"/>
    </row>
    <row r="3" spans="1:16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37"/>
      <c r="K3" s="235">
        <v>5140597</v>
      </c>
      <c r="L3" s="110"/>
      <c r="M3" s="46">
        <f>+K3</f>
        <v>5140597</v>
      </c>
      <c r="N3" s="19"/>
      <c r="O3" s="1"/>
      <c r="P3" s="24">
        <v>220299.06</v>
      </c>
    </row>
    <row r="4" spans="1:16" ht="15.75">
      <c r="A4" s="28">
        <v>1</v>
      </c>
      <c r="B4" s="29">
        <v>45778</v>
      </c>
      <c r="C4" s="20"/>
      <c r="D4" s="20"/>
      <c r="E4" s="48">
        <v>2600</v>
      </c>
      <c r="F4" s="45">
        <v>95.68</v>
      </c>
      <c r="G4" s="48">
        <f>E4*F4</f>
        <v>248768.00000000003</v>
      </c>
      <c r="H4" s="20">
        <v>20</v>
      </c>
      <c r="I4" s="44">
        <v>107.46</v>
      </c>
      <c r="J4" s="20">
        <f>H4*I4</f>
        <v>2149.1999999999998</v>
      </c>
      <c r="K4" s="163">
        <f>G4+J4</f>
        <v>250917.20000000004</v>
      </c>
      <c r="L4" s="164">
        <v>0</v>
      </c>
      <c r="M4" s="165">
        <f>M3+K4-L4</f>
        <v>5391514.2000000002</v>
      </c>
      <c r="N4" s="164"/>
      <c r="O4" s="1"/>
    </row>
    <row r="5" spans="1:16" ht="15.75">
      <c r="A5" s="28">
        <v>2</v>
      </c>
      <c r="B5" s="29">
        <v>45779</v>
      </c>
      <c r="C5" s="20"/>
      <c r="D5" s="20"/>
      <c r="E5" s="48">
        <v>0</v>
      </c>
      <c r="F5" s="45">
        <v>0</v>
      </c>
      <c r="G5" s="48">
        <f t="shared" ref="G5:G35" si="0">E5*F5</f>
        <v>0</v>
      </c>
      <c r="H5" s="20">
        <v>0</v>
      </c>
      <c r="I5" s="44">
        <v>0</v>
      </c>
      <c r="J5" s="20">
        <f t="shared" ref="J5:J35" si="1">H5*I5</f>
        <v>0</v>
      </c>
      <c r="K5" s="163">
        <f t="shared" ref="K5:K35" si="2">G5+J5</f>
        <v>0</v>
      </c>
      <c r="L5" s="164">
        <v>0</v>
      </c>
      <c r="M5" s="119">
        <f>M4+K5-L5</f>
        <v>5391514.2000000002</v>
      </c>
      <c r="N5" s="20"/>
      <c r="O5" s="1"/>
    </row>
    <row r="6" spans="1:16" ht="15.75">
      <c r="A6" s="28">
        <v>3</v>
      </c>
      <c r="B6" s="29">
        <v>45780</v>
      </c>
      <c r="C6" s="20"/>
      <c r="D6" s="20"/>
      <c r="E6" s="48">
        <v>0</v>
      </c>
      <c r="F6" s="45">
        <v>0</v>
      </c>
      <c r="G6" s="48">
        <f t="shared" si="0"/>
        <v>0</v>
      </c>
      <c r="H6" s="20">
        <v>0</v>
      </c>
      <c r="I6" s="44">
        <v>0</v>
      </c>
      <c r="J6" s="20">
        <f t="shared" si="1"/>
        <v>0</v>
      </c>
      <c r="K6" s="163">
        <f t="shared" si="2"/>
        <v>0</v>
      </c>
      <c r="L6" s="164">
        <v>0</v>
      </c>
      <c r="M6" s="119">
        <f t="shared" ref="M6:M34" si="3">M5+K6-L6</f>
        <v>5391514.2000000002</v>
      </c>
      <c r="N6" s="20"/>
      <c r="O6" s="1"/>
    </row>
    <row r="7" spans="1:16" ht="15.75">
      <c r="A7" s="28">
        <v>4</v>
      </c>
      <c r="B7" s="29">
        <v>45781</v>
      </c>
      <c r="C7" s="20"/>
      <c r="D7" s="20"/>
      <c r="E7" s="48">
        <v>2800</v>
      </c>
      <c r="F7" s="45">
        <v>95.68</v>
      </c>
      <c r="G7" s="48">
        <f t="shared" si="0"/>
        <v>267904</v>
      </c>
      <c r="H7" s="20">
        <v>35</v>
      </c>
      <c r="I7" s="44">
        <v>107.46</v>
      </c>
      <c r="J7" s="20">
        <f t="shared" si="1"/>
        <v>3761.1</v>
      </c>
      <c r="K7" s="163">
        <f t="shared" si="2"/>
        <v>271665.09999999998</v>
      </c>
      <c r="L7" s="164">
        <v>0</v>
      </c>
      <c r="M7" s="119">
        <f t="shared" si="3"/>
        <v>5663179.2999999998</v>
      </c>
      <c r="N7" s="8"/>
      <c r="O7" s="1"/>
    </row>
    <row r="8" spans="1:16" ht="15.75">
      <c r="A8" s="28">
        <v>5</v>
      </c>
      <c r="B8" s="29">
        <v>45782</v>
      </c>
      <c r="C8" s="20"/>
      <c r="D8" s="20"/>
      <c r="E8" s="48">
        <v>2000</v>
      </c>
      <c r="F8" s="45">
        <v>95.68</v>
      </c>
      <c r="G8" s="48">
        <f t="shared" si="0"/>
        <v>191360</v>
      </c>
      <c r="H8" s="20">
        <v>20</v>
      </c>
      <c r="I8" s="44">
        <v>107.46</v>
      </c>
      <c r="J8" s="20">
        <f t="shared" si="1"/>
        <v>2149.1999999999998</v>
      </c>
      <c r="K8" s="163">
        <f t="shared" si="2"/>
        <v>193509.2</v>
      </c>
      <c r="L8" s="164">
        <v>0</v>
      </c>
      <c r="M8" s="119">
        <f t="shared" si="3"/>
        <v>5856688.5</v>
      </c>
      <c r="N8" s="8"/>
      <c r="O8" s="1"/>
    </row>
    <row r="9" spans="1:16" ht="15.75">
      <c r="A9" s="28">
        <v>6</v>
      </c>
      <c r="B9" s="29">
        <v>45783</v>
      </c>
      <c r="C9" s="20"/>
      <c r="D9" s="20"/>
      <c r="E9" s="48">
        <v>0</v>
      </c>
      <c r="F9" s="45">
        <v>0</v>
      </c>
      <c r="G9" s="48">
        <f t="shared" si="0"/>
        <v>0</v>
      </c>
      <c r="H9" s="20">
        <v>0</v>
      </c>
      <c r="I9" s="44">
        <v>0</v>
      </c>
      <c r="J9" s="20">
        <f t="shared" si="1"/>
        <v>0</v>
      </c>
      <c r="K9" s="163">
        <f t="shared" si="2"/>
        <v>0</v>
      </c>
      <c r="L9" s="164">
        <v>0</v>
      </c>
      <c r="M9" s="119">
        <f t="shared" si="3"/>
        <v>5856688.5</v>
      </c>
      <c r="N9" s="8"/>
      <c r="O9" s="1"/>
    </row>
    <row r="10" spans="1:16" ht="15.75">
      <c r="A10" s="28">
        <v>7</v>
      </c>
      <c r="B10" s="29">
        <v>45784</v>
      </c>
      <c r="C10" s="20"/>
      <c r="D10" s="20"/>
      <c r="E10" s="48">
        <v>2013.7</v>
      </c>
      <c r="F10" s="45">
        <v>95.68</v>
      </c>
      <c r="G10" s="48">
        <f t="shared" si="0"/>
        <v>192670.81600000002</v>
      </c>
      <c r="H10" s="20">
        <v>55</v>
      </c>
      <c r="I10" s="44">
        <v>107.46</v>
      </c>
      <c r="J10" s="20">
        <f t="shared" si="1"/>
        <v>5910.2999999999993</v>
      </c>
      <c r="K10" s="163">
        <f t="shared" si="2"/>
        <v>198581.11600000001</v>
      </c>
      <c r="L10" s="164">
        <v>0</v>
      </c>
      <c r="M10" s="119">
        <f>M9+K10-L10</f>
        <v>6055269.6160000004</v>
      </c>
      <c r="N10" s="8"/>
      <c r="O10" s="1"/>
    </row>
    <row r="11" spans="1:16" ht="15.75">
      <c r="A11" s="28">
        <v>8</v>
      </c>
      <c r="B11" s="29">
        <v>45785</v>
      </c>
      <c r="C11" s="20"/>
      <c r="D11" s="20"/>
      <c r="E11" s="48">
        <v>0</v>
      </c>
      <c r="F11" s="45">
        <v>0</v>
      </c>
      <c r="G11" s="48">
        <f t="shared" si="0"/>
        <v>0</v>
      </c>
      <c r="H11" s="20">
        <v>0</v>
      </c>
      <c r="I11" s="44">
        <v>0</v>
      </c>
      <c r="J11" s="20">
        <f t="shared" si="1"/>
        <v>0</v>
      </c>
      <c r="K11" s="163">
        <f t="shared" si="2"/>
        <v>0</v>
      </c>
      <c r="L11" s="164">
        <v>0</v>
      </c>
      <c r="M11" s="119">
        <f t="shared" si="3"/>
        <v>6055269.6160000004</v>
      </c>
      <c r="N11" s="8"/>
      <c r="O11" s="1"/>
    </row>
    <row r="12" spans="1:16" ht="15.75">
      <c r="A12" s="28">
        <v>9</v>
      </c>
      <c r="B12" s="29">
        <v>45786</v>
      </c>
      <c r="C12" s="20"/>
      <c r="D12" s="20"/>
      <c r="E12" s="48">
        <v>0</v>
      </c>
      <c r="F12" s="45">
        <v>0</v>
      </c>
      <c r="G12" s="48">
        <f t="shared" si="0"/>
        <v>0</v>
      </c>
      <c r="H12" s="20">
        <v>0</v>
      </c>
      <c r="I12" s="44">
        <v>0</v>
      </c>
      <c r="J12" s="20">
        <f t="shared" si="1"/>
        <v>0</v>
      </c>
      <c r="K12" s="163">
        <f t="shared" si="2"/>
        <v>0</v>
      </c>
      <c r="L12" s="164">
        <v>0</v>
      </c>
      <c r="M12" s="119">
        <f t="shared" si="3"/>
        <v>6055269.6160000004</v>
      </c>
      <c r="N12" s="8"/>
      <c r="O12" s="1"/>
    </row>
    <row r="13" spans="1:16" ht="15.75">
      <c r="A13" s="28">
        <v>10</v>
      </c>
      <c r="B13" s="29">
        <v>45787</v>
      </c>
      <c r="C13" s="20"/>
      <c r="D13" s="20"/>
      <c r="E13" s="48">
        <v>0</v>
      </c>
      <c r="F13" s="45">
        <v>0</v>
      </c>
      <c r="G13" s="48">
        <f t="shared" si="0"/>
        <v>0</v>
      </c>
      <c r="H13" s="20">
        <v>0</v>
      </c>
      <c r="I13" s="44">
        <v>0</v>
      </c>
      <c r="J13" s="20">
        <f t="shared" si="1"/>
        <v>0</v>
      </c>
      <c r="K13" s="163">
        <f t="shared" si="2"/>
        <v>0</v>
      </c>
      <c r="L13" s="164">
        <v>1500000</v>
      </c>
      <c r="M13" s="119">
        <f t="shared" si="3"/>
        <v>4555269.6160000004</v>
      </c>
      <c r="N13" s="8"/>
      <c r="O13" s="1"/>
    </row>
    <row r="14" spans="1:16" ht="15.75">
      <c r="A14" s="28">
        <v>11</v>
      </c>
      <c r="B14" s="29">
        <v>45788</v>
      </c>
      <c r="C14" s="20"/>
      <c r="D14" s="20"/>
      <c r="E14" s="48">
        <v>0</v>
      </c>
      <c r="F14" s="45">
        <v>0</v>
      </c>
      <c r="G14" s="48">
        <f t="shared" si="0"/>
        <v>0</v>
      </c>
      <c r="H14" s="20">
        <v>0</v>
      </c>
      <c r="I14" s="44">
        <v>0</v>
      </c>
      <c r="J14" s="20">
        <f t="shared" si="1"/>
        <v>0</v>
      </c>
      <c r="K14" s="163">
        <f t="shared" si="2"/>
        <v>0</v>
      </c>
      <c r="L14" s="164">
        <v>0</v>
      </c>
      <c r="M14" s="119">
        <f t="shared" si="3"/>
        <v>4555269.6160000004</v>
      </c>
      <c r="N14" s="8"/>
      <c r="O14" s="1"/>
    </row>
    <row r="15" spans="1:16" ht="15.75">
      <c r="A15" s="28">
        <v>12</v>
      </c>
      <c r="B15" s="29">
        <v>45789</v>
      </c>
      <c r="C15" s="20"/>
      <c r="D15" s="20"/>
      <c r="E15" s="48">
        <v>0</v>
      </c>
      <c r="F15" s="45">
        <v>0</v>
      </c>
      <c r="G15" s="48">
        <f t="shared" si="0"/>
        <v>0</v>
      </c>
      <c r="H15" s="20">
        <v>0</v>
      </c>
      <c r="I15" s="44">
        <v>0</v>
      </c>
      <c r="J15" s="20">
        <f t="shared" si="1"/>
        <v>0</v>
      </c>
      <c r="K15" s="163">
        <f t="shared" si="2"/>
        <v>0</v>
      </c>
      <c r="L15" s="164">
        <v>0</v>
      </c>
      <c r="M15" s="119">
        <f t="shared" si="3"/>
        <v>4555269.6160000004</v>
      </c>
      <c r="N15" s="8"/>
      <c r="O15" s="1"/>
    </row>
    <row r="16" spans="1:16" ht="15.75">
      <c r="A16" s="28">
        <v>13</v>
      </c>
      <c r="B16" s="29">
        <v>45790</v>
      </c>
      <c r="C16" s="20"/>
      <c r="D16" s="20"/>
      <c r="E16" s="48">
        <v>0</v>
      </c>
      <c r="F16" s="45">
        <v>0</v>
      </c>
      <c r="G16" s="48">
        <f t="shared" si="0"/>
        <v>0</v>
      </c>
      <c r="H16" s="20">
        <v>0</v>
      </c>
      <c r="I16" s="44">
        <v>0</v>
      </c>
      <c r="J16" s="20">
        <f t="shared" si="1"/>
        <v>0</v>
      </c>
      <c r="K16" s="163">
        <f t="shared" si="2"/>
        <v>0</v>
      </c>
      <c r="L16" s="164">
        <v>0</v>
      </c>
      <c r="M16" s="119">
        <f t="shared" si="3"/>
        <v>4555269.6160000004</v>
      </c>
      <c r="N16" s="8"/>
      <c r="O16" s="1"/>
    </row>
    <row r="17" spans="1:15" ht="15.75">
      <c r="A17" s="28">
        <v>14</v>
      </c>
      <c r="B17" s="29">
        <v>45791</v>
      </c>
      <c r="C17" s="20"/>
      <c r="D17" s="20"/>
      <c r="E17" s="48">
        <v>2570.56</v>
      </c>
      <c r="F17" s="45">
        <v>95.68</v>
      </c>
      <c r="G17" s="48">
        <f t="shared" si="0"/>
        <v>245951.1808</v>
      </c>
      <c r="H17" s="20">
        <v>0</v>
      </c>
      <c r="I17" s="44">
        <v>0</v>
      </c>
      <c r="J17" s="20">
        <f t="shared" si="1"/>
        <v>0</v>
      </c>
      <c r="K17" s="163">
        <f t="shared" si="2"/>
        <v>245951.1808</v>
      </c>
      <c r="L17" s="164">
        <v>0</v>
      </c>
      <c r="M17" s="119">
        <f t="shared" si="3"/>
        <v>4801220.7968000006</v>
      </c>
      <c r="N17" s="120"/>
      <c r="O17" s="1"/>
    </row>
    <row r="18" spans="1:15" ht="15.75">
      <c r="A18" s="28">
        <v>15</v>
      </c>
      <c r="B18" s="29">
        <v>45792</v>
      </c>
      <c r="C18" s="20"/>
      <c r="D18" s="20"/>
      <c r="E18" s="48">
        <v>0</v>
      </c>
      <c r="F18" s="45">
        <v>0</v>
      </c>
      <c r="G18" s="48">
        <f t="shared" si="0"/>
        <v>0</v>
      </c>
      <c r="H18" s="20">
        <v>0</v>
      </c>
      <c r="I18" s="44">
        <v>0</v>
      </c>
      <c r="J18" s="20">
        <f t="shared" si="1"/>
        <v>0</v>
      </c>
      <c r="K18" s="163">
        <f t="shared" si="2"/>
        <v>0</v>
      </c>
      <c r="L18" s="164">
        <v>1000000</v>
      </c>
      <c r="M18" s="119">
        <f t="shared" si="3"/>
        <v>3801220.7968000006</v>
      </c>
      <c r="N18" s="8"/>
      <c r="O18" s="1"/>
    </row>
    <row r="19" spans="1:15" ht="15.75">
      <c r="A19" s="28">
        <v>16</v>
      </c>
      <c r="B19" s="29">
        <v>45793</v>
      </c>
      <c r="C19" s="20"/>
      <c r="D19" s="20"/>
      <c r="E19" s="48">
        <v>0</v>
      </c>
      <c r="F19" s="45">
        <v>0</v>
      </c>
      <c r="G19" s="48">
        <f t="shared" si="0"/>
        <v>0</v>
      </c>
      <c r="H19" s="20">
        <v>0</v>
      </c>
      <c r="I19" s="44">
        <v>0</v>
      </c>
      <c r="J19" s="20">
        <f t="shared" si="1"/>
        <v>0</v>
      </c>
      <c r="K19" s="163">
        <f t="shared" si="2"/>
        <v>0</v>
      </c>
      <c r="L19" s="164">
        <v>0</v>
      </c>
      <c r="M19" s="119">
        <f t="shared" si="3"/>
        <v>3801220.7968000006</v>
      </c>
      <c r="N19" s="8"/>
      <c r="O19" s="1" t="s">
        <v>112</v>
      </c>
    </row>
    <row r="20" spans="1:15" ht="15.75">
      <c r="A20" s="28">
        <v>17</v>
      </c>
      <c r="B20" s="29">
        <v>45794</v>
      </c>
      <c r="C20" s="20"/>
      <c r="D20" s="20"/>
      <c r="E20" s="48">
        <v>0</v>
      </c>
      <c r="F20" s="45">
        <v>0</v>
      </c>
      <c r="G20" s="48">
        <f t="shared" si="0"/>
        <v>0</v>
      </c>
      <c r="H20" s="20">
        <v>0</v>
      </c>
      <c r="I20" s="44">
        <v>0</v>
      </c>
      <c r="J20" s="20">
        <f t="shared" si="1"/>
        <v>0</v>
      </c>
      <c r="K20" s="163">
        <f t="shared" si="2"/>
        <v>0</v>
      </c>
      <c r="L20" s="164">
        <v>0</v>
      </c>
      <c r="M20" s="119">
        <f t="shared" si="3"/>
        <v>3801220.7968000006</v>
      </c>
      <c r="N20" s="8"/>
      <c r="O20" s="1"/>
    </row>
    <row r="21" spans="1:15" ht="15.75">
      <c r="A21" s="28">
        <v>18</v>
      </c>
      <c r="B21" s="29">
        <v>45795</v>
      </c>
      <c r="C21" s="20"/>
      <c r="D21" s="20"/>
      <c r="E21" s="48">
        <v>0</v>
      </c>
      <c r="F21" s="45">
        <v>0</v>
      </c>
      <c r="G21" s="48">
        <f t="shared" si="0"/>
        <v>0</v>
      </c>
      <c r="H21" s="20">
        <v>0</v>
      </c>
      <c r="I21" s="44">
        <v>0</v>
      </c>
      <c r="J21" s="20">
        <f t="shared" si="1"/>
        <v>0</v>
      </c>
      <c r="K21" s="163">
        <f t="shared" si="2"/>
        <v>0</v>
      </c>
      <c r="L21" s="164">
        <v>0</v>
      </c>
      <c r="M21" s="119">
        <f t="shared" si="3"/>
        <v>3801220.7968000006</v>
      </c>
      <c r="N21" s="8"/>
      <c r="O21" s="1"/>
    </row>
    <row r="22" spans="1:15" ht="15.75">
      <c r="A22" s="28">
        <v>19</v>
      </c>
      <c r="B22" s="29">
        <v>45796</v>
      </c>
      <c r="C22" s="20"/>
      <c r="D22" s="20"/>
      <c r="E22" s="48">
        <v>0</v>
      </c>
      <c r="F22" s="45">
        <v>0</v>
      </c>
      <c r="G22" s="48">
        <f t="shared" si="0"/>
        <v>0</v>
      </c>
      <c r="H22" s="20">
        <v>0</v>
      </c>
      <c r="I22" s="44">
        <v>0</v>
      </c>
      <c r="J22" s="20">
        <f t="shared" si="1"/>
        <v>0</v>
      </c>
      <c r="K22" s="163">
        <f t="shared" si="2"/>
        <v>0</v>
      </c>
      <c r="L22" s="164">
        <v>0</v>
      </c>
      <c r="M22" s="119">
        <f t="shared" si="3"/>
        <v>3801220.7968000006</v>
      </c>
      <c r="N22" s="8"/>
      <c r="O22" s="1"/>
    </row>
    <row r="23" spans="1:15" ht="15.75">
      <c r="A23" s="28">
        <v>20</v>
      </c>
      <c r="B23" s="29">
        <v>45797</v>
      </c>
      <c r="C23" s="20"/>
      <c r="D23" s="20"/>
      <c r="E23" s="48">
        <v>0</v>
      </c>
      <c r="F23" s="45">
        <v>0</v>
      </c>
      <c r="G23" s="48">
        <f t="shared" si="0"/>
        <v>0</v>
      </c>
      <c r="H23" s="20">
        <v>0</v>
      </c>
      <c r="I23" s="44">
        <v>0</v>
      </c>
      <c r="J23" s="20">
        <f t="shared" si="1"/>
        <v>0</v>
      </c>
      <c r="K23" s="163">
        <f t="shared" si="2"/>
        <v>0</v>
      </c>
      <c r="L23" s="164">
        <v>0</v>
      </c>
      <c r="M23" s="119">
        <f t="shared" si="3"/>
        <v>3801220.7968000006</v>
      </c>
      <c r="N23" s="8"/>
      <c r="O23" s="1"/>
    </row>
    <row r="24" spans="1:15" ht="15.75">
      <c r="A24" s="28">
        <v>21</v>
      </c>
      <c r="B24" s="29">
        <v>45798</v>
      </c>
      <c r="C24" s="20"/>
      <c r="D24" s="20"/>
      <c r="E24" s="48">
        <v>0</v>
      </c>
      <c r="F24" s="45">
        <v>0</v>
      </c>
      <c r="G24" s="48">
        <f t="shared" si="0"/>
        <v>0</v>
      </c>
      <c r="H24" s="20">
        <v>0</v>
      </c>
      <c r="I24" s="44">
        <v>0</v>
      </c>
      <c r="J24" s="20">
        <f t="shared" si="1"/>
        <v>0</v>
      </c>
      <c r="K24" s="163">
        <f t="shared" si="2"/>
        <v>0</v>
      </c>
      <c r="L24" s="164">
        <v>0</v>
      </c>
      <c r="M24" s="119">
        <f t="shared" si="3"/>
        <v>3801220.7968000006</v>
      </c>
      <c r="N24" s="8"/>
      <c r="O24" s="1"/>
    </row>
    <row r="25" spans="1:15" ht="15.75">
      <c r="A25" s="28">
        <v>22</v>
      </c>
      <c r="B25" s="29">
        <v>45799</v>
      </c>
      <c r="C25" s="20"/>
      <c r="D25" s="20"/>
      <c r="E25" s="48">
        <v>0</v>
      </c>
      <c r="F25" s="45">
        <v>0</v>
      </c>
      <c r="G25" s="48">
        <f t="shared" si="0"/>
        <v>0</v>
      </c>
      <c r="H25" s="20">
        <v>0</v>
      </c>
      <c r="I25" s="44">
        <v>0</v>
      </c>
      <c r="J25" s="20">
        <f t="shared" si="1"/>
        <v>0</v>
      </c>
      <c r="K25" s="163">
        <f t="shared" si="2"/>
        <v>0</v>
      </c>
      <c r="L25" s="164">
        <v>0</v>
      </c>
      <c r="M25" s="119">
        <f t="shared" si="3"/>
        <v>3801220.7968000006</v>
      </c>
      <c r="N25" s="8"/>
      <c r="O25" s="1"/>
    </row>
    <row r="26" spans="1:15" ht="15.75">
      <c r="A26" s="28">
        <v>23</v>
      </c>
      <c r="B26" s="29">
        <v>45800</v>
      </c>
      <c r="C26" s="20"/>
      <c r="D26" s="20"/>
      <c r="E26" s="48">
        <v>0</v>
      </c>
      <c r="F26" s="45">
        <v>0</v>
      </c>
      <c r="G26" s="48">
        <f t="shared" si="0"/>
        <v>0</v>
      </c>
      <c r="H26" s="20">
        <v>0</v>
      </c>
      <c r="I26" s="44">
        <v>0</v>
      </c>
      <c r="J26" s="20">
        <f t="shared" si="1"/>
        <v>0</v>
      </c>
      <c r="K26" s="163">
        <f t="shared" si="2"/>
        <v>0</v>
      </c>
      <c r="L26" s="164">
        <v>0</v>
      </c>
      <c r="M26" s="119">
        <f t="shared" si="3"/>
        <v>3801220.7968000006</v>
      </c>
      <c r="N26" s="8"/>
      <c r="O26" s="1"/>
    </row>
    <row r="27" spans="1:15" ht="15.75">
      <c r="A27" s="28">
        <v>24</v>
      </c>
      <c r="B27" s="29">
        <v>45801</v>
      </c>
      <c r="C27" s="20"/>
      <c r="D27" s="20"/>
      <c r="E27" s="48">
        <v>0</v>
      </c>
      <c r="F27" s="45">
        <v>0</v>
      </c>
      <c r="G27" s="48">
        <f t="shared" si="0"/>
        <v>0</v>
      </c>
      <c r="H27" s="20">
        <v>0</v>
      </c>
      <c r="I27" s="44">
        <v>0</v>
      </c>
      <c r="J27" s="20">
        <f t="shared" si="1"/>
        <v>0</v>
      </c>
      <c r="K27" s="163">
        <f t="shared" si="2"/>
        <v>0</v>
      </c>
      <c r="L27" s="164">
        <v>0</v>
      </c>
      <c r="M27" s="119">
        <f t="shared" si="3"/>
        <v>3801220.7968000006</v>
      </c>
      <c r="N27" s="8"/>
      <c r="O27" s="1"/>
    </row>
    <row r="28" spans="1:15" ht="15.75">
      <c r="A28" s="28">
        <v>25</v>
      </c>
      <c r="B28" s="29">
        <v>45802</v>
      </c>
      <c r="C28" s="20"/>
      <c r="D28" s="20"/>
      <c r="E28" s="48">
        <v>0</v>
      </c>
      <c r="F28" s="45">
        <v>0</v>
      </c>
      <c r="G28" s="48">
        <f t="shared" si="0"/>
        <v>0</v>
      </c>
      <c r="H28" s="20">
        <v>0</v>
      </c>
      <c r="I28" s="44">
        <v>0</v>
      </c>
      <c r="J28" s="20">
        <f t="shared" si="1"/>
        <v>0</v>
      </c>
      <c r="K28" s="163">
        <f t="shared" si="2"/>
        <v>0</v>
      </c>
      <c r="L28" s="164">
        <v>0</v>
      </c>
      <c r="M28" s="119">
        <f t="shared" si="3"/>
        <v>3801220.7968000006</v>
      </c>
      <c r="N28" s="8"/>
      <c r="O28" s="1"/>
    </row>
    <row r="29" spans="1:15" ht="15.75">
      <c r="A29" s="28">
        <v>26</v>
      </c>
      <c r="B29" s="29">
        <v>45803</v>
      </c>
      <c r="C29" s="20"/>
      <c r="D29" s="20"/>
      <c r="E29" s="48">
        <v>0</v>
      </c>
      <c r="F29" s="45">
        <v>0</v>
      </c>
      <c r="G29" s="48">
        <f t="shared" si="0"/>
        <v>0</v>
      </c>
      <c r="H29" s="20">
        <v>0</v>
      </c>
      <c r="I29" s="44">
        <v>0</v>
      </c>
      <c r="J29" s="20">
        <f t="shared" si="1"/>
        <v>0</v>
      </c>
      <c r="K29" s="163">
        <f t="shared" si="2"/>
        <v>0</v>
      </c>
      <c r="L29" s="164">
        <v>0</v>
      </c>
      <c r="M29" s="119">
        <f t="shared" si="3"/>
        <v>3801220.7968000006</v>
      </c>
      <c r="N29" s="8"/>
      <c r="O29" s="1"/>
    </row>
    <row r="30" spans="1:15" ht="15.75">
      <c r="A30" s="28">
        <v>27</v>
      </c>
      <c r="B30" s="29">
        <v>45804</v>
      </c>
      <c r="C30" s="20"/>
      <c r="D30" s="20"/>
      <c r="E30" s="48">
        <v>0</v>
      </c>
      <c r="F30" s="45">
        <v>0</v>
      </c>
      <c r="G30" s="48">
        <f t="shared" si="0"/>
        <v>0</v>
      </c>
      <c r="H30" s="20">
        <v>0</v>
      </c>
      <c r="I30" s="44">
        <v>0</v>
      </c>
      <c r="J30" s="20">
        <f t="shared" si="1"/>
        <v>0</v>
      </c>
      <c r="K30" s="163">
        <f t="shared" si="2"/>
        <v>0</v>
      </c>
      <c r="L30" s="164">
        <v>0</v>
      </c>
      <c r="M30" s="119">
        <f t="shared" si="3"/>
        <v>3801220.7968000006</v>
      </c>
      <c r="N30" s="8"/>
      <c r="O30" s="1"/>
    </row>
    <row r="31" spans="1:15" ht="15.75">
      <c r="A31" s="28">
        <v>28</v>
      </c>
      <c r="B31" s="29">
        <v>45805</v>
      </c>
      <c r="C31" s="20"/>
      <c r="D31" s="20"/>
      <c r="E31" s="48">
        <v>0</v>
      </c>
      <c r="F31" s="45">
        <v>0</v>
      </c>
      <c r="G31" s="48">
        <f t="shared" si="0"/>
        <v>0</v>
      </c>
      <c r="H31" s="20">
        <v>0</v>
      </c>
      <c r="I31" s="44">
        <v>0</v>
      </c>
      <c r="J31" s="20">
        <f t="shared" si="1"/>
        <v>0</v>
      </c>
      <c r="K31" s="163">
        <f t="shared" si="2"/>
        <v>0</v>
      </c>
      <c r="L31" s="164">
        <v>1500000</v>
      </c>
      <c r="M31" s="119">
        <f t="shared" si="3"/>
        <v>2301220.7968000006</v>
      </c>
      <c r="N31" s="8"/>
      <c r="O31" s="1"/>
    </row>
    <row r="32" spans="1:15" ht="15.75">
      <c r="A32" s="28">
        <v>29</v>
      </c>
      <c r="B32" s="29">
        <v>45806</v>
      </c>
      <c r="C32" s="20"/>
      <c r="D32" s="20"/>
      <c r="E32" s="48">
        <v>0</v>
      </c>
      <c r="F32" s="45">
        <v>0</v>
      </c>
      <c r="G32" s="48">
        <f t="shared" si="0"/>
        <v>0</v>
      </c>
      <c r="H32" s="20">
        <v>0</v>
      </c>
      <c r="I32" s="44">
        <v>0</v>
      </c>
      <c r="J32" s="20">
        <f t="shared" si="1"/>
        <v>0</v>
      </c>
      <c r="K32" s="163">
        <f t="shared" si="2"/>
        <v>0</v>
      </c>
      <c r="L32" s="164">
        <v>0</v>
      </c>
      <c r="M32" s="119">
        <f t="shared" si="3"/>
        <v>2301220.7968000006</v>
      </c>
      <c r="N32" s="8"/>
      <c r="O32" s="1"/>
    </row>
    <row r="33" spans="1:18" ht="15.75">
      <c r="A33" s="28">
        <v>30</v>
      </c>
      <c r="B33" s="29">
        <v>45807</v>
      </c>
      <c r="C33" s="20"/>
      <c r="D33" s="20"/>
      <c r="E33" s="48">
        <v>0</v>
      </c>
      <c r="F33" s="45">
        <v>0</v>
      </c>
      <c r="G33" s="48">
        <f t="shared" si="0"/>
        <v>0</v>
      </c>
      <c r="H33" s="20">
        <v>0</v>
      </c>
      <c r="I33" s="44">
        <v>0</v>
      </c>
      <c r="J33" s="20">
        <f t="shared" si="1"/>
        <v>0</v>
      </c>
      <c r="K33" s="163">
        <f t="shared" si="2"/>
        <v>0</v>
      </c>
      <c r="L33" s="164">
        <v>0</v>
      </c>
      <c r="M33" s="119">
        <f t="shared" si="3"/>
        <v>2301220.7968000006</v>
      </c>
      <c r="N33" s="8"/>
      <c r="O33" s="1"/>
      <c r="R33">
        <v>2584221.6967999996</v>
      </c>
    </row>
    <row r="34" spans="1:18" ht="15.75">
      <c r="A34" s="28">
        <v>31</v>
      </c>
      <c r="B34" s="29">
        <v>45808</v>
      </c>
      <c r="C34" s="20"/>
      <c r="D34" s="20"/>
      <c r="E34" s="48">
        <v>0</v>
      </c>
      <c r="F34" s="45">
        <v>0</v>
      </c>
      <c r="G34" s="48">
        <f t="shared" si="0"/>
        <v>0</v>
      </c>
      <c r="H34" s="20">
        <v>0</v>
      </c>
      <c r="I34" s="44">
        <v>0</v>
      </c>
      <c r="J34" s="20">
        <f t="shared" si="1"/>
        <v>0</v>
      </c>
      <c r="K34" s="163">
        <f t="shared" si="2"/>
        <v>0</v>
      </c>
      <c r="L34" s="164">
        <v>0</v>
      </c>
      <c r="M34" s="119">
        <f t="shared" si="3"/>
        <v>2301220.7968000006</v>
      </c>
      <c r="N34" s="8"/>
      <c r="O34" s="1"/>
    </row>
    <row r="35" spans="1:18" ht="15.75">
      <c r="A35" s="27"/>
      <c r="B35" s="29"/>
      <c r="C35" s="20"/>
      <c r="D35" s="20"/>
      <c r="E35" s="48">
        <v>0</v>
      </c>
      <c r="F35" s="45">
        <v>0</v>
      </c>
      <c r="G35" s="48">
        <f t="shared" si="0"/>
        <v>0</v>
      </c>
      <c r="H35" s="20">
        <v>0</v>
      </c>
      <c r="I35" s="44">
        <v>0</v>
      </c>
      <c r="J35" s="20">
        <f t="shared" si="1"/>
        <v>0</v>
      </c>
      <c r="K35" s="163">
        <f t="shared" si="2"/>
        <v>0</v>
      </c>
      <c r="L35" s="8"/>
      <c r="M35" s="119"/>
      <c r="N35" s="8"/>
      <c r="O35" s="1"/>
    </row>
    <row r="36" spans="1:18">
      <c r="A36" s="51"/>
      <c r="B36" s="51"/>
      <c r="C36" s="51"/>
      <c r="D36" s="51"/>
      <c r="E36" s="52">
        <f>SUM(E4:E35)</f>
        <v>11984.26</v>
      </c>
      <c r="F36" s="52"/>
      <c r="G36" s="52">
        <f>SUM(G4:G35)</f>
        <v>1146653.9968000001</v>
      </c>
      <c r="H36" s="52">
        <f>SUM(H4:H35)</f>
        <v>130</v>
      </c>
      <c r="I36" s="52"/>
      <c r="J36" s="52">
        <f>SUM(J3:J35)</f>
        <v>13969.8</v>
      </c>
      <c r="K36" s="52">
        <f>SUM(K4:K35)</f>
        <v>1160623.7968000001</v>
      </c>
      <c r="L36" s="52">
        <f>SUM(L4:L35)</f>
        <v>4000000</v>
      </c>
      <c r="M36" s="52"/>
      <c r="N36" s="52"/>
      <c r="O36" s="35"/>
    </row>
    <row r="37" spans="1:18">
      <c r="A37" s="1"/>
      <c r="B37" s="1"/>
      <c r="C37" s="1"/>
      <c r="D37" s="1"/>
      <c r="E37" s="1"/>
      <c r="F37" s="1"/>
      <c r="G37" s="3"/>
      <c r="H37" s="1"/>
      <c r="I37" s="2"/>
      <c r="J37" s="1"/>
      <c r="K37" s="1"/>
      <c r="L37" s="1"/>
      <c r="M37" s="1"/>
      <c r="N37" s="1"/>
      <c r="O37" s="4"/>
    </row>
    <row r="38" spans="1:18">
      <c r="A38" s="1"/>
      <c r="B38" s="426"/>
      <c r="C38" s="426"/>
      <c r="D38" s="426"/>
      <c r="E38" s="426"/>
      <c r="F38" s="62"/>
      <c r="G38" s="1"/>
      <c r="H38" s="1"/>
      <c r="I38" s="426"/>
      <c r="J38" s="426"/>
      <c r="K38" s="426"/>
      <c r="L38" s="426"/>
      <c r="M38" s="426"/>
      <c r="N38" s="426"/>
      <c r="O38" s="4"/>
    </row>
    <row r="39" spans="1:18">
      <c r="A39" s="1"/>
      <c r="B39" s="1"/>
      <c r="C39" s="1"/>
      <c r="D39" s="1"/>
      <c r="E39" s="1"/>
      <c r="F39" s="62"/>
      <c r="G39" s="1"/>
      <c r="H39" s="1"/>
      <c r="I39" s="1"/>
      <c r="J39" s="1"/>
      <c r="K39" s="1"/>
      <c r="L39" s="1"/>
      <c r="M39" s="1"/>
      <c r="N39" s="1"/>
      <c r="O39" s="4"/>
    </row>
    <row r="40" spans="1:18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4"/>
    </row>
    <row r="42" spans="1:18">
      <c r="E42" s="201">
        <f>E36+H36</f>
        <v>12114.26</v>
      </c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P37"/>
  <sheetViews>
    <sheetView workbookViewId="0">
      <selection activeCell="Q30" sqref="Q30"/>
    </sheetView>
  </sheetViews>
  <sheetFormatPr defaultRowHeight="15"/>
  <cols>
    <col min="2" max="2" width="10.5703125" bestFit="1" customWidth="1"/>
    <col min="4" max="4" width="16.7109375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</cols>
  <sheetData>
    <row r="1" spans="1:16" ht="15.75">
      <c r="A1" s="435" t="s">
        <v>14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</row>
    <row r="2" spans="1:16" ht="30.75">
      <c r="A2" s="141" t="s">
        <v>99</v>
      </c>
      <c r="B2" s="142" t="s">
        <v>100</v>
      </c>
      <c r="C2" s="142" t="s">
        <v>101</v>
      </c>
      <c r="D2" s="142" t="s">
        <v>102</v>
      </c>
      <c r="E2" s="142" t="s">
        <v>103</v>
      </c>
      <c r="F2" s="142" t="s">
        <v>104</v>
      </c>
      <c r="G2" s="142" t="s">
        <v>105</v>
      </c>
      <c r="H2" s="142" t="s">
        <v>106</v>
      </c>
      <c r="I2" s="142" t="s">
        <v>104</v>
      </c>
      <c r="J2" s="143" t="s">
        <v>105</v>
      </c>
      <c r="K2" s="141" t="s">
        <v>107</v>
      </c>
      <c r="L2" s="144" t="s">
        <v>108</v>
      </c>
      <c r="M2" s="144" t="s">
        <v>109</v>
      </c>
      <c r="N2" s="142" t="s">
        <v>110</v>
      </c>
    </row>
    <row r="3" spans="1:16">
      <c r="A3" s="438" t="s">
        <v>111</v>
      </c>
      <c r="B3" s="438"/>
      <c r="C3" s="438"/>
      <c r="D3" s="438"/>
      <c r="E3" s="438"/>
      <c r="F3" s="438"/>
      <c r="G3" s="438"/>
      <c r="H3" s="438"/>
      <c r="I3" s="438"/>
      <c r="J3" s="438"/>
      <c r="K3" s="286">
        <v>3730421</v>
      </c>
      <c r="L3" s="287"/>
      <c r="M3" s="258">
        <f>+K3</f>
        <v>3730421</v>
      </c>
      <c r="N3" s="109"/>
    </row>
    <row r="4" spans="1:16">
      <c r="A4" s="28">
        <v>1</v>
      </c>
      <c r="B4" s="29">
        <v>45778</v>
      </c>
      <c r="C4" s="19"/>
      <c r="D4" s="19"/>
      <c r="E4" s="19">
        <v>5000</v>
      </c>
      <c r="F4" s="19">
        <v>95.68</v>
      </c>
      <c r="G4" s="19">
        <f>E4*F4</f>
        <v>478400.00000000006</v>
      </c>
      <c r="H4" s="19">
        <v>0</v>
      </c>
      <c r="I4" s="19">
        <v>0</v>
      </c>
      <c r="J4" s="19">
        <f>H4*I4</f>
        <v>0</v>
      </c>
      <c r="K4" s="19">
        <f>G4+J4</f>
        <v>478400.00000000006</v>
      </c>
      <c r="L4" s="19"/>
      <c r="M4" s="46">
        <f>M3+K4-L4</f>
        <v>4208821</v>
      </c>
      <c r="N4" s="19"/>
    </row>
    <row r="5" spans="1:16">
      <c r="A5" s="28">
        <v>2</v>
      </c>
      <c r="B5" s="29">
        <v>45779</v>
      </c>
      <c r="C5" s="19"/>
      <c r="D5" s="19"/>
      <c r="E5" s="19">
        <v>6529.67</v>
      </c>
      <c r="F5" s="19">
        <v>95.68</v>
      </c>
      <c r="G5" s="19">
        <f>E5*F5</f>
        <v>624758.8256000001</v>
      </c>
      <c r="H5" s="19">
        <v>35</v>
      </c>
      <c r="I5" s="19">
        <v>107.46</v>
      </c>
      <c r="J5" s="19">
        <f>H5*I5</f>
        <v>3761.1</v>
      </c>
      <c r="K5" s="19">
        <f>G5+J5</f>
        <v>628519.92560000008</v>
      </c>
      <c r="L5" s="19"/>
      <c r="M5" s="46">
        <f>M4+K5-L5</f>
        <v>4837340.9255999997</v>
      </c>
      <c r="N5" s="19"/>
    </row>
    <row r="6" spans="1:16">
      <c r="A6" s="28">
        <v>3</v>
      </c>
      <c r="B6" s="29">
        <v>45780</v>
      </c>
      <c r="C6" s="19"/>
      <c r="D6" s="19"/>
      <c r="E6" s="19">
        <v>7183.16</v>
      </c>
      <c r="F6" s="19">
        <v>95.68</v>
      </c>
      <c r="G6" s="19">
        <f t="shared" ref="G6:G35" si="0">E6*F6</f>
        <v>687284.74880000006</v>
      </c>
      <c r="H6" s="19">
        <v>40</v>
      </c>
      <c r="I6" s="19">
        <v>107.46</v>
      </c>
      <c r="J6" s="19">
        <f t="shared" ref="J6:J35" si="1">H6*I6</f>
        <v>4298.3999999999996</v>
      </c>
      <c r="K6" s="19">
        <f t="shared" ref="K6:K35" si="2">G6+J6</f>
        <v>691583.14880000008</v>
      </c>
      <c r="L6" s="19"/>
      <c r="M6" s="46">
        <f t="shared" ref="M5:M8" si="3">M5+K6-L6</f>
        <v>5528924.0744000003</v>
      </c>
      <c r="N6" s="19"/>
    </row>
    <row r="7" spans="1:16">
      <c r="A7" s="28">
        <v>4</v>
      </c>
      <c r="B7" s="29">
        <v>45781</v>
      </c>
      <c r="C7" s="19"/>
      <c r="D7" s="19"/>
      <c r="E7" s="19">
        <v>2500.41</v>
      </c>
      <c r="F7" s="19">
        <v>95.68</v>
      </c>
      <c r="G7" s="19">
        <f t="shared" si="0"/>
        <v>239239.22880000001</v>
      </c>
      <c r="H7" s="19">
        <v>0</v>
      </c>
      <c r="I7" s="19">
        <v>0</v>
      </c>
      <c r="J7" s="19">
        <f t="shared" si="1"/>
        <v>0</v>
      </c>
      <c r="K7" s="19">
        <f t="shared" si="2"/>
        <v>239239.22880000001</v>
      </c>
      <c r="L7" s="19"/>
      <c r="M7" s="46">
        <f t="shared" si="3"/>
        <v>5768163.3032</v>
      </c>
      <c r="N7" s="19"/>
    </row>
    <row r="8" spans="1:16">
      <c r="A8" s="28">
        <v>5</v>
      </c>
      <c r="B8" s="29">
        <v>45782</v>
      </c>
      <c r="C8" s="19"/>
      <c r="D8" s="19"/>
      <c r="E8" s="19">
        <v>5348.8600000000006</v>
      </c>
      <c r="F8" s="19">
        <v>95.68</v>
      </c>
      <c r="G8" s="19">
        <f t="shared" si="0"/>
        <v>511778.9248000001</v>
      </c>
      <c r="H8" s="19">
        <v>35</v>
      </c>
      <c r="I8" s="19">
        <v>107.46</v>
      </c>
      <c r="J8" s="19">
        <f t="shared" si="1"/>
        <v>3761.1</v>
      </c>
      <c r="K8" s="19">
        <f t="shared" si="2"/>
        <v>515540.02480000007</v>
      </c>
      <c r="L8" s="19"/>
      <c r="M8" s="46">
        <f t="shared" si="3"/>
        <v>6283703.3279999997</v>
      </c>
      <c r="N8" s="19"/>
    </row>
    <row r="9" spans="1:16">
      <c r="A9" s="28">
        <v>6</v>
      </c>
      <c r="B9" s="29">
        <v>45783</v>
      </c>
      <c r="C9" s="19"/>
      <c r="D9" s="19"/>
      <c r="E9" s="19">
        <v>5000</v>
      </c>
      <c r="F9" s="19">
        <v>95.68</v>
      </c>
      <c r="G9" s="19">
        <f t="shared" si="0"/>
        <v>478400.00000000006</v>
      </c>
      <c r="H9" s="19">
        <v>0</v>
      </c>
      <c r="I9" s="19">
        <v>0</v>
      </c>
      <c r="J9" s="19">
        <v>0</v>
      </c>
      <c r="K9" s="19">
        <f t="shared" si="2"/>
        <v>478400.00000000006</v>
      </c>
      <c r="L9" s="19"/>
      <c r="M9" s="46">
        <f>M8+K9-L9</f>
        <v>6762103.3279999997</v>
      </c>
      <c r="N9" s="19"/>
    </row>
    <row r="10" spans="1:16">
      <c r="A10" s="28">
        <v>7</v>
      </c>
      <c r="B10" s="29">
        <v>45784</v>
      </c>
      <c r="C10" s="19"/>
      <c r="D10" s="19"/>
      <c r="E10" s="19">
        <v>9365.2199999999993</v>
      </c>
      <c r="F10" s="19">
        <v>95.68</v>
      </c>
      <c r="G10" s="19">
        <f t="shared" si="0"/>
        <v>896064.24959999998</v>
      </c>
      <c r="H10" s="19">
        <v>0</v>
      </c>
      <c r="I10" s="19">
        <v>0</v>
      </c>
      <c r="J10" s="19">
        <f t="shared" si="1"/>
        <v>0</v>
      </c>
      <c r="K10" s="19">
        <f t="shared" si="2"/>
        <v>896064.24959999998</v>
      </c>
      <c r="L10" s="19"/>
      <c r="M10" s="46">
        <f>M9+K10-L10</f>
        <v>7658167.5775999995</v>
      </c>
      <c r="N10" s="19"/>
    </row>
    <row r="11" spans="1:16">
      <c r="A11" s="28">
        <v>8</v>
      </c>
      <c r="B11" s="29">
        <v>45785</v>
      </c>
      <c r="C11" s="19"/>
      <c r="D11" s="19"/>
      <c r="E11" s="19">
        <v>6000</v>
      </c>
      <c r="F11" s="19">
        <v>95.68</v>
      </c>
      <c r="G11" s="19">
        <f t="shared" si="0"/>
        <v>574080</v>
      </c>
      <c r="H11" s="19">
        <v>20</v>
      </c>
      <c r="I11" s="19">
        <v>107.46</v>
      </c>
      <c r="J11" s="19">
        <f t="shared" si="1"/>
        <v>2149.1999999999998</v>
      </c>
      <c r="K11" s="19">
        <f t="shared" si="2"/>
        <v>576229.19999999995</v>
      </c>
      <c r="L11" s="19"/>
      <c r="M11" s="46">
        <f>M10+K11-L11</f>
        <v>8234396.7775999997</v>
      </c>
      <c r="N11" s="19"/>
      <c r="P11" s="19"/>
    </row>
    <row r="12" spans="1:16">
      <c r="A12" s="28">
        <v>9</v>
      </c>
      <c r="B12" s="29">
        <v>45786</v>
      </c>
      <c r="C12" s="19"/>
      <c r="D12" s="19">
        <v>14016.8</v>
      </c>
      <c r="E12" s="19">
        <v>14016.8</v>
      </c>
      <c r="F12" s="19">
        <v>95.68</v>
      </c>
      <c r="G12" s="19">
        <f t="shared" si="0"/>
        <v>1341127.4240000001</v>
      </c>
      <c r="H12" s="19">
        <v>55</v>
      </c>
      <c r="I12" s="19">
        <v>107.46</v>
      </c>
      <c r="J12" s="19">
        <f t="shared" si="1"/>
        <v>5910.2999999999993</v>
      </c>
      <c r="K12" s="19">
        <f t="shared" si="2"/>
        <v>1347037.7240000002</v>
      </c>
      <c r="L12" s="19"/>
      <c r="M12" s="46">
        <f>M11+K12-L12</f>
        <v>9581434.5015999991</v>
      </c>
      <c r="N12" s="19"/>
    </row>
    <row r="13" spans="1:16">
      <c r="A13" s="28">
        <v>10</v>
      </c>
      <c r="B13" s="29">
        <v>45787</v>
      </c>
      <c r="C13" s="19"/>
      <c r="D13" s="19"/>
      <c r="E13" s="19">
        <v>2500</v>
      </c>
      <c r="F13" s="19">
        <v>95.68</v>
      </c>
      <c r="G13" s="19">
        <f t="shared" si="0"/>
        <v>239200.00000000003</v>
      </c>
      <c r="H13" s="19">
        <v>0</v>
      </c>
      <c r="I13" s="19">
        <v>0</v>
      </c>
      <c r="J13" s="19">
        <f t="shared" si="1"/>
        <v>0</v>
      </c>
      <c r="K13" s="19">
        <f t="shared" si="2"/>
        <v>239200.00000000003</v>
      </c>
      <c r="L13" s="19">
        <v>1500000</v>
      </c>
      <c r="M13" s="46">
        <f>M12+K13-L13</f>
        <v>8320634.5015999991</v>
      </c>
      <c r="N13" s="19"/>
    </row>
    <row r="14" spans="1:16">
      <c r="A14" s="28">
        <v>11</v>
      </c>
      <c r="B14" s="29">
        <v>45787</v>
      </c>
      <c r="C14" s="19"/>
      <c r="D14" s="19"/>
      <c r="E14" s="19">
        <v>2500</v>
      </c>
      <c r="F14" s="19">
        <v>95.67</v>
      </c>
      <c r="G14" s="19">
        <f t="shared" si="0"/>
        <v>239175</v>
      </c>
      <c r="H14" s="19"/>
      <c r="I14" s="19"/>
      <c r="J14" s="19"/>
      <c r="K14" s="19">
        <f t="shared" si="2"/>
        <v>239175</v>
      </c>
      <c r="L14" s="19"/>
      <c r="M14" s="46">
        <f t="shared" ref="M14:M33" si="4">M13+K14-L14</f>
        <v>8559809.5015999991</v>
      </c>
      <c r="N14" s="19"/>
    </row>
    <row r="15" spans="1:16">
      <c r="A15" s="28">
        <v>12</v>
      </c>
      <c r="B15" s="29">
        <v>45788</v>
      </c>
      <c r="C15" s="19"/>
      <c r="D15" s="19"/>
      <c r="E15" s="19">
        <v>2500</v>
      </c>
      <c r="F15" s="19">
        <v>95.68</v>
      </c>
      <c r="G15" s="19">
        <f t="shared" si="0"/>
        <v>239200.00000000003</v>
      </c>
      <c r="H15" s="19">
        <v>35</v>
      </c>
      <c r="I15" s="19">
        <v>107.46</v>
      </c>
      <c r="J15" s="19">
        <f t="shared" si="1"/>
        <v>3761.1</v>
      </c>
      <c r="K15" s="19">
        <f t="shared" si="2"/>
        <v>242961.10000000003</v>
      </c>
      <c r="L15" s="19"/>
      <c r="M15" s="46">
        <f t="shared" si="4"/>
        <v>8802770.6015999988</v>
      </c>
      <c r="N15" s="19"/>
    </row>
    <row r="16" spans="1:16">
      <c r="A16" s="28">
        <v>13</v>
      </c>
      <c r="B16" s="29">
        <v>45789</v>
      </c>
      <c r="C16" s="19"/>
      <c r="D16" s="19"/>
      <c r="E16" s="19">
        <v>6200</v>
      </c>
      <c r="F16" s="19">
        <v>95.68</v>
      </c>
      <c r="G16" s="19">
        <f t="shared" si="0"/>
        <v>593216</v>
      </c>
      <c r="H16" s="19">
        <v>20</v>
      </c>
      <c r="I16" s="19">
        <v>107.46</v>
      </c>
      <c r="J16" s="19">
        <f t="shared" si="1"/>
        <v>2149.1999999999998</v>
      </c>
      <c r="K16" s="19">
        <f t="shared" si="2"/>
        <v>595365.19999999995</v>
      </c>
      <c r="L16" s="19"/>
      <c r="M16" s="46">
        <f t="shared" si="4"/>
        <v>9398135.801599998</v>
      </c>
      <c r="N16" s="19"/>
    </row>
    <row r="17" spans="1:14">
      <c r="A17" s="28">
        <v>14</v>
      </c>
      <c r="B17" s="29">
        <v>45790</v>
      </c>
      <c r="C17" s="19"/>
      <c r="D17" s="19"/>
      <c r="E17" s="19">
        <v>7500</v>
      </c>
      <c r="F17" s="19">
        <v>95.68</v>
      </c>
      <c r="G17" s="19">
        <f t="shared" si="0"/>
        <v>717600</v>
      </c>
      <c r="H17" s="19">
        <v>55</v>
      </c>
      <c r="I17" s="19">
        <v>107.46</v>
      </c>
      <c r="J17" s="19">
        <f t="shared" si="1"/>
        <v>5910.2999999999993</v>
      </c>
      <c r="K17" s="19">
        <f t="shared" si="2"/>
        <v>723510.3</v>
      </c>
      <c r="L17" s="19"/>
      <c r="M17" s="46">
        <f t="shared" si="4"/>
        <v>10121646.101599999</v>
      </c>
      <c r="N17" s="19"/>
    </row>
    <row r="18" spans="1:14">
      <c r="A18" s="28">
        <v>15</v>
      </c>
      <c r="B18" s="29">
        <v>45791</v>
      </c>
      <c r="C18" s="19"/>
      <c r="D18" s="19"/>
      <c r="E18" s="19">
        <v>4300</v>
      </c>
      <c r="F18" s="19">
        <v>95.68</v>
      </c>
      <c r="G18" s="19">
        <f t="shared" si="0"/>
        <v>411424.00000000006</v>
      </c>
      <c r="H18" s="19">
        <v>20</v>
      </c>
      <c r="I18" s="19">
        <v>107.46</v>
      </c>
      <c r="J18" s="19">
        <f t="shared" si="1"/>
        <v>2149.1999999999998</v>
      </c>
      <c r="K18" s="19">
        <f t="shared" si="2"/>
        <v>413573.20000000007</v>
      </c>
      <c r="L18" s="19"/>
      <c r="M18" s="46">
        <f t="shared" si="4"/>
        <v>10535219.301599998</v>
      </c>
      <c r="N18" s="19"/>
    </row>
    <row r="19" spans="1:14">
      <c r="A19" s="28">
        <v>16</v>
      </c>
      <c r="B19" s="29">
        <v>45792</v>
      </c>
      <c r="C19" s="19"/>
      <c r="D19" s="19"/>
      <c r="E19" s="19">
        <v>7210.93</v>
      </c>
      <c r="F19" s="19">
        <v>95.68</v>
      </c>
      <c r="G19" s="19">
        <f t="shared" si="0"/>
        <v>689941.78240000003</v>
      </c>
      <c r="H19" s="19">
        <v>55</v>
      </c>
      <c r="I19" s="19">
        <v>107.46</v>
      </c>
      <c r="J19" s="19">
        <f t="shared" si="1"/>
        <v>5910.2999999999993</v>
      </c>
      <c r="K19" s="19">
        <f t="shared" si="2"/>
        <v>695852.08240000007</v>
      </c>
      <c r="L19" s="19">
        <v>0</v>
      </c>
      <c r="M19" s="46">
        <f t="shared" si="4"/>
        <v>11231071.383999998</v>
      </c>
      <c r="N19" s="19"/>
    </row>
    <row r="20" spans="1:14">
      <c r="A20" s="28">
        <v>17</v>
      </c>
      <c r="B20" s="29">
        <v>45793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>
        <v>35</v>
      </c>
      <c r="I20" s="19">
        <v>107.46</v>
      </c>
      <c r="J20" s="19">
        <f t="shared" si="1"/>
        <v>3761.1</v>
      </c>
      <c r="K20" s="19">
        <f t="shared" si="2"/>
        <v>3761.1</v>
      </c>
      <c r="L20" s="19"/>
      <c r="M20" s="46">
        <f t="shared" si="4"/>
        <v>11234832.483999997</v>
      </c>
      <c r="N20" s="19"/>
    </row>
    <row r="21" spans="1:14">
      <c r="A21" s="28">
        <v>18</v>
      </c>
      <c r="B21" s="29">
        <v>45794</v>
      </c>
      <c r="C21" s="19"/>
      <c r="D21" s="19"/>
      <c r="E21" s="19">
        <v>9445.01</v>
      </c>
      <c r="F21" s="19">
        <v>95.68</v>
      </c>
      <c r="G21" s="19">
        <f t="shared" si="0"/>
        <v>903698.55680000014</v>
      </c>
      <c r="H21" s="19">
        <v>20</v>
      </c>
      <c r="I21" s="19">
        <v>107.46</v>
      </c>
      <c r="J21" s="19">
        <f t="shared" si="1"/>
        <v>2149.1999999999998</v>
      </c>
      <c r="K21" s="19">
        <f t="shared" si="2"/>
        <v>905847.75680000009</v>
      </c>
      <c r="L21" s="19"/>
      <c r="M21" s="46">
        <f t="shared" si="4"/>
        <v>12140680.240799997</v>
      </c>
      <c r="N21" s="19"/>
    </row>
    <row r="22" spans="1:14">
      <c r="A22" s="28">
        <v>19</v>
      </c>
      <c r="B22" s="29">
        <v>45795</v>
      </c>
      <c r="C22" s="19"/>
      <c r="D22" s="19"/>
      <c r="E22" s="19">
        <v>5000</v>
      </c>
      <c r="F22" s="19">
        <v>95.68</v>
      </c>
      <c r="G22" s="19">
        <f t="shared" si="0"/>
        <v>478400.00000000006</v>
      </c>
      <c r="H22" s="19">
        <v>35</v>
      </c>
      <c r="I22" s="19">
        <v>107.46</v>
      </c>
      <c r="J22" s="19">
        <f t="shared" si="1"/>
        <v>3761.1</v>
      </c>
      <c r="K22" s="19">
        <f t="shared" si="2"/>
        <v>482161.10000000003</v>
      </c>
      <c r="L22" s="19"/>
      <c r="M22" s="46">
        <f t="shared" si="4"/>
        <v>12622841.340799997</v>
      </c>
      <c r="N22" s="19"/>
    </row>
    <row r="23" spans="1:14">
      <c r="A23" s="28">
        <v>20</v>
      </c>
      <c r="B23" s="29">
        <v>45796</v>
      </c>
      <c r="C23" s="19"/>
      <c r="D23" s="19"/>
      <c r="E23" s="19">
        <v>1400</v>
      </c>
      <c r="F23" s="19">
        <v>95.68</v>
      </c>
      <c r="G23" s="19">
        <f t="shared" si="0"/>
        <v>133952</v>
      </c>
      <c r="H23" s="19">
        <v>0</v>
      </c>
      <c r="I23" s="19">
        <v>0</v>
      </c>
      <c r="J23" s="19">
        <f t="shared" si="1"/>
        <v>0</v>
      </c>
      <c r="K23" s="19">
        <f t="shared" si="2"/>
        <v>133952</v>
      </c>
      <c r="L23" s="19"/>
      <c r="M23" s="46">
        <f t="shared" si="4"/>
        <v>12756793.340799997</v>
      </c>
      <c r="N23" s="19"/>
    </row>
    <row r="24" spans="1:14">
      <c r="A24" s="28">
        <v>21</v>
      </c>
      <c r="B24" s="29">
        <v>45797</v>
      </c>
      <c r="C24" s="19"/>
      <c r="D24" s="19"/>
      <c r="E24" s="19">
        <v>5000</v>
      </c>
      <c r="F24" s="19">
        <v>95.68</v>
      </c>
      <c r="G24" s="19">
        <f t="shared" si="0"/>
        <v>478400.00000000006</v>
      </c>
      <c r="H24" s="19">
        <v>55</v>
      </c>
      <c r="I24" s="19">
        <v>107.46</v>
      </c>
      <c r="J24" s="19">
        <f t="shared" si="1"/>
        <v>5910.2999999999993</v>
      </c>
      <c r="K24" s="19">
        <f t="shared" si="2"/>
        <v>484310.30000000005</v>
      </c>
      <c r="L24" s="19"/>
      <c r="M24" s="46">
        <f t="shared" si="4"/>
        <v>13241103.640799997</v>
      </c>
      <c r="N24" s="19"/>
    </row>
    <row r="25" spans="1:14">
      <c r="A25" s="28">
        <v>22</v>
      </c>
      <c r="B25" s="29">
        <v>45798</v>
      </c>
      <c r="C25" s="19"/>
      <c r="D25" s="19"/>
      <c r="E25" s="19">
        <v>6529</v>
      </c>
      <c r="F25" s="19">
        <v>95.68</v>
      </c>
      <c r="G25" s="19">
        <f t="shared" si="0"/>
        <v>624694.72000000009</v>
      </c>
      <c r="H25" s="19">
        <v>20</v>
      </c>
      <c r="I25" s="19">
        <v>107.46</v>
      </c>
      <c r="J25" s="19">
        <f t="shared" si="1"/>
        <v>2149.1999999999998</v>
      </c>
      <c r="K25" s="19">
        <f t="shared" si="2"/>
        <v>626843.92000000004</v>
      </c>
      <c r="L25" s="19"/>
      <c r="M25" s="46">
        <f t="shared" si="4"/>
        <v>13867947.560799997</v>
      </c>
      <c r="N25" s="19"/>
    </row>
    <row r="26" spans="1:14">
      <c r="A26" s="28">
        <v>23</v>
      </c>
      <c r="B26" s="29">
        <v>45799</v>
      </c>
      <c r="C26" s="19"/>
      <c r="D26" s="19"/>
      <c r="E26" s="19">
        <v>6727</v>
      </c>
      <c r="F26" s="19">
        <v>95.68</v>
      </c>
      <c r="G26" s="19">
        <f t="shared" si="0"/>
        <v>643639.3600000001</v>
      </c>
      <c r="H26" s="19">
        <v>0</v>
      </c>
      <c r="I26" s="19">
        <v>0</v>
      </c>
      <c r="J26" s="19">
        <f t="shared" si="1"/>
        <v>0</v>
      </c>
      <c r="K26" s="19">
        <f t="shared" si="2"/>
        <v>643639.3600000001</v>
      </c>
      <c r="L26" s="19"/>
      <c r="M26" s="46">
        <f t="shared" si="4"/>
        <v>14511586.920799997</v>
      </c>
      <c r="N26" s="19"/>
    </row>
    <row r="27" spans="1:14">
      <c r="A27" s="28">
        <v>24</v>
      </c>
      <c r="B27" s="29">
        <v>45800</v>
      </c>
      <c r="C27" s="19"/>
      <c r="D27" s="19"/>
      <c r="E27" s="109">
        <v>1506</v>
      </c>
      <c r="F27" s="19">
        <v>95.68</v>
      </c>
      <c r="G27" s="19">
        <f t="shared" si="0"/>
        <v>144094.08000000002</v>
      </c>
      <c r="H27" s="19">
        <v>55</v>
      </c>
      <c r="I27" s="19">
        <v>107.46</v>
      </c>
      <c r="J27" s="19">
        <f t="shared" si="1"/>
        <v>5910.2999999999993</v>
      </c>
      <c r="K27" s="19">
        <f t="shared" si="2"/>
        <v>150004.38</v>
      </c>
      <c r="L27" s="19"/>
      <c r="M27" s="46">
        <f t="shared" si="4"/>
        <v>14661591.300799998</v>
      </c>
      <c r="N27" s="19"/>
    </row>
    <row r="28" spans="1:14">
      <c r="A28" s="28">
        <v>25</v>
      </c>
      <c r="B28" s="29">
        <v>45801</v>
      </c>
      <c r="C28" s="19"/>
      <c r="D28" s="112"/>
      <c r="E28" s="19">
        <v>4100</v>
      </c>
      <c r="F28" s="19">
        <v>95.68</v>
      </c>
      <c r="G28" s="19">
        <f t="shared" si="0"/>
        <v>392288</v>
      </c>
      <c r="H28" s="19">
        <v>35</v>
      </c>
      <c r="I28" s="19">
        <v>107.46</v>
      </c>
      <c r="J28" s="19">
        <f t="shared" si="1"/>
        <v>3761.1</v>
      </c>
      <c r="K28" s="19">
        <f t="shared" si="2"/>
        <v>396049.1</v>
      </c>
      <c r="L28" s="19"/>
      <c r="M28" s="46">
        <f t="shared" si="4"/>
        <v>15057640.400799997</v>
      </c>
      <c r="N28" s="19"/>
    </row>
    <row r="29" spans="1:14">
      <c r="A29" s="28">
        <v>26</v>
      </c>
      <c r="B29" s="29">
        <v>45802</v>
      </c>
      <c r="C29" s="19"/>
      <c r="D29" s="19"/>
      <c r="E29" s="155">
        <v>2500</v>
      </c>
      <c r="F29" s="19">
        <v>95.68</v>
      </c>
      <c r="G29" s="19">
        <f t="shared" si="0"/>
        <v>239200.00000000003</v>
      </c>
      <c r="H29" s="19">
        <v>0</v>
      </c>
      <c r="I29" s="19">
        <v>0</v>
      </c>
      <c r="J29" s="19">
        <f t="shared" si="1"/>
        <v>0</v>
      </c>
      <c r="K29" s="19">
        <f t="shared" si="2"/>
        <v>239200.00000000003</v>
      </c>
      <c r="L29" s="19"/>
      <c r="M29" s="46">
        <f t="shared" si="4"/>
        <v>15296840.400799997</v>
      </c>
      <c r="N29" s="19"/>
    </row>
    <row r="30" spans="1:14">
      <c r="A30" s="28">
        <v>27</v>
      </c>
      <c r="B30" s="29">
        <v>45803</v>
      </c>
      <c r="C30" s="19"/>
      <c r="D30" s="19"/>
      <c r="E30" s="19">
        <v>6600.19</v>
      </c>
      <c r="F30" s="19">
        <v>95.68</v>
      </c>
      <c r="G30" s="19">
        <f t="shared" si="0"/>
        <v>631506.17920000001</v>
      </c>
      <c r="H30" s="19">
        <v>55</v>
      </c>
      <c r="I30" s="19">
        <v>107.46</v>
      </c>
      <c r="J30" s="19">
        <f t="shared" si="1"/>
        <v>5910.2999999999993</v>
      </c>
      <c r="K30" s="19">
        <f t="shared" si="2"/>
        <v>637416.47920000006</v>
      </c>
      <c r="L30" s="19">
        <v>7000000</v>
      </c>
      <c r="M30" s="46">
        <f t="shared" si="4"/>
        <v>8934256.8799999971</v>
      </c>
      <c r="N30" s="19"/>
    </row>
    <row r="31" spans="1:14">
      <c r="A31" s="28">
        <v>28</v>
      </c>
      <c r="B31" s="29">
        <v>45804</v>
      </c>
      <c r="C31" s="19"/>
      <c r="D31" s="19"/>
      <c r="E31" s="19">
        <v>2500</v>
      </c>
      <c r="F31" s="19">
        <v>95.68</v>
      </c>
      <c r="G31" s="19">
        <f t="shared" si="0"/>
        <v>239200.00000000003</v>
      </c>
      <c r="H31" s="19">
        <v>0</v>
      </c>
      <c r="I31" s="19">
        <v>0</v>
      </c>
      <c r="J31" s="19">
        <f t="shared" si="1"/>
        <v>0</v>
      </c>
      <c r="K31" s="19">
        <f t="shared" si="2"/>
        <v>239200.00000000003</v>
      </c>
      <c r="L31" s="19"/>
      <c r="M31" s="46">
        <f t="shared" si="4"/>
        <v>9173456.8799999971</v>
      </c>
      <c r="N31" s="19"/>
    </row>
    <row r="32" spans="1:14">
      <c r="A32" s="28">
        <v>29</v>
      </c>
      <c r="B32" s="29">
        <v>45805</v>
      </c>
      <c r="C32" s="19"/>
      <c r="D32" s="19"/>
      <c r="E32" s="19">
        <v>0</v>
      </c>
      <c r="F32" s="19">
        <v>0</v>
      </c>
      <c r="G32" s="19">
        <f t="shared" si="0"/>
        <v>0</v>
      </c>
      <c r="H32" s="19">
        <v>0</v>
      </c>
      <c r="I32" s="19">
        <v>0</v>
      </c>
      <c r="J32" s="19">
        <f t="shared" si="1"/>
        <v>0</v>
      </c>
      <c r="K32" s="19">
        <f t="shared" si="2"/>
        <v>0</v>
      </c>
      <c r="L32" s="19"/>
      <c r="M32" s="46">
        <f t="shared" si="4"/>
        <v>9173456.8799999971</v>
      </c>
      <c r="N32" s="19"/>
    </row>
    <row r="33" spans="1:14">
      <c r="A33" s="28">
        <v>30</v>
      </c>
      <c r="B33" s="29">
        <v>45806</v>
      </c>
      <c r="C33" s="19"/>
      <c r="D33" s="19"/>
      <c r="E33" s="19">
        <v>1400.27</v>
      </c>
      <c r="F33" s="19">
        <v>95.68</v>
      </c>
      <c r="G33" s="19">
        <f t="shared" si="0"/>
        <v>133977.83360000001</v>
      </c>
      <c r="H33" s="19">
        <v>0</v>
      </c>
      <c r="I33" s="19">
        <v>0</v>
      </c>
      <c r="J33" s="19">
        <f t="shared" si="1"/>
        <v>0</v>
      </c>
      <c r="K33" s="19">
        <f t="shared" si="2"/>
        <v>133977.83360000001</v>
      </c>
      <c r="L33" s="19"/>
      <c r="M33" s="46">
        <f t="shared" si="4"/>
        <v>9307434.7135999966</v>
      </c>
      <c r="N33" s="19"/>
    </row>
    <row r="34" spans="1:14">
      <c r="A34" s="28">
        <v>31</v>
      </c>
      <c r="B34" s="29">
        <v>45807</v>
      </c>
      <c r="C34" s="19"/>
      <c r="D34" s="19"/>
      <c r="E34" s="19">
        <v>0</v>
      </c>
      <c r="F34" s="19">
        <v>0</v>
      </c>
      <c r="G34" s="19">
        <f t="shared" si="0"/>
        <v>0</v>
      </c>
      <c r="H34" s="19">
        <v>0</v>
      </c>
      <c r="I34" s="19">
        <v>0</v>
      </c>
      <c r="J34" s="19">
        <f t="shared" si="1"/>
        <v>0</v>
      </c>
      <c r="K34" s="19">
        <f t="shared" si="2"/>
        <v>0</v>
      </c>
      <c r="L34" s="19"/>
      <c r="M34" s="46">
        <f>M33+K34-L34</f>
        <v>9307434.7135999966</v>
      </c>
      <c r="N34" s="19"/>
    </row>
    <row r="35" spans="1:14">
      <c r="A35" s="28">
        <v>32</v>
      </c>
      <c r="B35" s="29">
        <v>45808</v>
      </c>
      <c r="C35" s="19"/>
      <c r="D35" s="19"/>
      <c r="E35" s="19">
        <v>0</v>
      </c>
      <c r="F35" s="19">
        <v>0</v>
      </c>
      <c r="G35" s="19">
        <f t="shared" si="0"/>
        <v>0</v>
      </c>
      <c r="H35" s="19">
        <v>0</v>
      </c>
      <c r="I35" s="19">
        <v>0</v>
      </c>
      <c r="J35" s="19">
        <f t="shared" si="1"/>
        <v>0</v>
      </c>
      <c r="K35" s="19">
        <f t="shared" si="2"/>
        <v>0</v>
      </c>
      <c r="L35" s="19"/>
      <c r="M35" s="19"/>
      <c r="N35" s="19"/>
    </row>
    <row r="36" spans="1:14">
      <c r="A36" s="28">
        <v>33</v>
      </c>
      <c r="B36" s="2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>
      <c r="A37" s="51"/>
      <c r="B37" s="51"/>
      <c r="C37" s="51"/>
      <c r="D37" s="51"/>
      <c r="E37" s="290">
        <f>SUM(E3:E36)</f>
        <v>146362.51999999999</v>
      </c>
      <c r="F37" s="290"/>
      <c r="G37" s="290">
        <f>SUM(G3:G36)</f>
        <v>14003940.9136</v>
      </c>
      <c r="H37" s="290">
        <f>SUM(H3:H36)</f>
        <v>680</v>
      </c>
      <c r="I37" s="290"/>
      <c r="J37" s="290">
        <f>SUM(J3:J36)</f>
        <v>73072.800000000003</v>
      </c>
      <c r="K37" s="290">
        <f>SUM(K4:K36)</f>
        <v>14077013.7136</v>
      </c>
      <c r="L37" s="290">
        <f>SUM(L3:L36)</f>
        <v>8500000</v>
      </c>
      <c r="M37" s="290"/>
      <c r="N37" s="290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O39"/>
  <sheetViews>
    <sheetView workbookViewId="0">
      <selection activeCell="O35" sqref="O35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</cols>
  <sheetData>
    <row r="1" spans="1:14" ht="15.75">
      <c r="A1" s="435" t="s">
        <v>16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</row>
    <row r="2" spans="1:14" ht="30.75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141" t="s">
        <v>107</v>
      </c>
      <c r="L2" s="144" t="s">
        <v>108</v>
      </c>
      <c r="M2" s="144" t="s">
        <v>109</v>
      </c>
      <c r="N2" s="142" t="s">
        <v>110</v>
      </c>
    </row>
    <row r="3" spans="1:14">
      <c r="A3" s="439" t="s">
        <v>111</v>
      </c>
      <c r="B3" s="440"/>
      <c r="C3" s="440"/>
      <c r="D3" s="440"/>
      <c r="E3" s="440"/>
      <c r="F3" s="440"/>
      <c r="G3" s="440"/>
      <c r="H3" s="440"/>
      <c r="I3" s="440"/>
      <c r="J3" s="440"/>
      <c r="K3" s="286">
        <v>8891075.4399999995</v>
      </c>
      <c r="L3" s="287"/>
      <c r="M3" s="258">
        <f>+K3</f>
        <v>8891075.4399999995</v>
      </c>
      <c r="N3" s="109"/>
    </row>
    <row r="4" spans="1:14">
      <c r="A4" s="28">
        <v>1</v>
      </c>
      <c r="B4" s="29">
        <v>45778</v>
      </c>
      <c r="C4" s="19"/>
      <c r="D4" s="19"/>
      <c r="E4" s="19">
        <v>4844.88</v>
      </c>
      <c r="F4" s="19">
        <v>95.7</v>
      </c>
      <c r="G4" s="19">
        <f>E4*F4</f>
        <v>463655.016</v>
      </c>
      <c r="H4" s="19">
        <v>0</v>
      </c>
      <c r="I4" s="19">
        <v>0</v>
      </c>
      <c r="J4" s="19">
        <v>0</v>
      </c>
      <c r="K4" s="19">
        <f>G4+J4</f>
        <v>463655.016</v>
      </c>
      <c r="L4" s="19"/>
      <c r="M4" s="46">
        <f>M3+K4-L4</f>
        <v>9354730.4560000002</v>
      </c>
      <c r="N4" s="19"/>
    </row>
    <row r="5" spans="1:14">
      <c r="A5" s="28">
        <v>2</v>
      </c>
      <c r="B5" s="29">
        <v>45779</v>
      </c>
      <c r="C5" s="19"/>
      <c r="D5" s="19"/>
      <c r="E5" s="19">
        <v>2871.69</v>
      </c>
      <c r="F5" s="19">
        <v>95.7</v>
      </c>
      <c r="G5" s="19">
        <f t="shared" ref="G5:G34" si="0">E5*F5</f>
        <v>274820.73300000001</v>
      </c>
      <c r="H5" s="19">
        <v>0</v>
      </c>
      <c r="I5" s="19">
        <v>0</v>
      </c>
      <c r="J5" s="19">
        <v>0</v>
      </c>
      <c r="K5" s="19">
        <f t="shared" ref="K5:K34" si="1">G5+J5</f>
        <v>274820.73300000001</v>
      </c>
      <c r="L5" s="19"/>
      <c r="M5" s="46">
        <f t="shared" ref="M5:M17" si="2">M4+K5-L5</f>
        <v>9629551.1889999993</v>
      </c>
      <c r="N5" s="19"/>
    </row>
    <row r="6" spans="1:14">
      <c r="A6" s="28">
        <v>3</v>
      </c>
      <c r="B6" s="29">
        <v>45780</v>
      </c>
      <c r="C6" s="19"/>
      <c r="D6" s="19"/>
      <c r="E6" s="19">
        <v>7544.95</v>
      </c>
      <c r="F6" s="19">
        <v>95.7</v>
      </c>
      <c r="G6" s="19">
        <f t="shared" si="0"/>
        <v>722051.71499999997</v>
      </c>
      <c r="H6" s="19">
        <v>0</v>
      </c>
      <c r="I6" s="19">
        <v>0</v>
      </c>
      <c r="J6" s="19">
        <v>0</v>
      </c>
      <c r="K6" s="19">
        <f t="shared" si="1"/>
        <v>722051.71499999997</v>
      </c>
      <c r="L6" s="19"/>
      <c r="M6" s="46">
        <f t="shared" si="2"/>
        <v>10351602.903999999</v>
      </c>
      <c r="N6" s="19"/>
    </row>
    <row r="7" spans="1:14">
      <c r="A7" s="28">
        <v>4</v>
      </c>
      <c r="B7" s="29">
        <v>45781</v>
      </c>
      <c r="C7" s="19"/>
      <c r="D7" s="19"/>
      <c r="E7" s="19">
        <v>5393.57</v>
      </c>
      <c r="F7" s="19">
        <v>95.7</v>
      </c>
      <c r="G7" s="19">
        <f t="shared" si="0"/>
        <v>516164.64899999998</v>
      </c>
      <c r="H7" s="19">
        <v>0</v>
      </c>
      <c r="I7" s="19">
        <v>0</v>
      </c>
      <c r="J7" s="19">
        <v>0</v>
      </c>
      <c r="K7" s="19">
        <f t="shared" si="1"/>
        <v>516164.64899999998</v>
      </c>
      <c r="L7" s="19"/>
      <c r="M7" s="46">
        <f t="shared" si="2"/>
        <v>10867767.552999999</v>
      </c>
      <c r="N7" s="19"/>
    </row>
    <row r="8" spans="1:14">
      <c r="A8" s="28">
        <v>5</v>
      </c>
      <c r="B8" s="29">
        <v>45782</v>
      </c>
      <c r="C8" s="19"/>
      <c r="D8" s="19"/>
      <c r="E8" s="19">
        <v>0</v>
      </c>
      <c r="F8" s="19">
        <v>0</v>
      </c>
      <c r="G8" s="19">
        <f t="shared" si="0"/>
        <v>0</v>
      </c>
      <c r="H8" s="19">
        <v>0</v>
      </c>
      <c r="I8" s="19">
        <v>0</v>
      </c>
      <c r="J8" s="19">
        <v>0</v>
      </c>
      <c r="K8" s="19">
        <f t="shared" si="1"/>
        <v>0</v>
      </c>
      <c r="L8" s="19"/>
      <c r="M8" s="46">
        <f t="shared" si="2"/>
        <v>10867767.552999999</v>
      </c>
      <c r="N8" s="19"/>
    </row>
    <row r="9" spans="1:14">
      <c r="A9" s="28">
        <v>6</v>
      </c>
      <c r="B9" s="29">
        <v>45783</v>
      </c>
      <c r="C9" s="19"/>
      <c r="D9" s="19"/>
      <c r="E9" s="19">
        <v>2500</v>
      </c>
      <c r="F9" s="19">
        <v>95.7</v>
      </c>
      <c r="G9" s="19">
        <f t="shared" si="0"/>
        <v>239250</v>
      </c>
      <c r="H9" s="19">
        <v>35</v>
      </c>
      <c r="I9" s="19">
        <v>107.48</v>
      </c>
      <c r="J9" s="19">
        <f>H9*I9</f>
        <v>3761.8</v>
      </c>
      <c r="K9" s="19">
        <f>G9+J9</f>
        <v>243011.8</v>
      </c>
      <c r="L9" s="19"/>
      <c r="M9" s="46">
        <f t="shared" si="2"/>
        <v>11110779.353</v>
      </c>
      <c r="N9" s="291"/>
    </row>
    <row r="10" spans="1:14">
      <c r="A10" s="28">
        <v>7</v>
      </c>
      <c r="B10" s="29">
        <v>45784</v>
      </c>
      <c r="C10" s="19"/>
      <c r="D10" s="19"/>
      <c r="E10" s="19">
        <v>0</v>
      </c>
      <c r="F10" s="19">
        <v>0</v>
      </c>
      <c r="G10" s="19">
        <f t="shared" si="0"/>
        <v>0</v>
      </c>
      <c r="H10" s="19">
        <v>0</v>
      </c>
      <c r="I10" s="19">
        <v>0</v>
      </c>
      <c r="J10" s="19">
        <f>H10*I10</f>
        <v>0</v>
      </c>
      <c r="K10" s="19">
        <f t="shared" si="1"/>
        <v>0</v>
      </c>
      <c r="L10" s="19"/>
      <c r="M10" s="46">
        <f t="shared" si="2"/>
        <v>11110779.353</v>
      </c>
      <c r="N10" s="19"/>
    </row>
    <row r="11" spans="1:14">
      <c r="A11" s="28">
        <v>8</v>
      </c>
      <c r="B11" s="29">
        <v>45785</v>
      </c>
      <c r="C11" s="19"/>
      <c r="D11" s="19"/>
      <c r="E11" s="19">
        <v>2500</v>
      </c>
      <c r="F11" s="19">
        <v>95.7</v>
      </c>
      <c r="G11" s="19">
        <f t="shared" si="0"/>
        <v>239250</v>
      </c>
      <c r="H11" s="19">
        <v>0</v>
      </c>
      <c r="I11" s="19">
        <v>0</v>
      </c>
      <c r="J11" s="19">
        <f>H11*I11</f>
        <v>0</v>
      </c>
      <c r="K11" s="19">
        <f t="shared" si="1"/>
        <v>239250</v>
      </c>
      <c r="L11" s="19"/>
      <c r="M11" s="46">
        <f t="shared" si="2"/>
        <v>11350029.353</v>
      </c>
      <c r="N11" s="19"/>
    </row>
    <row r="12" spans="1:14">
      <c r="A12" s="28">
        <v>9</v>
      </c>
      <c r="B12" s="29">
        <v>45786</v>
      </c>
      <c r="C12" s="19"/>
      <c r="D12" s="19"/>
      <c r="E12" s="19">
        <v>0</v>
      </c>
      <c r="F12" s="19">
        <v>0</v>
      </c>
      <c r="G12" s="19">
        <f t="shared" si="0"/>
        <v>0</v>
      </c>
      <c r="H12" s="19">
        <v>0</v>
      </c>
      <c r="I12" s="19">
        <v>0</v>
      </c>
      <c r="J12" s="19">
        <f>H12*I12</f>
        <v>0</v>
      </c>
      <c r="K12" s="19">
        <f t="shared" si="1"/>
        <v>0</v>
      </c>
      <c r="L12" s="19"/>
      <c r="M12" s="46">
        <f t="shared" si="2"/>
        <v>11350029.353</v>
      </c>
      <c r="N12" s="19"/>
    </row>
    <row r="13" spans="1:14">
      <c r="A13" s="28">
        <v>10</v>
      </c>
      <c r="B13" s="29">
        <v>45787</v>
      </c>
      <c r="C13" s="19"/>
      <c r="D13" s="19"/>
      <c r="E13" s="19">
        <v>0</v>
      </c>
      <c r="F13" s="19">
        <v>0</v>
      </c>
      <c r="G13" s="19">
        <f t="shared" si="0"/>
        <v>0</v>
      </c>
      <c r="H13" s="19">
        <v>0</v>
      </c>
      <c r="I13" s="19">
        <v>0</v>
      </c>
      <c r="J13" s="19">
        <f>H13*I13</f>
        <v>0</v>
      </c>
      <c r="K13" s="19">
        <f t="shared" si="1"/>
        <v>0</v>
      </c>
      <c r="L13" s="19"/>
      <c r="M13" s="46">
        <f t="shared" si="2"/>
        <v>11350029.353</v>
      </c>
      <c r="N13" s="19"/>
    </row>
    <row r="14" spans="1:14">
      <c r="A14" s="28">
        <v>11</v>
      </c>
      <c r="B14" s="29">
        <v>45788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>
        <v>0</v>
      </c>
      <c r="I14" s="19">
        <v>0</v>
      </c>
      <c r="J14" s="19">
        <f>H14*I14</f>
        <v>0</v>
      </c>
      <c r="K14" s="19">
        <f t="shared" si="1"/>
        <v>0</v>
      </c>
      <c r="L14" s="19"/>
      <c r="M14" s="46">
        <f t="shared" si="2"/>
        <v>11350029.353</v>
      </c>
      <c r="N14" s="19"/>
    </row>
    <row r="15" spans="1:14">
      <c r="A15" s="28">
        <v>12</v>
      </c>
      <c r="B15" s="29">
        <v>45789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>
        <v>0</v>
      </c>
      <c r="I15" s="19">
        <v>0</v>
      </c>
      <c r="J15" s="19">
        <f>H15*I15</f>
        <v>0</v>
      </c>
      <c r="K15" s="19">
        <f t="shared" si="1"/>
        <v>0</v>
      </c>
      <c r="L15" s="19"/>
      <c r="M15" s="46">
        <f t="shared" si="2"/>
        <v>11350029.353</v>
      </c>
      <c r="N15" s="19"/>
    </row>
    <row r="16" spans="1:14">
      <c r="A16" s="28">
        <v>13</v>
      </c>
      <c r="B16" s="29">
        <v>45790</v>
      </c>
      <c r="C16" s="19"/>
      <c r="D16" s="19"/>
      <c r="E16" s="19">
        <v>0</v>
      </c>
      <c r="F16" s="19">
        <v>0</v>
      </c>
      <c r="G16" s="19">
        <f t="shared" si="0"/>
        <v>0</v>
      </c>
      <c r="H16" s="19">
        <v>0</v>
      </c>
      <c r="I16" s="19">
        <v>0</v>
      </c>
      <c r="J16" s="19">
        <f>H16*I16</f>
        <v>0</v>
      </c>
      <c r="K16" s="19">
        <f t="shared" si="1"/>
        <v>0</v>
      </c>
      <c r="L16" s="19"/>
      <c r="M16" s="46">
        <f t="shared" si="2"/>
        <v>11350029.353</v>
      </c>
      <c r="N16" s="19"/>
    </row>
    <row r="17" spans="1:15">
      <c r="A17" s="28">
        <v>14</v>
      </c>
      <c r="B17" s="29">
        <v>45791</v>
      </c>
      <c r="C17" s="19"/>
      <c r="D17" s="19"/>
      <c r="E17" s="19">
        <v>0</v>
      </c>
      <c r="F17" s="19">
        <v>0</v>
      </c>
      <c r="G17" s="19">
        <f t="shared" si="0"/>
        <v>0</v>
      </c>
      <c r="H17" s="19">
        <v>0</v>
      </c>
      <c r="I17" s="19">
        <v>0</v>
      </c>
      <c r="J17" s="19">
        <f>H17*I17</f>
        <v>0</v>
      </c>
      <c r="K17" s="19">
        <f t="shared" si="1"/>
        <v>0</v>
      </c>
      <c r="L17" s="19"/>
      <c r="M17" s="46">
        <f>M16+K17-L17</f>
        <v>11350029.353</v>
      </c>
      <c r="N17" s="19"/>
    </row>
    <row r="18" spans="1:15">
      <c r="A18" s="28">
        <v>15</v>
      </c>
      <c r="B18" s="29">
        <v>45792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>
        <v>0</v>
      </c>
      <c r="I18" s="19">
        <v>0</v>
      </c>
      <c r="J18" s="19">
        <f>H18*I18</f>
        <v>0</v>
      </c>
      <c r="K18" s="19">
        <f t="shared" si="1"/>
        <v>0</v>
      </c>
      <c r="L18" s="19"/>
      <c r="M18" s="46">
        <f>M17+K18-L18</f>
        <v>11350029.353</v>
      </c>
      <c r="N18" s="19"/>
    </row>
    <row r="19" spans="1:15">
      <c r="A19" s="28">
        <v>16</v>
      </c>
      <c r="B19" s="29">
        <v>45793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>
        <v>0</v>
      </c>
      <c r="I19" s="19">
        <v>0</v>
      </c>
      <c r="J19" s="19">
        <f>H19*I19</f>
        <v>0</v>
      </c>
      <c r="K19" s="19">
        <f t="shared" si="1"/>
        <v>0</v>
      </c>
      <c r="L19" s="19">
        <v>2000000</v>
      </c>
      <c r="M19" s="46">
        <f>M18+K19-L19</f>
        <v>9350029.3530000001</v>
      </c>
      <c r="N19" s="19"/>
    </row>
    <row r="20" spans="1:15">
      <c r="A20" s="28">
        <v>17</v>
      </c>
      <c r="B20" s="29">
        <v>45794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>
        <v>0</v>
      </c>
      <c r="I20" s="19">
        <v>0</v>
      </c>
      <c r="J20" s="19">
        <f>H20*I20</f>
        <v>0</v>
      </c>
      <c r="K20" s="19">
        <f t="shared" si="1"/>
        <v>0</v>
      </c>
      <c r="L20" s="19"/>
      <c r="M20" s="46">
        <f>M19+K20-L20</f>
        <v>9350029.3530000001</v>
      </c>
      <c r="N20" s="19"/>
    </row>
    <row r="21" spans="1:15">
      <c r="A21" s="28">
        <v>18</v>
      </c>
      <c r="B21" s="29">
        <v>45795</v>
      </c>
      <c r="C21" s="19"/>
      <c r="D21" s="19"/>
      <c r="E21" s="19">
        <v>0</v>
      </c>
      <c r="F21" s="19">
        <v>0</v>
      </c>
      <c r="G21" s="19">
        <f t="shared" si="0"/>
        <v>0</v>
      </c>
      <c r="H21" s="19">
        <v>0</v>
      </c>
      <c r="I21" s="19">
        <v>0</v>
      </c>
      <c r="J21" s="19">
        <f>H21*I21</f>
        <v>0</v>
      </c>
      <c r="K21" s="19">
        <f t="shared" si="1"/>
        <v>0</v>
      </c>
      <c r="L21" s="19"/>
      <c r="M21" s="46">
        <f>M20+K21-L21</f>
        <v>9350029.3530000001</v>
      </c>
      <c r="N21" s="19"/>
    </row>
    <row r="22" spans="1:15">
      <c r="A22" s="28">
        <v>19</v>
      </c>
      <c r="B22" s="29">
        <v>45796</v>
      </c>
      <c r="C22" s="19"/>
      <c r="D22" s="19"/>
      <c r="E22" s="19">
        <v>2500</v>
      </c>
      <c r="F22" s="19">
        <v>95.7</v>
      </c>
      <c r="G22" s="19">
        <f t="shared" si="0"/>
        <v>239250</v>
      </c>
      <c r="H22" s="19">
        <v>0</v>
      </c>
      <c r="I22" s="19">
        <v>0</v>
      </c>
      <c r="J22" s="19">
        <f>H22*I22</f>
        <v>0</v>
      </c>
      <c r="K22" s="19">
        <f t="shared" si="1"/>
        <v>239250</v>
      </c>
      <c r="L22" s="19"/>
      <c r="M22" s="46">
        <f>M21+K22-L22</f>
        <v>9589279.3530000001</v>
      </c>
      <c r="N22" s="19"/>
    </row>
    <row r="23" spans="1:15">
      <c r="A23" s="28">
        <v>20</v>
      </c>
      <c r="B23" s="29">
        <v>45797</v>
      </c>
      <c r="C23" s="19"/>
      <c r="D23" s="19"/>
      <c r="E23" s="19">
        <v>2500</v>
      </c>
      <c r="F23" s="19">
        <v>95.7</v>
      </c>
      <c r="G23" s="19">
        <f t="shared" si="0"/>
        <v>239250</v>
      </c>
      <c r="H23" s="19">
        <v>35</v>
      </c>
      <c r="I23" s="19">
        <v>107.48</v>
      </c>
      <c r="J23" s="19">
        <f>H23*I23</f>
        <v>3761.8</v>
      </c>
      <c r="K23" s="19">
        <f>G23+J23</f>
        <v>243011.8</v>
      </c>
      <c r="L23" s="19"/>
      <c r="M23" s="46">
        <f>M22+K23-L23</f>
        <v>9832291.1530000009</v>
      </c>
      <c r="N23" s="19"/>
      <c r="O23" t="s">
        <v>113</v>
      </c>
    </row>
    <row r="24" spans="1:15">
      <c r="A24" s="28">
        <v>21</v>
      </c>
      <c r="B24" s="29">
        <v>45798</v>
      </c>
      <c r="C24" s="19"/>
      <c r="D24" s="19"/>
      <c r="E24" s="19">
        <v>2500</v>
      </c>
      <c r="F24" s="19">
        <v>95.7</v>
      </c>
      <c r="G24" s="19">
        <f t="shared" si="0"/>
        <v>239250</v>
      </c>
      <c r="H24" s="19">
        <v>0</v>
      </c>
      <c r="I24" s="19">
        <v>0</v>
      </c>
      <c r="J24" s="19">
        <f>H24*I24</f>
        <v>0</v>
      </c>
      <c r="K24" s="19">
        <f t="shared" si="1"/>
        <v>239250</v>
      </c>
      <c r="L24" s="19"/>
      <c r="M24" s="46">
        <f>M23+K24-L24</f>
        <v>10071541.153000001</v>
      </c>
      <c r="N24" s="19"/>
    </row>
    <row r="25" spans="1:15">
      <c r="A25" s="28">
        <v>22</v>
      </c>
      <c r="B25" s="29">
        <v>45799</v>
      </c>
      <c r="C25" s="19"/>
      <c r="D25" s="19"/>
      <c r="E25" s="19">
        <v>0</v>
      </c>
      <c r="F25" s="19">
        <v>0</v>
      </c>
      <c r="G25" s="19">
        <f t="shared" si="0"/>
        <v>0</v>
      </c>
      <c r="H25" s="19">
        <v>0</v>
      </c>
      <c r="I25" s="19">
        <v>0</v>
      </c>
      <c r="J25" s="19">
        <f>H25*I25</f>
        <v>0</v>
      </c>
      <c r="K25" s="19">
        <f t="shared" si="1"/>
        <v>0</v>
      </c>
      <c r="L25" s="19"/>
      <c r="M25" s="46">
        <f>M24+K25-L25</f>
        <v>10071541.153000001</v>
      </c>
      <c r="N25" s="19"/>
    </row>
    <row r="26" spans="1:15">
      <c r="A26" s="28">
        <v>23</v>
      </c>
      <c r="B26" s="29">
        <v>45800</v>
      </c>
      <c r="C26" s="19"/>
      <c r="D26" s="19"/>
      <c r="E26" s="19">
        <v>4750</v>
      </c>
      <c r="F26" s="19">
        <v>95.7</v>
      </c>
      <c r="G26" s="19">
        <f t="shared" si="0"/>
        <v>454575</v>
      </c>
      <c r="H26" s="19">
        <v>0</v>
      </c>
      <c r="I26" s="19">
        <v>0</v>
      </c>
      <c r="J26" s="19">
        <f>H26*I26</f>
        <v>0</v>
      </c>
      <c r="K26" s="19">
        <f t="shared" si="1"/>
        <v>454575</v>
      </c>
      <c r="L26" s="19"/>
      <c r="M26" s="46">
        <f>M25+K26-L26</f>
        <v>10526116.153000001</v>
      </c>
      <c r="N26" s="19"/>
    </row>
    <row r="27" spans="1:15">
      <c r="A27" s="28">
        <v>24</v>
      </c>
      <c r="B27" s="29">
        <v>45801</v>
      </c>
      <c r="C27" s="19"/>
      <c r="D27" s="19"/>
      <c r="E27" s="19">
        <v>0</v>
      </c>
      <c r="F27" s="19">
        <v>0</v>
      </c>
      <c r="G27" s="19">
        <f t="shared" si="0"/>
        <v>0</v>
      </c>
      <c r="H27" s="19">
        <v>0</v>
      </c>
      <c r="I27" s="19">
        <v>0</v>
      </c>
      <c r="J27" s="19">
        <f>H27*I27</f>
        <v>0</v>
      </c>
      <c r="K27" s="19">
        <f t="shared" si="1"/>
        <v>0</v>
      </c>
      <c r="L27" s="19"/>
      <c r="M27" s="46">
        <f>M26+K27-L27</f>
        <v>10526116.153000001</v>
      </c>
      <c r="N27" s="19"/>
    </row>
    <row r="28" spans="1:15">
      <c r="A28" s="28">
        <v>25</v>
      </c>
      <c r="B28" s="29">
        <v>45802</v>
      </c>
      <c r="C28" s="19"/>
      <c r="D28" s="19"/>
      <c r="E28" s="19">
        <v>0</v>
      </c>
      <c r="F28" s="19">
        <v>0</v>
      </c>
      <c r="G28" s="19">
        <f t="shared" si="0"/>
        <v>0</v>
      </c>
      <c r="H28" s="19">
        <v>0</v>
      </c>
      <c r="I28" s="19">
        <v>0</v>
      </c>
      <c r="J28" s="19">
        <f>H28*I28</f>
        <v>0</v>
      </c>
      <c r="K28" s="19">
        <f t="shared" si="1"/>
        <v>0</v>
      </c>
      <c r="L28" s="19"/>
      <c r="M28" s="46">
        <f>M27+K28-L28</f>
        <v>10526116.153000001</v>
      </c>
      <c r="N28" s="19"/>
    </row>
    <row r="29" spans="1:15">
      <c r="A29" s="28">
        <v>26</v>
      </c>
      <c r="B29" s="29">
        <v>45803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>
        <v>0</v>
      </c>
      <c r="I29" s="19">
        <v>0</v>
      </c>
      <c r="J29" s="19">
        <f>H29*I29</f>
        <v>0</v>
      </c>
      <c r="K29" s="19">
        <f t="shared" si="1"/>
        <v>0</v>
      </c>
      <c r="L29" s="19">
        <v>5000000</v>
      </c>
      <c r="M29" s="46">
        <f t="shared" ref="M29:M34" si="3">M28+K29-L29</f>
        <v>5526116.1530000009</v>
      </c>
      <c r="N29" s="19"/>
    </row>
    <row r="30" spans="1:15">
      <c r="A30" s="28">
        <v>27</v>
      </c>
      <c r="B30" s="29">
        <v>45804</v>
      </c>
      <c r="C30" s="19"/>
      <c r="D30" s="19"/>
      <c r="E30" s="19">
        <v>2500</v>
      </c>
      <c r="F30" s="19">
        <v>95.7</v>
      </c>
      <c r="G30" s="19">
        <f t="shared" si="0"/>
        <v>239250</v>
      </c>
      <c r="H30" s="19">
        <v>35</v>
      </c>
      <c r="I30" s="19">
        <v>107.48</v>
      </c>
      <c r="J30" s="19">
        <f>H30*I30</f>
        <v>3761.8</v>
      </c>
      <c r="K30" s="19">
        <f t="shared" si="1"/>
        <v>243011.8</v>
      </c>
      <c r="L30" s="19"/>
      <c r="M30" s="46">
        <f t="shared" si="3"/>
        <v>5769127.9530000007</v>
      </c>
      <c r="N30" s="19"/>
    </row>
    <row r="31" spans="1:15">
      <c r="A31" s="28">
        <v>28</v>
      </c>
      <c r="B31" s="29">
        <v>45805</v>
      </c>
      <c r="C31" s="19"/>
      <c r="D31" s="19"/>
      <c r="E31" s="19">
        <v>2500</v>
      </c>
      <c r="F31" s="19">
        <v>95.7</v>
      </c>
      <c r="G31" s="19">
        <f t="shared" si="0"/>
        <v>239250</v>
      </c>
      <c r="H31" s="19">
        <v>35</v>
      </c>
      <c r="I31" s="19">
        <v>107.48</v>
      </c>
      <c r="J31" s="19">
        <f>H31*I31</f>
        <v>3761.8</v>
      </c>
      <c r="K31" s="19">
        <f t="shared" si="1"/>
        <v>243011.8</v>
      </c>
      <c r="L31" s="19"/>
      <c r="M31" s="46">
        <f t="shared" si="3"/>
        <v>6012139.7530000005</v>
      </c>
      <c r="N31" s="19"/>
    </row>
    <row r="32" spans="1:15">
      <c r="A32" s="28">
        <v>29</v>
      </c>
      <c r="B32" s="29">
        <v>45806</v>
      </c>
      <c r="C32" s="19"/>
      <c r="D32" s="19"/>
      <c r="E32" s="19">
        <v>4999.8999999999996</v>
      </c>
      <c r="F32" s="19">
        <v>95.7</v>
      </c>
      <c r="G32" s="19">
        <f t="shared" si="0"/>
        <v>478490.43</v>
      </c>
      <c r="H32" s="19">
        <v>20</v>
      </c>
      <c r="I32" s="19">
        <v>107.48</v>
      </c>
      <c r="J32" s="19">
        <f>H32*I32</f>
        <v>2149.6</v>
      </c>
      <c r="K32" s="19">
        <f t="shared" si="1"/>
        <v>480640.02999999997</v>
      </c>
      <c r="L32" s="19"/>
      <c r="M32" s="46">
        <f t="shared" si="3"/>
        <v>6492779.7830000008</v>
      </c>
      <c r="N32" s="19"/>
    </row>
    <row r="33" spans="1:14">
      <c r="A33" s="28">
        <v>30</v>
      </c>
      <c r="B33" s="29">
        <v>45807</v>
      </c>
      <c r="C33" s="19"/>
      <c r="D33" s="19"/>
      <c r="E33" s="19">
        <v>5000</v>
      </c>
      <c r="F33" s="19">
        <v>95.7</v>
      </c>
      <c r="G33" s="19">
        <f t="shared" si="0"/>
        <v>478500</v>
      </c>
      <c r="H33" s="19">
        <v>35</v>
      </c>
      <c r="I33" s="19">
        <v>107.48</v>
      </c>
      <c r="J33" s="19">
        <f>H33*I33</f>
        <v>3761.8</v>
      </c>
      <c r="K33" s="19">
        <f t="shared" si="1"/>
        <v>482261.8</v>
      </c>
      <c r="L33" s="19"/>
      <c r="M33" s="46">
        <f t="shared" si="3"/>
        <v>6975041.5830000006</v>
      </c>
      <c r="N33" s="19"/>
    </row>
    <row r="34" spans="1:14">
      <c r="A34" s="28">
        <v>31</v>
      </c>
      <c r="B34" s="29">
        <v>45808</v>
      </c>
      <c r="C34" s="19"/>
      <c r="D34" s="19"/>
      <c r="E34" s="19">
        <v>5000</v>
      </c>
      <c r="F34" s="19">
        <v>95.7</v>
      </c>
      <c r="G34" s="19">
        <f t="shared" si="0"/>
        <v>478500</v>
      </c>
      <c r="H34" s="19">
        <v>35</v>
      </c>
      <c r="I34" s="19">
        <v>107.48</v>
      </c>
      <c r="J34" s="19">
        <f>H34*I34</f>
        <v>3761.8</v>
      </c>
      <c r="K34" s="19">
        <f t="shared" si="1"/>
        <v>482261.8</v>
      </c>
      <c r="L34" s="19"/>
      <c r="M34" s="46">
        <f t="shared" si="3"/>
        <v>7457303.3830000004</v>
      </c>
      <c r="N34" s="19"/>
    </row>
    <row r="35" spans="1:14">
      <c r="A35" s="51"/>
      <c r="B35" s="51"/>
      <c r="C35" s="51"/>
      <c r="D35" s="51"/>
      <c r="E35" s="52">
        <f>SUM(E4:E34)</f>
        <v>57904.99</v>
      </c>
      <c r="F35" s="52"/>
      <c r="G35" s="52">
        <f>SUM(G4:G34)</f>
        <v>5541507.5429999996</v>
      </c>
      <c r="H35" s="52">
        <f>SUM(H4:H34)</f>
        <v>230</v>
      </c>
      <c r="I35" s="52"/>
      <c r="J35" s="52">
        <f>SUM(J4:J34)</f>
        <v>24720.399999999998</v>
      </c>
      <c r="K35" s="52">
        <f>SUM(K4:K34)</f>
        <v>5566227.942999999</v>
      </c>
      <c r="L35" s="52">
        <f>SUM(L4:L34)</f>
        <v>7000000</v>
      </c>
      <c r="M35" s="52"/>
      <c r="N35" s="52"/>
    </row>
    <row r="39" spans="1:14">
      <c r="M39" s="24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P42"/>
  <sheetViews>
    <sheetView workbookViewId="0">
      <selection activeCell="N40" sqref="N40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</cols>
  <sheetData>
    <row r="1" spans="1:16" ht="15.75" customHeight="1">
      <c r="A1" s="441" t="s">
        <v>18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</row>
    <row r="2" spans="1:16">
      <c r="A2" s="118" t="s">
        <v>99</v>
      </c>
      <c r="B2" s="123" t="s">
        <v>100</v>
      </c>
      <c r="C2" s="123" t="s">
        <v>101</v>
      </c>
      <c r="D2" s="123" t="s">
        <v>102</v>
      </c>
      <c r="E2" s="123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67" t="s">
        <v>107</v>
      </c>
      <c r="L2" s="167" t="s">
        <v>108</v>
      </c>
      <c r="M2" s="167" t="s">
        <v>114</v>
      </c>
      <c r="N2" s="123" t="s">
        <v>110</v>
      </c>
    </row>
    <row r="3" spans="1:16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37"/>
      <c r="K3" s="148">
        <v>1966837.0260999999</v>
      </c>
      <c r="L3" s="294"/>
      <c r="M3" s="122">
        <f>+K3</f>
        <v>1966837.0260999999</v>
      </c>
      <c r="N3" s="295"/>
    </row>
    <row r="4" spans="1:16">
      <c r="A4" s="28">
        <v>1</v>
      </c>
      <c r="B4" s="29">
        <v>45778</v>
      </c>
      <c r="C4" s="124"/>
      <c r="D4" s="37"/>
      <c r="E4" s="39">
        <v>1500</v>
      </c>
      <c r="F4" s="39">
        <v>96.42</v>
      </c>
      <c r="G4" s="39">
        <f t="shared" ref="G4:G7" si="0">E4*F4</f>
        <v>144630</v>
      </c>
      <c r="H4" s="39">
        <v>0</v>
      </c>
      <c r="I4" s="39">
        <v>0</v>
      </c>
      <c r="J4" s="39">
        <f t="shared" ref="J4:J7" si="1">H4*I4</f>
        <v>0</v>
      </c>
      <c r="K4" s="39">
        <f t="shared" ref="K4:K7" si="2">G4+J4</f>
        <v>144630</v>
      </c>
      <c r="L4" s="236">
        <v>0</v>
      </c>
      <c r="M4" s="39">
        <f>M3+K4-L4</f>
        <v>2111467.0260999999</v>
      </c>
      <c r="N4" s="296"/>
      <c r="P4" s="24">
        <v>2259050.0095000006</v>
      </c>
    </row>
    <row r="5" spans="1:16">
      <c r="A5" s="28">
        <v>2</v>
      </c>
      <c r="B5" s="29">
        <v>45779</v>
      </c>
      <c r="C5" s="124"/>
      <c r="D5" s="37"/>
      <c r="E5" s="39">
        <v>1500</v>
      </c>
      <c r="F5" s="39">
        <v>96.42</v>
      </c>
      <c r="G5" s="39">
        <f t="shared" ref="G5:G33" si="3">E5*F5</f>
        <v>144630</v>
      </c>
      <c r="H5" s="39">
        <v>20</v>
      </c>
      <c r="I5" s="39">
        <v>108.23</v>
      </c>
      <c r="J5" s="39">
        <f t="shared" ref="J5:J33" si="4">H5*I5</f>
        <v>2164.6</v>
      </c>
      <c r="K5" s="39">
        <f t="shared" ref="K5:K33" si="5">G5+J5</f>
        <v>146794.6</v>
      </c>
      <c r="L5" s="236">
        <v>0</v>
      </c>
      <c r="M5" s="39">
        <f t="shared" ref="M5:M34" si="6">M4+K5-L5</f>
        <v>2258261.6261</v>
      </c>
      <c r="N5" s="297"/>
    </row>
    <row r="6" spans="1:16">
      <c r="A6" s="28">
        <v>3</v>
      </c>
      <c r="B6" s="29">
        <v>45780</v>
      </c>
      <c r="C6" s="124"/>
      <c r="D6" s="37"/>
      <c r="E6" s="39">
        <v>1700</v>
      </c>
      <c r="F6" s="39">
        <v>96.42</v>
      </c>
      <c r="G6" s="39">
        <f t="shared" si="3"/>
        <v>163914</v>
      </c>
      <c r="H6" s="39">
        <v>20</v>
      </c>
      <c r="I6" s="39">
        <v>108.23</v>
      </c>
      <c r="J6" s="39">
        <f t="shared" si="4"/>
        <v>2164.6</v>
      </c>
      <c r="K6" s="39">
        <f t="shared" si="5"/>
        <v>166078.6</v>
      </c>
      <c r="L6" s="236">
        <v>0</v>
      </c>
      <c r="M6" s="39">
        <f t="shared" si="6"/>
        <v>2424340.2261000001</v>
      </c>
      <c r="N6" s="298"/>
    </row>
    <row r="7" spans="1:16">
      <c r="A7" s="28">
        <v>4</v>
      </c>
      <c r="B7" s="29">
        <v>45781</v>
      </c>
      <c r="C7" s="124"/>
      <c r="D7" s="37"/>
      <c r="E7" s="39">
        <v>0</v>
      </c>
      <c r="F7" s="39">
        <v>0</v>
      </c>
      <c r="G7" s="39">
        <f t="shared" si="3"/>
        <v>0</v>
      </c>
      <c r="H7" s="39">
        <v>20</v>
      </c>
      <c r="I7" s="39">
        <v>108.23</v>
      </c>
      <c r="J7" s="39">
        <f t="shared" si="4"/>
        <v>2164.6</v>
      </c>
      <c r="K7" s="39">
        <f t="shared" si="5"/>
        <v>2164.6</v>
      </c>
      <c r="L7" s="236">
        <v>0</v>
      </c>
      <c r="M7" s="39">
        <f t="shared" si="6"/>
        <v>2426504.8261000002</v>
      </c>
      <c r="N7" s="237"/>
    </row>
    <row r="8" spans="1:16">
      <c r="A8" s="28">
        <v>5</v>
      </c>
      <c r="B8" s="29">
        <v>45782</v>
      </c>
      <c r="C8" s="36"/>
      <c r="D8" s="37"/>
      <c r="E8" s="39">
        <v>1500</v>
      </c>
      <c r="F8" s="39">
        <v>96.42</v>
      </c>
      <c r="G8" s="39">
        <f t="shared" si="3"/>
        <v>144630</v>
      </c>
      <c r="H8" s="39">
        <v>20</v>
      </c>
      <c r="I8" s="39">
        <v>108.23</v>
      </c>
      <c r="J8" s="39">
        <f t="shared" si="4"/>
        <v>2164.6</v>
      </c>
      <c r="K8" s="39">
        <f t="shared" si="5"/>
        <v>146794.6</v>
      </c>
      <c r="L8" s="236">
        <v>0</v>
      </c>
      <c r="M8" s="39">
        <f t="shared" si="6"/>
        <v>2573299.4261000003</v>
      </c>
      <c r="N8" s="237"/>
    </row>
    <row r="9" spans="1:16">
      <c r="A9" s="28">
        <v>6</v>
      </c>
      <c r="B9" s="29">
        <v>45783</v>
      </c>
      <c r="C9" s="36"/>
      <c r="D9" s="37"/>
      <c r="E9" s="39">
        <v>0</v>
      </c>
      <c r="F9" s="39">
        <v>0</v>
      </c>
      <c r="G9" s="39">
        <f t="shared" si="3"/>
        <v>0</v>
      </c>
      <c r="H9" s="39">
        <v>15</v>
      </c>
      <c r="I9" s="39">
        <v>108.23</v>
      </c>
      <c r="J9" s="39">
        <f t="shared" si="4"/>
        <v>1623.45</v>
      </c>
      <c r="K9" s="39">
        <f t="shared" si="5"/>
        <v>1623.45</v>
      </c>
      <c r="L9" s="236">
        <v>0</v>
      </c>
      <c r="M9" s="39">
        <f t="shared" si="6"/>
        <v>2574922.8761000005</v>
      </c>
      <c r="N9" s="237"/>
    </row>
    <row r="10" spans="1:16">
      <c r="A10" s="28">
        <v>7</v>
      </c>
      <c r="B10" s="29">
        <v>45784</v>
      </c>
      <c r="C10" s="36"/>
      <c r="D10" s="37"/>
      <c r="E10" s="39">
        <v>93.69</v>
      </c>
      <c r="F10" s="39">
        <v>96.42</v>
      </c>
      <c r="G10" s="39">
        <f t="shared" si="3"/>
        <v>9033.5897999999997</v>
      </c>
      <c r="H10" s="39">
        <v>10</v>
      </c>
      <c r="I10" s="39">
        <v>108.23</v>
      </c>
      <c r="J10" s="39">
        <f t="shared" si="4"/>
        <v>1082.3</v>
      </c>
      <c r="K10" s="39">
        <f t="shared" si="5"/>
        <v>10115.889799999999</v>
      </c>
      <c r="L10" s="236">
        <v>0</v>
      </c>
      <c r="M10" s="39">
        <f t="shared" si="6"/>
        <v>2585038.7659000005</v>
      </c>
      <c r="N10" s="237"/>
    </row>
    <row r="11" spans="1:16">
      <c r="A11" s="28">
        <v>8</v>
      </c>
      <c r="B11" s="29">
        <v>45785</v>
      </c>
      <c r="C11" s="36"/>
      <c r="D11" s="37"/>
      <c r="E11" s="39">
        <v>33</v>
      </c>
      <c r="F11" s="39">
        <v>96.42</v>
      </c>
      <c r="G11" s="39">
        <f t="shared" si="3"/>
        <v>3181.86</v>
      </c>
      <c r="H11" s="39">
        <v>23</v>
      </c>
      <c r="I11" s="39">
        <v>108.23</v>
      </c>
      <c r="J11" s="39">
        <f t="shared" si="4"/>
        <v>2489.29</v>
      </c>
      <c r="K11" s="39">
        <f t="shared" si="5"/>
        <v>5671.15</v>
      </c>
      <c r="L11" s="236">
        <v>0</v>
      </c>
      <c r="M11" s="39">
        <f t="shared" si="6"/>
        <v>2590709.9159000004</v>
      </c>
      <c r="N11" s="237"/>
    </row>
    <row r="12" spans="1:16">
      <c r="A12" s="28">
        <v>9</v>
      </c>
      <c r="B12" s="29">
        <v>45786</v>
      </c>
      <c r="C12" s="36"/>
      <c r="D12" s="37"/>
      <c r="E12" s="39">
        <v>81.38</v>
      </c>
      <c r="F12" s="39">
        <v>96.42</v>
      </c>
      <c r="G12" s="39">
        <f t="shared" si="3"/>
        <v>7846.6596</v>
      </c>
      <c r="H12" s="39">
        <v>10</v>
      </c>
      <c r="I12" s="39">
        <v>108.23</v>
      </c>
      <c r="J12" s="39">
        <f t="shared" si="4"/>
        <v>1082.3</v>
      </c>
      <c r="K12" s="39">
        <f t="shared" si="5"/>
        <v>8928.9596000000001</v>
      </c>
      <c r="L12" s="236">
        <v>0</v>
      </c>
      <c r="M12" s="39">
        <f t="shared" si="6"/>
        <v>2599638.8755000005</v>
      </c>
      <c r="N12" s="237"/>
    </row>
    <row r="13" spans="1:16">
      <c r="A13" s="28">
        <v>10</v>
      </c>
      <c r="B13" s="29">
        <v>45787</v>
      </c>
      <c r="C13" s="36"/>
      <c r="D13" s="37"/>
      <c r="E13" s="39">
        <v>33.06</v>
      </c>
      <c r="F13" s="39">
        <v>96.42</v>
      </c>
      <c r="G13" s="39">
        <f t="shared" si="3"/>
        <v>3187.6452000000004</v>
      </c>
      <c r="H13" s="39">
        <v>15</v>
      </c>
      <c r="I13" s="39">
        <v>108.23</v>
      </c>
      <c r="J13" s="39">
        <f t="shared" si="4"/>
        <v>1623.45</v>
      </c>
      <c r="K13" s="39">
        <f t="shared" si="5"/>
        <v>4811.0952000000007</v>
      </c>
      <c r="L13" s="236">
        <v>0</v>
      </c>
      <c r="M13" s="39">
        <f t="shared" si="6"/>
        <v>2604449.9707000004</v>
      </c>
      <c r="N13" s="237"/>
    </row>
    <row r="14" spans="1:16">
      <c r="A14" s="28">
        <v>11</v>
      </c>
      <c r="B14" s="29">
        <v>45788</v>
      </c>
      <c r="C14" s="36"/>
      <c r="D14" s="37"/>
      <c r="E14" s="39">
        <v>0</v>
      </c>
      <c r="F14" s="39">
        <v>0</v>
      </c>
      <c r="G14" s="39">
        <f t="shared" si="3"/>
        <v>0</v>
      </c>
      <c r="H14" s="39">
        <v>0</v>
      </c>
      <c r="I14" s="39">
        <v>0</v>
      </c>
      <c r="J14" s="39">
        <f t="shared" si="4"/>
        <v>0</v>
      </c>
      <c r="K14" s="39">
        <f t="shared" si="5"/>
        <v>0</v>
      </c>
      <c r="L14" s="236">
        <v>0</v>
      </c>
      <c r="M14" s="39">
        <f t="shared" si="6"/>
        <v>2604449.9707000004</v>
      </c>
      <c r="N14" s="237"/>
    </row>
    <row r="15" spans="1:16">
      <c r="A15" s="28">
        <v>12</v>
      </c>
      <c r="B15" s="29">
        <v>45789</v>
      </c>
      <c r="C15" s="36"/>
      <c r="D15" s="37"/>
      <c r="E15" s="39">
        <v>0</v>
      </c>
      <c r="F15" s="39">
        <v>0</v>
      </c>
      <c r="G15" s="39">
        <f t="shared" si="3"/>
        <v>0</v>
      </c>
      <c r="H15" s="39">
        <v>20</v>
      </c>
      <c r="I15" s="39">
        <v>108.23</v>
      </c>
      <c r="J15" s="39">
        <f t="shared" si="4"/>
        <v>2164.6</v>
      </c>
      <c r="K15" s="39">
        <f t="shared" si="5"/>
        <v>2164.6</v>
      </c>
      <c r="L15" s="236">
        <v>0</v>
      </c>
      <c r="M15" s="39">
        <f t="shared" si="6"/>
        <v>2606614.5707000005</v>
      </c>
      <c r="N15" s="237"/>
    </row>
    <row r="16" spans="1:16">
      <c r="A16" s="28">
        <v>13</v>
      </c>
      <c r="B16" s="29">
        <v>45790</v>
      </c>
      <c r="C16" s="36"/>
      <c r="D16" s="37"/>
      <c r="E16" s="39">
        <v>0</v>
      </c>
      <c r="F16" s="39">
        <v>0</v>
      </c>
      <c r="G16" s="39">
        <f t="shared" si="3"/>
        <v>0</v>
      </c>
      <c r="H16" s="39">
        <v>15</v>
      </c>
      <c r="I16" s="39">
        <v>108.23</v>
      </c>
      <c r="J16" s="39">
        <f t="shared" si="4"/>
        <v>1623.45</v>
      </c>
      <c r="K16" s="39">
        <f t="shared" si="5"/>
        <v>1623.45</v>
      </c>
      <c r="L16" s="236">
        <v>0</v>
      </c>
      <c r="M16" s="39">
        <f t="shared" si="6"/>
        <v>2608238.0207000007</v>
      </c>
      <c r="N16" s="237"/>
    </row>
    <row r="17" spans="1:16">
      <c r="A17" s="28">
        <v>14</v>
      </c>
      <c r="B17" s="29">
        <v>45791</v>
      </c>
      <c r="C17" s="36"/>
      <c r="D17" s="37"/>
      <c r="E17" s="39">
        <v>51.54</v>
      </c>
      <c r="F17" s="39">
        <v>96.42</v>
      </c>
      <c r="G17" s="39">
        <f t="shared" si="3"/>
        <v>4969.4867999999997</v>
      </c>
      <c r="H17" s="39">
        <v>10</v>
      </c>
      <c r="I17" s="39">
        <v>108.23</v>
      </c>
      <c r="J17" s="39">
        <f t="shared" si="4"/>
        <v>1082.3</v>
      </c>
      <c r="K17" s="39">
        <f t="shared" si="5"/>
        <v>6051.7867999999999</v>
      </c>
      <c r="L17" s="236">
        <v>0</v>
      </c>
      <c r="M17" s="39">
        <f t="shared" si="6"/>
        <v>2614289.8075000006</v>
      </c>
      <c r="N17" s="237"/>
    </row>
    <row r="18" spans="1:16">
      <c r="A18" s="28">
        <v>15</v>
      </c>
      <c r="B18" s="29">
        <v>45792</v>
      </c>
      <c r="C18" s="195"/>
      <c r="D18" s="37"/>
      <c r="E18" s="39">
        <v>0</v>
      </c>
      <c r="F18" s="39">
        <v>0</v>
      </c>
      <c r="G18" s="39">
        <f t="shared" si="3"/>
        <v>0</v>
      </c>
      <c r="H18" s="39">
        <v>25</v>
      </c>
      <c r="I18" s="39">
        <v>108.23</v>
      </c>
      <c r="J18" s="39">
        <f t="shared" si="4"/>
        <v>2705.75</v>
      </c>
      <c r="K18" s="39">
        <f t="shared" si="5"/>
        <v>2705.75</v>
      </c>
      <c r="L18" s="236">
        <v>0</v>
      </c>
      <c r="M18" s="39">
        <f t="shared" si="6"/>
        <v>2616995.5575000006</v>
      </c>
      <c r="N18" s="299"/>
    </row>
    <row r="19" spans="1:16">
      <c r="A19" s="28">
        <v>16</v>
      </c>
      <c r="B19" s="29">
        <v>45793</v>
      </c>
      <c r="C19" s="124"/>
      <c r="D19" s="37"/>
      <c r="E19" s="39">
        <v>30.59</v>
      </c>
      <c r="F19" s="39">
        <v>96.42</v>
      </c>
      <c r="G19" s="39">
        <f t="shared" si="3"/>
        <v>2949.4877999999999</v>
      </c>
      <c r="H19" s="39">
        <v>20</v>
      </c>
      <c r="I19" s="39">
        <v>108.23</v>
      </c>
      <c r="J19" s="39">
        <f t="shared" si="4"/>
        <v>2164.6</v>
      </c>
      <c r="K19" s="39">
        <f t="shared" si="5"/>
        <v>5114.0877999999993</v>
      </c>
      <c r="L19" s="236">
        <v>0</v>
      </c>
      <c r="M19" s="39">
        <f t="shared" si="6"/>
        <v>2622109.6453000004</v>
      </c>
      <c r="N19" s="299"/>
    </row>
    <row r="20" spans="1:16">
      <c r="A20" s="28">
        <v>17</v>
      </c>
      <c r="B20" s="29">
        <v>45794</v>
      </c>
      <c r="C20" s="208"/>
      <c r="D20" s="37"/>
      <c r="E20" s="39">
        <v>0</v>
      </c>
      <c r="F20" s="39">
        <v>0</v>
      </c>
      <c r="G20" s="39">
        <f t="shared" si="3"/>
        <v>0</v>
      </c>
      <c r="H20" s="39">
        <v>15</v>
      </c>
      <c r="I20" s="39">
        <v>108.23</v>
      </c>
      <c r="J20" s="39">
        <f t="shared" si="4"/>
        <v>1623.45</v>
      </c>
      <c r="K20" s="39">
        <f t="shared" si="5"/>
        <v>1623.45</v>
      </c>
      <c r="L20" s="236">
        <v>0</v>
      </c>
      <c r="M20" s="39">
        <f t="shared" si="6"/>
        <v>2623733.0953000006</v>
      </c>
      <c r="N20" s="299"/>
    </row>
    <row r="21" spans="1:16">
      <c r="A21" s="28">
        <v>18</v>
      </c>
      <c r="B21" s="29">
        <v>45795</v>
      </c>
      <c r="C21" s="208"/>
      <c r="D21" s="37"/>
      <c r="E21" s="39">
        <v>0</v>
      </c>
      <c r="F21" s="39">
        <v>0</v>
      </c>
      <c r="G21" s="39">
        <f t="shared" si="3"/>
        <v>0</v>
      </c>
      <c r="H21" s="39">
        <v>5</v>
      </c>
      <c r="I21" s="39">
        <v>108.23</v>
      </c>
      <c r="J21" s="39">
        <f t="shared" si="4"/>
        <v>541.15</v>
      </c>
      <c r="K21" s="39">
        <f t="shared" si="5"/>
        <v>541.15</v>
      </c>
      <c r="L21" s="236">
        <v>0</v>
      </c>
      <c r="M21" s="39">
        <f t="shared" si="6"/>
        <v>2624274.2453000005</v>
      </c>
      <c r="N21" s="299"/>
    </row>
    <row r="22" spans="1:16">
      <c r="A22" s="28">
        <v>19</v>
      </c>
      <c r="B22" s="29">
        <v>45796</v>
      </c>
      <c r="C22" s="124"/>
      <c r="D22" s="37"/>
      <c r="E22" s="39">
        <v>0</v>
      </c>
      <c r="F22" s="39">
        <v>0</v>
      </c>
      <c r="G22" s="39">
        <f t="shared" si="3"/>
        <v>0</v>
      </c>
      <c r="H22" s="39">
        <v>5</v>
      </c>
      <c r="I22" s="39">
        <v>108.23</v>
      </c>
      <c r="J22" s="39">
        <f t="shared" si="4"/>
        <v>541.15</v>
      </c>
      <c r="K22" s="39">
        <f t="shared" si="5"/>
        <v>541.15</v>
      </c>
      <c r="L22" s="236">
        <v>0</v>
      </c>
      <c r="M22" s="39">
        <f t="shared" si="6"/>
        <v>2624815.3953000004</v>
      </c>
      <c r="N22" s="237"/>
      <c r="P22">
        <v>2422641</v>
      </c>
    </row>
    <row r="23" spans="1:16">
      <c r="A23" s="28">
        <v>20</v>
      </c>
      <c r="B23" s="29">
        <v>45797</v>
      </c>
      <c r="C23" s="124"/>
      <c r="D23" s="37"/>
      <c r="E23" s="39">
        <v>0</v>
      </c>
      <c r="F23" s="39">
        <v>0</v>
      </c>
      <c r="G23" s="39">
        <f t="shared" si="3"/>
        <v>0</v>
      </c>
      <c r="H23" s="39">
        <v>17.75</v>
      </c>
      <c r="I23" s="39">
        <v>108.23</v>
      </c>
      <c r="J23" s="39">
        <f t="shared" si="4"/>
        <v>1921.0825</v>
      </c>
      <c r="K23" s="39">
        <f t="shared" si="5"/>
        <v>1921.0825</v>
      </c>
      <c r="L23" s="236">
        <v>0</v>
      </c>
      <c r="M23" s="39">
        <f t="shared" si="6"/>
        <v>2626736.4778000005</v>
      </c>
      <c r="N23" s="237"/>
      <c r="P23">
        <v>2419549</v>
      </c>
    </row>
    <row r="24" spans="1:16">
      <c r="A24" s="28">
        <v>21</v>
      </c>
      <c r="B24" s="29">
        <v>45798</v>
      </c>
      <c r="C24" s="124"/>
      <c r="D24" s="37"/>
      <c r="E24" s="39">
        <v>27.58</v>
      </c>
      <c r="F24" s="39">
        <v>96.42</v>
      </c>
      <c r="G24" s="39">
        <f t="shared" si="3"/>
        <v>2659.2635999999998</v>
      </c>
      <c r="H24" s="39">
        <v>20</v>
      </c>
      <c r="I24" s="39">
        <v>108.23</v>
      </c>
      <c r="J24" s="39">
        <f t="shared" si="4"/>
        <v>2164.6</v>
      </c>
      <c r="K24" s="39">
        <f t="shared" si="5"/>
        <v>4823.8635999999997</v>
      </c>
      <c r="L24" s="236">
        <v>0</v>
      </c>
      <c r="M24" s="39">
        <f t="shared" si="6"/>
        <v>2631560.3414000003</v>
      </c>
      <c r="N24" s="237"/>
      <c r="P24">
        <f>P23-P22</f>
        <v>-3092</v>
      </c>
    </row>
    <row r="25" spans="1:16">
      <c r="A25" s="28">
        <v>22</v>
      </c>
      <c r="B25" s="29">
        <v>45799</v>
      </c>
      <c r="C25" s="124"/>
      <c r="D25" s="37"/>
      <c r="E25" s="39">
        <v>0</v>
      </c>
      <c r="F25" s="39">
        <v>0</v>
      </c>
      <c r="G25" s="39">
        <f t="shared" si="3"/>
        <v>0</v>
      </c>
      <c r="H25" s="39">
        <v>10</v>
      </c>
      <c r="I25" s="39">
        <v>108.23</v>
      </c>
      <c r="J25" s="39">
        <f t="shared" si="4"/>
        <v>1082.3</v>
      </c>
      <c r="K25" s="39">
        <f t="shared" si="5"/>
        <v>1082.3</v>
      </c>
      <c r="L25" s="236">
        <v>0</v>
      </c>
      <c r="M25" s="39">
        <f t="shared" si="6"/>
        <v>2632642.6414000001</v>
      </c>
      <c r="N25" s="237"/>
    </row>
    <row r="26" spans="1:16">
      <c r="A26" s="28">
        <v>23</v>
      </c>
      <c r="B26" s="29">
        <v>45800</v>
      </c>
      <c r="C26" s="124"/>
      <c r="D26" s="37"/>
      <c r="E26" s="39">
        <v>0</v>
      </c>
      <c r="F26" s="39">
        <v>0</v>
      </c>
      <c r="G26" s="39">
        <f t="shared" si="3"/>
        <v>0</v>
      </c>
      <c r="H26" s="39">
        <v>27.84</v>
      </c>
      <c r="I26" s="39">
        <v>108.23</v>
      </c>
      <c r="J26" s="39">
        <f t="shared" si="4"/>
        <v>3013.1232</v>
      </c>
      <c r="K26" s="39">
        <f t="shared" si="5"/>
        <v>3013.1232</v>
      </c>
      <c r="L26" s="236">
        <v>0</v>
      </c>
      <c r="M26" s="39">
        <f t="shared" si="6"/>
        <v>2635655.7645999999</v>
      </c>
      <c r="N26" s="237"/>
    </row>
    <row r="27" spans="1:16">
      <c r="A27" s="28">
        <v>24</v>
      </c>
      <c r="B27" s="29">
        <v>45801</v>
      </c>
      <c r="C27" s="124"/>
      <c r="D27" s="37"/>
      <c r="E27" s="39">
        <v>0</v>
      </c>
      <c r="F27" s="39">
        <v>0</v>
      </c>
      <c r="G27" s="39">
        <f t="shared" si="3"/>
        <v>0</v>
      </c>
      <c r="H27" s="39">
        <v>25</v>
      </c>
      <c r="I27" s="39">
        <v>108.23</v>
      </c>
      <c r="J27" s="39">
        <f t="shared" si="4"/>
        <v>2705.75</v>
      </c>
      <c r="K27" s="39">
        <f t="shared" si="5"/>
        <v>2705.75</v>
      </c>
      <c r="L27" s="236">
        <v>0</v>
      </c>
      <c r="M27" s="39">
        <f t="shared" si="6"/>
        <v>2638361.5145999999</v>
      </c>
      <c r="N27" s="237"/>
    </row>
    <row r="28" spans="1:16">
      <c r="A28" s="28">
        <v>25</v>
      </c>
      <c r="B28" s="29">
        <v>45802</v>
      </c>
      <c r="C28" s="124"/>
      <c r="D28" s="37"/>
      <c r="E28" s="39">
        <v>0</v>
      </c>
      <c r="F28" s="39">
        <v>0</v>
      </c>
      <c r="G28" s="39">
        <f t="shared" si="3"/>
        <v>0</v>
      </c>
      <c r="H28" s="39">
        <v>10</v>
      </c>
      <c r="I28" s="39">
        <v>108.23</v>
      </c>
      <c r="J28" s="39">
        <f t="shared" si="4"/>
        <v>1082.3</v>
      </c>
      <c r="K28" s="39">
        <f t="shared" si="5"/>
        <v>1082.3</v>
      </c>
      <c r="L28" s="236">
        <v>0</v>
      </c>
      <c r="M28" s="39">
        <f t="shared" si="6"/>
        <v>2639443.8145999997</v>
      </c>
      <c r="N28" s="237"/>
    </row>
    <row r="29" spans="1:16">
      <c r="A29" s="28">
        <v>26</v>
      </c>
      <c r="B29" s="29">
        <v>45803</v>
      </c>
      <c r="C29" s="124"/>
      <c r="D29" s="37"/>
      <c r="E29" s="39">
        <v>17.22</v>
      </c>
      <c r="F29" s="39">
        <v>96.42</v>
      </c>
      <c r="G29" s="39">
        <f t="shared" si="3"/>
        <v>1660.3524</v>
      </c>
      <c r="H29" s="39">
        <v>5</v>
      </c>
      <c r="I29" s="39">
        <v>108.23</v>
      </c>
      <c r="J29" s="39">
        <f t="shared" si="4"/>
        <v>541.15</v>
      </c>
      <c r="K29" s="39">
        <f t="shared" si="5"/>
        <v>2201.5023999999999</v>
      </c>
      <c r="L29" s="236">
        <v>0</v>
      </c>
      <c r="M29" s="39">
        <f t="shared" si="6"/>
        <v>2641645.3169999998</v>
      </c>
      <c r="N29" s="237"/>
    </row>
    <row r="30" spans="1:16">
      <c r="A30" s="28">
        <v>27</v>
      </c>
      <c r="B30" s="29">
        <v>45804</v>
      </c>
      <c r="C30" s="124"/>
      <c r="D30" s="37"/>
      <c r="E30" s="39">
        <v>0</v>
      </c>
      <c r="F30" s="39">
        <v>0</v>
      </c>
      <c r="G30" s="39">
        <f t="shared" si="3"/>
        <v>0</v>
      </c>
      <c r="H30" s="39">
        <v>7</v>
      </c>
      <c r="I30" s="39">
        <v>108.23</v>
      </c>
      <c r="J30" s="39">
        <f t="shared" si="4"/>
        <v>757.61</v>
      </c>
      <c r="K30" s="39">
        <f t="shared" si="5"/>
        <v>757.61</v>
      </c>
      <c r="L30" s="236">
        <v>0</v>
      </c>
      <c r="M30" s="39">
        <f t="shared" si="6"/>
        <v>2642402.9269999997</v>
      </c>
      <c r="N30" s="237"/>
    </row>
    <row r="31" spans="1:16">
      <c r="A31" s="28">
        <v>28</v>
      </c>
      <c r="B31" s="29">
        <v>45805</v>
      </c>
      <c r="C31" s="124"/>
      <c r="D31" s="37"/>
      <c r="E31" s="39">
        <v>0</v>
      </c>
      <c r="F31" s="39">
        <v>0</v>
      </c>
      <c r="G31" s="39">
        <f t="shared" si="3"/>
        <v>0</v>
      </c>
      <c r="H31" s="39">
        <v>24</v>
      </c>
      <c r="I31" s="39">
        <v>108.23</v>
      </c>
      <c r="J31" s="39">
        <f t="shared" si="4"/>
        <v>2597.52</v>
      </c>
      <c r="K31" s="39">
        <f t="shared" si="5"/>
        <v>2597.52</v>
      </c>
      <c r="L31" s="236">
        <v>1500000</v>
      </c>
      <c r="M31" s="39">
        <f t="shared" si="6"/>
        <v>1145000.4469999997</v>
      </c>
      <c r="N31" s="237"/>
    </row>
    <row r="32" spans="1:16">
      <c r="A32" s="28">
        <v>29</v>
      </c>
      <c r="B32" s="29">
        <v>45806</v>
      </c>
      <c r="C32" s="124"/>
      <c r="D32" s="37"/>
      <c r="E32" s="39">
        <v>0</v>
      </c>
      <c r="F32" s="39">
        <v>0</v>
      </c>
      <c r="G32" s="39">
        <f t="shared" si="3"/>
        <v>0</v>
      </c>
      <c r="H32" s="39">
        <v>20</v>
      </c>
      <c r="I32" s="39">
        <v>108.23</v>
      </c>
      <c r="J32" s="39">
        <f t="shared" si="4"/>
        <v>2164.6</v>
      </c>
      <c r="K32" s="39">
        <f t="shared" si="5"/>
        <v>2164.6</v>
      </c>
      <c r="L32" s="236">
        <v>0</v>
      </c>
      <c r="M32" s="39">
        <f t="shared" si="6"/>
        <v>1147165.0469999998</v>
      </c>
      <c r="N32" s="237"/>
    </row>
    <row r="33" spans="1:14">
      <c r="A33" s="28">
        <v>30</v>
      </c>
      <c r="B33" s="29">
        <v>45807</v>
      </c>
      <c r="C33" s="124"/>
      <c r="D33" s="37"/>
      <c r="E33" s="39">
        <v>0</v>
      </c>
      <c r="F33" s="39">
        <v>0</v>
      </c>
      <c r="G33" s="39">
        <f t="shared" si="3"/>
        <v>0</v>
      </c>
      <c r="H33" s="39">
        <v>20</v>
      </c>
      <c r="I33" s="39">
        <v>108.23</v>
      </c>
      <c r="J33" s="39">
        <f t="shared" si="4"/>
        <v>2164.6</v>
      </c>
      <c r="K33" s="39">
        <f t="shared" si="5"/>
        <v>2164.6</v>
      </c>
      <c r="L33" s="236">
        <v>0</v>
      </c>
      <c r="M33" s="39">
        <f t="shared" si="6"/>
        <v>1149329.6469999999</v>
      </c>
      <c r="N33" s="237"/>
    </row>
    <row r="34" spans="1:14">
      <c r="A34" s="28">
        <v>31</v>
      </c>
      <c r="B34" s="29">
        <v>45808</v>
      </c>
      <c r="C34" s="124"/>
      <c r="D34" s="37"/>
      <c r="E34" s="39">
        <v>0</v>
      </c>
      <c r="F34" s="39">
        <v>0</v>
      </c>
      <c r="G34" s="39">
        <f t="shared" ref="G34" si="7">E34*F34</f>
        <v>0</v>
      </c>
      <c r="H34" s="39">
        <v>5</v>
      </c>
      <c r="I34" s="39">
        <v>108.23</v>
      </c>
      <c r="J34" s="39">
        <f t="shared" ref="J34" si="8">H34*I34</f>
        <v>541.15</v>
      </c>
      <c r="K34" s="39">
        <f t="shared" ref="K34" si="9">G34+J34</f>
        <v>541.15</v>
      </c>
      <c r="L34" s="236">
        <v>0</v>
      </c>
      <c r="M34" s="39">
        <f t="shared" si="6"/>
        <v>1149870.7969999998</v>
      </c>
      <c r="N34" s="237"/>
    </row>
    <row r="35" spans="1:14">
      <c r="A35" s="209"/>
      <c r="B35" s="206"/>
      <c r="C35" s="206"/>
      <c r="D35" s="206"/>
      <c r="E35" s="49">
        <f>SUM(E4:E34)</f>
        <v>6568.06</v>
      </c>
      <c r="F35" s="49"/>
      <c r="G35" s="49">
        <f>SUM(G4:G34)</f>
        <v>633292.34519999987</v>
      </c>
      <c r="H35" s="49">
        <f>SUM(H4:H34)</f>
        <v>459.59</v>
      </c>
      <c r="I35" s="49"/>
      <c r="J35" s="49">
        <f>SUM(J4:J34)</f>
        <v>49741.425700000007</v>
      </c>
      <c r="K35" s="49">
        <f>SUM(K4:K34)</f>
        <v>683033.77089999989</v>
      </c>
      <c r="L35" s="49">
        <f>SUM(L4:L34)</f>
        <v>1500000</v>
      </c>
      <c r="M35" s="121"/>
      <c r="N35" s="50"/>
    </row>
    <row r="36" spans="1:14">
      <c r="A36" s="40"/>
      <c r="B36" s="40"/>
      <c r="C36" s="40"/>
      <c r="D36" s="40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spans="1:14">
      <c r="A37" s="35"/>
      <c r="B37" s="35"/>
      <c r="C37" s="35"/>
      <c r="D37" s="35"/>
      <c r="E37" s="35"/>
      <c r="F37" s="35"/>
      <c r="G37" s="42"/>
      <c r="H37" s="35">
        <v>3</v>
      </c>
      <c r="I37" s="35"/>
      <c r="J37" s="35"/>
      <c r="K37" s="35"/>
      <c r="L37" s="35"/>
      <c r="M37" s="35"/>
      <c r="N37" s="35"/>
    </row>
    <row r="38" spans="1:14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42" spans="1:14">
      <c r="E42" s="201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AF7B-DC01-4BAF-BE8E-0B06339E3045}">
  <dimension ref="A1:R36"/>
  <sheetViews>
    <sheetView workbookViewId="0">
      <pane ySplit="2" topLeftCell="A3" activePane="bottomLeft" state="frozen"/>
      <selection pane="bottomLeft" activeCell="K3" sqref="K3"/>
    </sheetView>
  </sheetViews>
  <sheetFormatPr defaultRowHeight="15"/>
  <cols>
    <col min="1" max="1" width="6.28515625" customWidth="1"/>
    <col min="2" max="2" width="10" bestFit="1" customWidth="1"/>
    <col min="3" max="3" width="11.140625" customWidth="1"/>
    <col min="4" max="4" width="14.140625" customWidth="1"/>
    <col min="5" max="5" width="14.5703125" customWidth="1"/>
    <col min="6" max="6" width="9.85546875" customWidth="1"/>
    <col min="7" max="7" width="12.42578125" customWidth="1"/>
    <col min="9" max="9" width="9.7109375" customWidth="1"/>
    <col min="10" max="10" width="11.5703125" customWidth="1"/>
    <col min="11" max="11" width="11.85546875" bestFit="1" customWidth="1"/>
    <col min="12" max="12" width="12.5703125" customWidth="1"/>
    <col min="13" max="13" width="17.42578125" customWidth="1"/>
    <col min="14" max="14" width="13.42578125" customWidth="1"/>
    <col min="15" max="15" width="11.42578125" bestFit="1" customWidth="1"/>
  </cols>
  <sheetData>
    <row r="1" spans="1:18" ht="15.75">
      <c r="A1" s="442" t="s">
        <v>20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18" ht="27">
      <c r="A2" s="118" t="s">
        <v>99</v>
      </c>
      <c r="B2" s="123" t="s">
        <v>100</v>
      </c>
      <c r="C2" s="123" t="s">
        <v>101</v>
      </c>
      <c r="D2" s="123" t="s">
        <v>102</v>
      </c>
      <c r="E2" s="231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23" t="s">
        <v>107</v>
      </c>
      <c r="L2" s="123" t="s">
        <v>108</v>
      </c>
      <c r="M2" s="123" t="s">
        <v>115</v>
      </c>
      <c r="N2" s="123" t="s">
        <v>110</v>
      </c>
    </row>
    <row r="3" spans="1:18">
      <c r="A3" s="443" t="s">
        <v>111</v>
      </c>
      <c r="B3" s="443"/>
      <c r="C3" s="443"/>
      <c r="D3" s="443"/>
      <c r="E3" s="443"/>
      <c r="F3" s="443"/>
      <c r="G3" s="443"/>
      <c r="H3" s="443"/>
      <c r="I3" s="443"/>
      <c r="J3" s="443"/>
      <c r="K3" s="263">
        <v>1831699.5263</v>
      </c>
      <c r="L3" s="263"/>
      <c r="M3" s="264">
        <f>+K3</f>
        <v>1831699.5263</v>
      </c>
      <c r="N3" s="109"/>
    </row>
    <row r="4" spans="1:18">
      <c r="A4" s="28">
        <v>1</v>
      </c>
      <c r="B4" s="29">
        <v>45778</v>
      </c>
      <c r="C4" s="19"/>
      <c r="D4" s="19"/>
      <c r="E4" s="19"/>
      <c r="F4" s="19"/>
      <c r="G4" s="19">
        <f>E4*F4</f>
        <v>0</v>
      </c>
      <c r="H4" s="19"/>
      <c r="I4" s="19"/>
      <c r="J4" s="19">
        <f>H4*I4</f>
        <v>0</v>
      </c>
      <c r="K4" s="19">
        <f>G4+J4</f>
        <v>0</v>
      </c>
      <c r="L4" s="19"/>
      <c r="M4" s="153">
        <f>M3+K4-L4</f>
        <v>1831699.5263</v>
      </c>
      <c r="N4" s="19"/>
      <c r="O4" s="24"/>
    </row>
    <row r="5" spans="1:18">
      <c r="A5" s="28">
        <v>2</v>
      </c>
      <c r="B5" s="29">
        <v>45779</v>
      </c>
      <c r="C5" s="19"/>
      <c r="D5" s="19"/>
      <c r="E5" s="19">
        <v>0</v>
      </c>
      <c r="F5" s="19">
        <v>0</v>
      </c>
      <c r="G5" s="19">
        <f t="shared" ref="G5:G34" si="0">E5*F5</f>
        <v>0</v>
      </c>
      <c r="H5" s="19"/>
      <c r="I5" s="19"/>
      <c r="J5" s="19">
        <f t="shared" ref="J5:J34" si="1">H5*I5</f>
        <v>0</v>
      </c>
      <c r="K5" s="19">
        <f t="shared" ref="K5:K34" si="2">G5+J5</f>
        <v>0</v>
      </c>
      <c r="L5" s="19"/>
      <c r="M5" s="153">
        <f t="shared" ref="M4:O31" si="3">M4+K5-L5</f>
        <v>1831699.5263</v>
      </c>
      <c r="N5" s="19"/>
    </row>
    <row r="6" spans="1:18">
      <c r="A6" s="28">
        <v>3</v>
      </c>
      <c r="B6" s="29">
        <v>45780</v>
      </c>
      <c r="C6" s="19"/>
      <c r="D6" s="19"/>
      <c r="E6" s="19">
        <v>0</v>
      </c>
      <c r="F6" s="19">
        <v>0</v>
      </c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153">
        <f t="shared" si="3"/>
        <v>1831699.5263</v>
      </c>
      <c r="N6" s="19"/>
      <c r="R6">
        <v>541.08000000000004</v>
      </c>
    </row>
    <row r="7" spans="1:18">
      <c r="A7" s="28">
        <v>4</v>
      </c>
      <c r="B7" s="29">
        <v>45781</v>
      </c>
      <c r="C7" s="19"/>
      <c r="D7" s="19"/>
      <c r="E7" s="19">
        <v>0</v>
      </c>
      <c r="F7" s="19">
        <v>0</v>
      </c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53">
        <f t="shared" si="3"/>
        <v>1831699.5263</v>
      </c>
      <c r="N7" s="19"/>
    </row>
    <row r="8" spans="1:18">
      <c r="A8" s="28">
        <v>5</v>
      </c>
      <c r="B8" s="29">
        <v>45782</v>
      </c>
      <c r="C8" s="19"/>
      <c r="D8" s="19"/>
      <c r="E8" s="19">
        <v>0</v>
      </c>
      <c r="F8" s="19">
        <v>0</v>
      </c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53">
        <f t="shared" si="3"/>
        <v>1831699.5263</v>
      </c>
      <c r="N8" s="19"/>
    </row>
    <row r="9" spans="1:18">
      <c r="A9" s="28">
        <v>6</v>
      </c>
      <c r="B9" s="29">
        <v>45783</v>
      </c>
      <c r="C9" s="19"/>
      <c r="D9" s="19"/>
      <c r="E9" s="19">
        <v>0</v>
      </c>
      <c r="F9" s="19">
        <v>0</v>
      </c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53">
        <f t="shared" si="3"/>
        <v>1831699.5263</v>
      </c>
      <c r="N9" s="19"/>
    </row>
    <row r="10" spans="1:18">
      <c r="A10" s="28">
        <v>7</v>
      </c>
      <c r="B10" s="29">
        <v>45784</v>
      </c>
      <c r="C10" s="19"/>
      <c r="D10" s="19"/>
      <c r="E10" s="19">
        <v>0</v>
      </c>
      <c r="F10" s="19">
        <v>0</v>
      </c>
      <c r="G10" s="19">
        <f t="shared" si="0"/>
        <v>0</v>
      </c>
      <c r="H10" s="19"/>
      <c r="I10" s="19"/>
      <c r="J10" s="19">
        <f t="shared" si="1"/>
        <v>0</v>
      </c>
      <c r="K10" s="19">
        <f t="shared" si="2"/>
        <v>0</v>
      </c>
      <c r="L10" s="19"/>
      <c r="M10" s="153">
        <f t="shared" si="3"/>
        <v>1831699.5263</v>
      </c>
      <c r="N10" s="19"/>
    </row>
    <row r="11" spans="1:18">
      <c r="A11" s="28">
        <v>8</v>
      </c>
      <c r="B11" s="29">
        <v>45785</v>
      </c>
      <c r="C11" s="19"/>
      <c r="D11" s="19"/>
      <c r="E11" s="19">
        <v>0</v>
      </c>
      <c r="F11" s="19">
        <v>0</v>
      </c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53">
        <f t="shared" si="3"/>
        <v>1831699.5263</v>
      </c>
      <c r="N11" s="19"/>
    </row>
    <row r="12" spans="1:18">
      <c r="A12" s="28">
        <v>9</v>
      </c>
      <c r="B12" s="29">
        <v>45786</v>
      </c>
      <c r="C12" s="19"/>
      <c r="D12" s="19"/>
      <c r="E12" s="19">
        <v>0</v>
      </c>
      <c r="F12" s="19">
        <v>0</v>
      </c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53">
        <f t="shared" si="3"/>
        <v>1831699.5263</v>
      </c>
      <c r="N12" s="19"/>
    </row>
    <row r="13" spans="1:18">
      <c r="A13" s="28">
        <v>10</v>
      </c>
      <c r="B13" s="29">
        <v>45787</v>
      </c>
      <c r="C13" s="19"/>
      <c r="D13" s="19"/>
      <c r="E13" s="19">
        <v>0</v>
      </c>
      <c r="F13" s="19">
        <v>0</v>
      </c>
      <c r="G13" s="19">
        <f t="shared" si="0"/>
        <v>0</v>
      </c>
      <c r="H13" s="19"/>
      <c r="I13" s="19"/>
      <c r="J13" s="19">
        <f t="shared" si="1"/>
        <v>0</v>
      </c>
      <c r="K13" s="19">
        <f t="shared" si="2"/>
        <v>0</v>
      </c>
      <c r="L13" s="19"/>
      <c r="M13" s="153">
        <f t="shared" si="3"/>
        <v>1831699.5263</v>
      </c>
      <c r="N13" s="19"/>
    </row>
    <row r="14" spans="1:18">
      <c r="A14" s="28">
        <v>11</v>
      </c>
      <c r="B14" s="29">
        <v>45788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/>
      <c r="I14" s="19"/>
      <c r="J14" s="19">
        <f t="shared" si="1"/>
        <v>0</v>
      </c>
      <c r="K14" s="19">
        <f t="shared" si="2"/>
        <v>0</v>
      </c>
      <c r="L14" s="19"/>
      <c r="M14" s="153">
        <f t="shared" si="3"/>
        <v>1831699.5263</v>
      </c>
      <c r="N14" s="19"/>
    </row>
    <row r="15" spans="1:18">
      <c r="A15" s="28">
        <v>12</v>
      </c>
      <c r="B15" s="29">
        <v>45789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53">
        <f t="shared" si="3"/>
        <v>1831699.5263</v>
      </c>
      <c r="N15" s="19"/>
    </row>
    <row r="16" spans="1:18">
      <c r="A16" s="28">
        <v>13</v>
      </c>
      <c r="B16" s="29">
        <v>45790</v>
      </c>
      <c r="C16" s="19"/>
      <c r="D16" s="19"/>
      <c r="E16" s="19">
        <v>0</v>
      </c>
      <c r="F16" s="19">
        <v>0</v>
      </c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53">
        <f t="shared" si="3"/>
        <v>1831699.5263</v>
      </c>
      <c r="N16" s="19"/>
    </row>
    <row r="17" spans="1:16">
      <c r="A17" s="28">
        <v>14</v>
      </c>
      <c r="B17" s="29">
        <v>45791</v>
      </c>
      <c r="C17" s="19"/>
      <c r="D17" s="19"/>
      <c r="E17" s="19">
        <v>0</v>
      </c>
      <c r="F17" s="19">
        <v>0</v>
      </c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53">
        <f t="shared" si="3"/>
        <v>1831699.5263</v>
      </c>
      <c r="N17" s="19"/>
    </row>
    <row r="18" spans="1:16">
      <c r="A18" s="28">
        <v>15</v>
      </c>
      <c r="B18" s="29">
        <v>45792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/>
      <c r="I18" s="19"/>
      <c r="J18" s="19">
        <f t="shared" si="1"/>
        <v>0</v>
      </c>
      <c r="K18" s="19">
        <f t="shared" si="2"/>
        <v>0</v>
      </c>
      <c r="L18" s="19"/>
      <c r="M18" s="153">
        <f t="shared" si="3"/>
        <v>1831699.5263</v>
      </c>
      <c r="N18" s="19"/>
    </row>
    <row r="19" spans="1:16">
      <c r="A19" s="28">
        <v>16</v>
      </c>
      <c r="B19" s="29">
        <v>45793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/>
      <c r="I19" s="19"/>
      <c r="J19" s="19">
        <f t="shared" si="1"/>
        <v>0</v>
      </c>
      <c r="K19" s="19">
        <f t="shared" si="2"/>
        <v>0</v>
      </c>
      <c r="L19" s="19"/>
      <c r="M19" s="153">
        <f t="shared" si="3"/>
        <v>1831699.5263</v>
      </c>
      <c r="N19" s="19"/>
    </row>
    <row r="20" spans="1:16">
      <c r="A20" s="28">
        <v>17</v>
      </c>
      <c r="B20" s="29">
        <v>45794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/>
      <c r="I20" s="19"/>
      <c r="J20" s="19">
        <f t="shared" si="1"/>
        <v>0</v>
      </c>
      <c r="K20" s="19">
        <f t="shared" si="2"/>
        <v>0</v>
      </c>
      <c r="L20" s="19"/>
      <c r="M20" s="153">
        <f t="shared" si="3"/>
        <v>1831699.5263</v>
      </c>
      <c r="N20" s="19"/>
    </row>
    <row r="21" spans="1:16">
      <c r="A21" s="28">
        <v>18</v>
      </c>
      <c r="B21" s="29">
        <v>45795</v>
      </c>
      <c r="C21" s="19"/>
      <c r="D21" s="19"/>
      <c r="E21" s="19">
        <v>0</v>
      </c>
      <c r="F21" s="19">
        <v>0</v>
      </c>
      <c r="G21" s="19">
        <f t="shared" si="0"/>
        <v>0</v>
      </c>
      <c r="H21" s="19"/>
      <c r="I21" s="19"/>
      <c r="J21" s="19">
        <f t="shared" si="1"/>
        <v>0</v>
      </c>
      <c r="K21" s="19">
        <f t="shared" si="2"/>
        <v>0</v>
      </c>
      <c r="L21" s="19"/>
      <c r="M21" s="153">
        <f t="shared" si="3"/>
        <v>1831699.5263</v>
      </c>
      <c r="N21" s="19"/>
    </row>
    <row r="22" spans="1:16">
      <c r="A22" s="28">
        <v>19</v>
      </c>
      <c r="B22" s="29">
        <v>45796</v>
      </c>
      <c r="C22" s="19"/>
      <c r="D22" s="19"/>
      <c r="E22" s="19">
        <v>0</v>
      </c>
      <c r="F22" s="19">
        <v>0</v>
      </c>
      <c r="G22" s="19">
        <f t="shared" si="0"/>
        <v>0</v>
      </c>
      <c r="H22" s="19"/>
      <c r="I22" s="19"/>
      <c r="J22" s="19">
        <f t="shared" si="1"/>
        <v>0</v>
      </c>
      <c r="K22" s="19">
        <f t="shared" si="2"/>
        <v>0</v>
      </c>
      <c r="L22" s="19"/>
      <c r="M22" s="153">
        <f t="shared" si="3"/>
        <v>1831699.5263</v>
      </c>
      <c r="N22" s="19"/>
    </row>
    <row r="23" spans="1:16">
      <c r="A23" s="28">
        <v>20</v>
      </c>
      <c r="B23" s="29">
        <v>45797</v>
      </c>
      <c r="C23" s="19"/>
      <c r="D23" s="19"/>
      <c r="E23" s="19">
        <v>0</v>
      </c>
      <c r="F23" s="19">
        <v>0</v>
      </c>
      <c r="G23" s="19">
        <f t="shared" si="0"/>
        <v>0</v>
      </c>
      <c r="H23" s="19"/>
      <c r="I23" s="19"/>
      <c r="J23" s="19">
        <f t="shared" si="1"/>
        <v>0</v>
      </c>
      <c r="K23" s="19">
        <f t="shared" si="2"/>
        <v>0</v>
      </c>
      <c r="L23" s="19"/>
      <c r="M23" s="153">
        <f t="shared" si="3"/>
        <v>1831699.5263</v>
      </c>
      <c r="N23" s="19"/>
    </row>
    <row r="24" spans="1:16">
      <c r="A24" s="28">
        <v>21</v>
      </c>
      <c r="B24" s="29">
        <v>45798</v>
      </c>
      <c r="C24" s="19"/>
      <c r="D24" s="19"/>
      <c r="E24" s="19">
        <v>0</v>
      </c>
      <c r="F24" s="19">
        <v>0</v>
      </c>
      <c r="G24" s="19">
        <f t="shared" si="0"/>
        <v>0</v>
      </c>
      <c r="H24" s="19"/>
      <c r="I24" s="19"/>
      <c r="J24" s="19">
        <f t="shared" si="1"/>
        <v>0</v>
      </c>
      <c r="K24" s="19">
        <f t="shared" si="2"/>
        <v>0</v>
      </c>
      <c r="L24" s="19"/>
      <c r="M24" s="153">
        <f t="shared" si="3"/>
        <v>1831699.5263</v>
      </c>
      <c r="N24" s="19"/>
    </row>
    <row r="25" spans="1:16">
      <c r="A25" s="28">
        <v>22</v>
      </c>
      <c r="B25" s="29">
        <v>45799</v>
      </c>
      <c r="C25" s="19"/>
      <c r="D25" s="19"/>
      <c r="E25" s="19">
        <v>0</v>
      </c>
      <c r="F25" s="19">
        <v>0</v>
      </c>
      <c r="G25" s="19">
        <f t="shared" si="0"/>
        <v>0</v>
      </c>
      <c r="H25" s="19"/>
      <c r="I25" s="19"/>
      <c r="J25" s="19">
        <f t="shared" si="1"/>
        <v>0</v>
      </c>
      <c r="K25" s="19">
        <f t="shared" si="2"/>
        <v>0</v>
      </c>
      <c r="L25" s="19"/>
      <c r="M25" s="153">
        <f t="shared" si="3"/>
        <v>1831699.5263</v>
      </c>
      <c r="N25" s="19"/>
    </row>
    <row r="26" spans="1:16">
      <c r="A26" s="28">
        <v>23</v>
      </c>
      <c r="B26" s="29">
        <v>45800</v>
      </c>
      <c r="C26" s="19"/>
      <c r="D26" s="19"/>
      <c r="E26" s="19">
        <v>0</v>
      </c>
      <c r="F26" s="19">
        <v>0</v>
      </c>
      <c r="G26" s="19">
        <f t="shared" si="0"/>
        <v>0</v>
      </c>
      <c r="H26" s="19"/>
      <c r="I26" s="19"/>
      <c r="J26" s="19">
        <f t="shared" si="1"/>
        <v>0</v>
      </c>
      <c r="K26" s="19">
        <f t="shared" si="2"/>
        <v>0</v>
      </c>
      <c r="L26" s="19"/>
      <c r="M26" s="153">
        <f t="shared" si="3"/>
        <v>1831699.5263</v>
      </c>
      <c r="N26" s="19"/>
    </row>
    <row r="27" spans="1:16">
      <c r="A27" s="28">
        <v>24</v>
      </c>
      <c r="B27" s="29">
        <v>45801</v>
      </c>
      <c r="C27" s="19"/>
      <c r="D27" s="19"/>
      <c r="E27" s="19">
        <v>0</v>
      </c>
      <c r="F27" s="19">
        <v>0</v>
      </c>
      <c r="G27" s="19">
        <f t="shared" si="0"/>
        <v>0</v>
      </c>
      <c r="H27" s="19"/>
      <c r="I27" s="19"/>
      <c r="J27" s="19">
        <f t="shared" si="1"/>
        <v>0</v>
      </c>
      <c r="K27" s="19">
        <f t="shared" si="2"/>
        <v>0</v>
      </c>
      <c r="L27" s="19"/>
      <c r="M27" s="153">
        <f t="shared" si="3"/>
        <v>1831699.5263</v>
      </c>
      <c r="N27" s="19"/>
    </row>
    <row r="28" spans="1:16">
      <c r="A28" s="28">
        <v>25</v>
      </c>
      <c r="B28" s="29">
        <v>45802</v>
      </c>
      <c r="C28" s="19"/>
      <c r="D28" s="19"/>
      <c r="E28" s="19">
        <v>0</v>
      </c>
      <c r="F28" s="19">
        <v>0</v>
      </c>
      <c r="G28" s="19">
        <f t="shared" si="0"/>
        <v>0</v>
      </c>
      <c r="H28" s="19"/>
      <c r="I28" s="19"/>
      <c r="J28" s="19">
        <f t="shared" si="1"/>
        <v>0</v>
      </c>
      <c r="K28" s="19">
        <f t="shared" si="2"/>
        <v>0</v>
      </c>
      <c r="L28" s="19"/>
      <c r="M28" s="153">
        <f t="shared" si="3"/>
        <v>1831699.5263</v>
      </c>
      <c r="N28" s="19"/>
    </row>
    <row r="29" spans="1:16">
      <c r="A29" s="28">
        <v>26</v>
      </c>
      <c r="B29" s="29">
        <v>45803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/>
      <c r="I29" s="19"/>
      <c r="J29" s="19">
        <f t="shared" si="1"/>
        <v>0</v>
      </c>
      <c r="K29" s="19">
        <f t="shared" si="2"/>
        <v>0</v>
      </c>
      <c r="L29" s="19"/>
      <c r="M29" s="153">
        <f t="shared" si="3"/>
        <v>1831699.5263</v>
      </c>
      <c r="N29" s="19"/>
    </row>
    <row r="30" spans="1:16">
      <c r="A30" s="28">
        <v>27</v>
      </c>
      <c r="B30" s="29">
        <v>45804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/>
      <c r="I30" s="19"/>
      <c r="J30" s="19">
        <f t="shared" si="1"/>
        <v>0</v>
      </c>
      <c r="K30" s="19">
        <f t="shared" si="2"/>
        <v>0</v>
      </c>
      <c r="L30" s="19"/>
      <c r="M30" s="153">
        <f t="shared" si="3"/>
        <v>1831699.5263</v>
      </c>
      <c r="N30" s="19"/>
      <c r="P30">
        <f>2939612.08-2939070.93</f>
        <v>541.14999999990687</v>
      </c>
    </row>
    <row r="31" spans="1:16">
      <c r="A31" s="28">
        <v>28</v>
      </c>
      <c r="B31" s="29">
        <v>45805</v>
      </c>
      <c r="C31" s="19"/>
      <c r="D31" s="19"/>
      <c r="E31" s="19">
        <v>0</v>
      </c>
      <c r="F31" s="19">
        <v>0</v>
      </c>
      <c r="G31" s="19">
        <f t="shared" si="0"/>
        <v>0</v>
      </c>
      <c r="H31" s="19"/>
      <c r="I31" s="19"/>
      <c r="J31" s="19">
        <f t="shared" si="1"/>
        <v>0</v>
      </c>
      <c r="K31" s="19">
        <f t="shared" si="2"/>
        <v>0</v>
      </c>
      <c r="L31" s="19">
        <v>1500000</v>
      </c>
      <c r="M31" s="153">
        <f t="shared" si="3"/>
        <v>331699.52630000003</v>
      </c>
      <c r="N31" s="19"/>
    </row>
    <row r="32" spans="1:16">
      <c r="A32" s="28">
        <v>29</v>
      </c>
      <c r="B32" s="29">
        <v>45806</v>
      </c>
      <c r="C32" s="19"/>
      <c r="D32" s="19"/>
      <c r="E32" s="19">
        <v>0</v>
      </c>
      <c r="F32" s="19">
        <v>0</v>
      </c>
      <c r="G32" s="19">
        <f t="shared" si="0"/>
        <v>0</v>
      </c>
      <c r="H32" s="19"/>
      <c r="I32" s="19"/>
      <c r="J32" s="19">
        <f t="shared" si="1"/>
        <v>0</v>
      </c>
      <c r="K32" s="19">
        <f t="shared" si="2"/>
        <v>0</v>
      </c>
      <c r="L32" s="19"/>
      <c r="M32" s="153"/>
      <c r="N32" s="19"/>
    </row>
    <row r="33" spans="1:16">
      <c r="A33" s="28">
        <v>30</v>
      </c>
      <c r="B33" s="29">
        <v>45807</v>
      </c>
      <c r="C33" s="19"/>
      <c r="D33" s="19"/>
      <c r="E33" s="19">
        <v>0</v>
      </c>
      <c r="F33" s="19">
        <v>0</v>
      </c>
      <c r="G33" s="19">
        <f t="shared" si="0"/>
        <v>0</v>
      </c>
      <c r="H33" s="19"/>
      <c r="I33" s="19"/>
      <c r="J33" s="19">
        <f t="shared" si="1"/>
        <v>0</v>
      </c>
      <c r="K33" s="19">
        <f t="shared" si="2"/>
        <v>0</v>
      </c>
      <c r="L33" s="19"/>
      <c r="M33" s="153"/>
      <c r="N33" s="19"/>
    </row>
    <row r="34" spans="1:16">
      <c r="A34" s="28">
        <v>31</v>
      </c>
      <c r="B34" s="29">
        <v>45808</v>
      </c>
      <c r="C34" s="19"/>
      <c r="D34" s="19"/>
      <c r="E34" s="19">
        <v>0</v>
      </c>
      <c r="F34" s="19">
        <v>0</v>
      </c>
      <c r="G34" s="19">
        <f t="shared" si="0"/>
        <v>0</v>
      </c>
      <c r="H34" s="19"/>
      <c r="I34" s="19"/>
      <c r="J34" s="19">
        <f t="shared" si="1"/>
        <v>0</v>
      </c>
      <c r="K34" s="19">
        <f t="shared" si="2"/>
        <v>0</v>
      </c>
      <c r="L34" s="19"/>
      <c r="M34" s="153"/>
      <c r="N34" s="19"/>
    </row>
    <row r="35" spans="1:16">
      <c r="A35" s="51"/>
      <c r="B35" s="51"/>
      <c r="C35" s="51"/>
      <c r="D35" s="51"/>
      <c r="E35" s="232">
        <f>SUM(E4:E34)</f>
        <v>0</v>
      </c>
      <c r="F35" s="52"/>
      <c r="G35" s="232">
        <f>SUM(G4:G34)</f>
        <v>0</v>
      </c>
      <c r="H35" s="232">
        <f>SUM(H4:H34)</f>
        <v>0</v>
      </c>
      <c r="I35" s="52"/>
      <c r="J35" s="232">
        <f>SUM(J4:J34)</f>
        <v>0</v>
      </c>
      <c r="K35" s="232">
        <f>SUM(K4:K34)</f>
        <v>0</v>
      </c>
      <c r="L35" s="232">
        <f>SUM(L4:L34)</f>
        <v>1500000</v>
      </c>
      <c r="M35" s="52"/>
      <c r="N35" s="52"/>
      <c r="O35" s="35"/>
    </row>
    <row r="36" spans="1:16">
      <c r="P36">
        <f>170+165</f>
        <v>335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FF67-03DC-46E3-B949-4F656B661C9C}">
  <dimension ref="A1:R35"/>
  <sheetViews>
    <sheetView workbookViewId="0">
      <selection activeCell="S14" sqref="S14"/>
    </sheetView>
  </sheetViews>
  <sheetFormatPr defaultRowHeight="15"/>
  <cols>
    <col min="2" max="3" width="11.7109375" customWidth="1"/>
    <col min="7" max="7" width="10.42578125" bestFit="1" customWidth="1"/>
    <col min="11" max="11" width="11.85546875" bestFit="1" customWidth="1"/>
    <col min="12" max="12" width="10.7109375" customWidth="1"/>
    <col min="13" max="13" width="15" bestFit="1" customWidth="1"/>
  </cols>
  <sheetData>
    <row r="1" spans="1:18" ht="15.75">
      <c r="A1" s="444" t="s">
        <v>22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6"/>
    </row>
    <row r="2" spans="1:18" ht="27">
      <c r="A2" s="118" t="s">
        <v>99</v>
      </c>
      <c r="B2" s="123" t="s">
        <v>100</v>
      </c>
      <c r="C2" s="123" t="s">
        <v>101</v>
      </c>
      <c r="D2" s="123" t="s">
        <v>102</v>
      </c>
      <c r="E2" s="231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23" t="s">
        <v>107</v>
      </c>
      <c r="L2" s="123" t="s">
        <v>108</v>
      </c>
      <c r="M2" s="167" t="s">
        <v>115</v>
      </c>
      <c r="N2" s="123" t="s">
        <v>110</v>
      </c>
    </row>
    <row r="3" spans="1:18">
      <c r="A3" s="447" t="s">
        <v>111</v>
      </c>
      <c r="B3" s="448"/>
      <c r="C3" s="448"/>
      <c r="D3" s="448"/>
      <c r="E3" s="448"/>
      <c r="F3" s="448"/>
      <c r="G3" s="448"/>
      <c r="H3" s="448"/>
      <c r="I3" s="448"/>
      <c r="J3" s="449"/>
      <c r="K3" s="263">
        <v>0</v>
      </c>
      <c r="L3" s="397"/>
      <c r="M3" s="122">
        <f>+K3</f>
        <v>0</v>
      </c>
      <c r="N3" s="399"/>
    </row>
    <row r="4" spans="1:18">
      <c r="A4" s="28">
        <v>1</v>
      </c>
      <c r="B4" s="393">
        <v>45778</v>
      </c>
      <c r="C4" s="394" t="s">
        <v>98</v>
      </c>
      <c r="D4" s="394" t="s">
        <v>98</v>
      </c>
      <c r="E4" s="394" t="s">
        <v>98</v>
      </c>
      <c r="F4" s="394" t="s">
        <v>98</v>
      </c>
      <c r="G4" s="394">
        <v>0</v>
      </c>
      <c r="H4" s="394" t="s">
        <v>98</v>
      </c>
      <c r="I4" s="394" t="s">
        <v>98</v>
      </c>
      <c r="J4" s="394">
        <v>0</v>
      </c>
      <c r="K4" s="394">
        <v>0</v>
      </c>
      <c r="L4" s="398">
        <v>0</v>
      </c>
      <c r="M4" s="413">
        <f>M3+K4-L4</f>
        <v>0</v>
      </c>
      <c r="N4" s="295"/>
      <c r="O4" s="24"/>
    </row>
    <row r="5" spans="1:18">
      <c r="A5" s="28">
        <v>2</v>
      </c>
      <c r="B5" s="395">
        <v>45779</v>
      </c>
      <c r="C5" s="396" t="s">
        <v>98</v>
      </c>
      <c r="D5" s="396" t="s">
        <v>98</v>
      </c>
      <c r="E5" s="396">
        <v>0</v>
      </c>
      <c r="F5" s="396">
        <v>0</v>
      </c>
      <c r="G5" s="396">
        <v>0</v>
      </c>
      <c r="H5" s="396" t="s">
        <v>98</v>
      </c>
      <c r="I5" s="396" t="s">
        <v>98</v>
      </c>
      <c r="J5" s="396">
        <v>0</v>
      </c>
      <c r="K5" s="396">
        <v>0</v>
      </c>
      <c r="L5" s="415">
        <v>0</v>
      </c>
      <c r="M5" s="414">
        <f>M4+K5-L5</f>
        <v>0</v>
      </c>
      <c r="N5" s="295"/>
    </row>
    <row r="6" spans="1:18">
      <c r="A6" s="28">
        <v>3</v>
      </c>
      <c r="B6" s="395">
        <v>45780</v>
      </c>
      <c r="C6" s="396" t="s">
        <v>98</v>
      </c>
      <c r="D6" s="396" t="s">
        <v>98</v>
      </c>
      <c r="E6" s="396">
        <v>0</v>
      </c>
      <c r="F6" s="396">
        <v>0</v>
      </c>
      <c r="G6" s="396">
        <v>0</v>
      </c>
      <c r="H6" s="396" t="s">
        <v>98</v>
      </c>
      <c r="I6" s="396" t="s">
        <v>98</v>
      </c>
      <c r="J6" s="396">
        <v>0</v>
      </c>
      <c r="K6" s="396">
        <v>0</v>
      </c>
      <c r="L6" s="415">
        <v>0</v>
      </c>
      <c r="M6" s="414">
        <f>M5+K6-L6</f>
        <v>0</v>
      </c>
      <c r="N6" s="295"/>
      <c r="R6">
        <v>541.08000000000004</v>
      </c>
    </row>
    <row r="7" spans="1:18">
      <c r="A7" s="28">
        <v>4</v>
      </c>
      <c r="B7" s="395">
        <v>45781</v>
      </c>
      <c r="C7" s="396" t="s">
        <v>98</v>
      </c>
      <c r="D7" s="396" t="s">
        <v>98</v>
      </c>
      <c r="E7" s="396">
        <v>0</v>
      </c>
      <c r="F7" s="396">
        <v>0</v>
      </c>
      <c r="G7" s="396">
        <v>0</v>
      </c>
      <c r="H7" s="396" t="s">
        <v>98</v>
      </c>
      <c r="I7" s="396" t="s">
        <v>98</v>
      </c>
      <c r="J7" s="396">
        <v>0</v>
      </c>
      <c r="K7" s="396">
        <v>0</v>
      </c>
      <c r="L7" s="415">
        <v>0</v>
      </c>
      <c r="M7" s="414">
        <f>M6+K7-L7</f>
        <v>0</v>
      </c>
      <c r="N7" s="295"/>
    </row>
    <row r="8" spans="1:18">
      <c r="A8" s="28">
        <v>5</v>
      </c>
      <c r="B8" s="395">
        <v>45782</v>
      </c>
      <c r="C8" s="396" t="s">
        <v>98</v>
      </c>
      <c r="D8" s="396" t="s">
        <v>98</v>
      </c>
      <c r="E8" s="396">
        <v>20</v>
      </c>
      <c r="F8" s="396">
        <v>96.31</v>
      </c>
      <c r="G8" s="396">
        <v>1926.2</v>
      </c>
      <c r="H8" s="396" t="s">
        <v>98</v>
      </c>
      <c r="I8" s="396" t="s">
        <v>98</v>
      </c>
      <c r="J8" s="396">
        <v>0</v>
      </c>
      <c r="K8" s="396">
        <v>1926.2</v>
      </c>
      <c r="L8" s="415">
        <v>0</v>
      </c>
      <c r="M8" s="414">
        <f>M7+K8-L8</f>
        <v>1926.2</v>
      </c>
      <c r="N8" s="19"/>
    </row>
    <row r="9" spans="1:18">
      <c r="A9" s="28">
        <v>6</v>
      </c>
      <c r="B9" s="395">
        <v>45783</v>
      </c>
      <c r="C9" s="396" t="s">
        <v>98</v>
      </c>
      <c r="D9" s="396" t="s">
        <v>98</v>
      </c>
      <c r="E9" s="396">
        <v>3000</v>
      </c>
      <c r="F9" s="396">
        <v>96.31</v>
      </c>
      <c r="G9" s="396">
        <v>288930</v>
      </c>
      <c r="H9" s="396" t="s">
        <v>98</v>
      </c>
      <c r="I9" s="396" t="s">
        <v>98</v>
      </c>
      <c r="J9" s="396">
        <v>0</v>
      </c>
      <c r="K9" s="396">
        <v>288930</v>
      </c>
      <c r="L9" s="415">
        <v>0</v>
      </c>
      <c r="M9" s="414">
        <f>M8+K9-L9</f>
        <v>290856.2</v>
      </c>
      <c r="N9" s="19"/>
    </row>
    <row r="10" spans="1:18">
      <c r="A10" s="28">
        <v>7</v>
      </c>
      <c r="B10" s="395">
        <v>45784</v>
      </c>
      <c r="C10" s="396" t="s">
        <v>98</v>
      </c>
      <c r="D10" s="396" t="s">
        <v>98</v>
      </c>
      <c r="E10" s="396">
        <v>0</v>
      </c>
      <c r="F10" s="396">
        <v>0</v>
      </c>
      <c r="G10" s="396">
        <v>0</v>
      </c>
      <c r="H10" s="396" t="s">
        <v>98</v>
      </c>
      <c r="I10" s="396" t="s">
        <v>98</v>
      </c>
      <c r="J10" s="396">
        <v>0</v>
      </c>
      <c r="K10" s="396">
        <v>0</v>
      </c>
      <c r="L10" s="415">
        <v>0</v>
      </c>
      <c r="M10" s="414">
        <f>M9+K10-L10</f>
        <v>290856.2</v>
      </c>
      <c r="N10" s="19"/>
    </row>
    <row r="11" spans="1:18">
      <c r="A11" s="28">
        <v>8</v>
      </c>
      <c r="B11" s="395">
        <v>45785</v>
      </c>
      <c r="C11" s="396" t="s">
        <v>98</v>
      </c>
      <c r="D11" s="396" t="s">
        <v>98</v>
      </c>
      <c r="E11" s="396">
        <v>1020</v>
      </c>
      <c r="F11" s="396">
        <v>96.31</v>
      </c>
      <c r="G11" s="396">
        <v>98236.2</v>
      </c>
      <c r="H11" s="396" t="s">
        <v>98</v>
      </c>
      <c r="I11" s="396" t="s">
        <v>98</v>
      </c>
      <c r="J11" s="396">
        <v>0</v>
      </c>
      <c r="K11" s="396">
        <v>98236.2</v>
      </c>
      <c r="L11" s="415">
        <v>0</v>
      </c>
      <c r="M11" s="414">
        <f>M10+K11-L11</f>
        <v>389092.4</v>
      </c>
      <c r="N11" s="19"/>
    </row>
    <row r="12" spans="1:18">
      <c r="A12" s="28">
        <v>9</v>
      </c>
      <c r="B12" s="395">
        <v>45786</v>
      </c>
      <c r="C12" s="396" t="s">
        <v>98</v>
      </c>
      <c r="D12" s="396" t="s">
        <v>98</v>
      </c>
      <c r="E12" s="396">
        <v>0</v>
      </c>
      <c r="F12" s="396">
        <v>0</v>
      </c>
      <c r="G12" s="396">
        <v>0</v>
      </c>
      <c r="H12" s="396" t="s">
        <v>98</v>
      </c>
      <c r="I12" s="396" t="s">
        <v>98</v>
      </c>
      <c r="J12" s="396">
        <v>0</v>
      </c>
      <c r="K12" s="396">
        <v>0</v>
      </c>
      <c r="L12" s="415">
        <v>0</v>
      </c>
      <c r="M12" s="414">
        <f>M11+K12-L12</f>
        <v>389092.4</v>
      </c>
      <c r="N12" s="19"/>
    </row>
    <row r="13" spans="1:18">
      <c r="A13" s="28">
        <v>10</v>
      </c>
      <c r="B13" s="395">
        <v>45787</v>
      </c>
      <c r="C13" s="396" t="s">
        <v>98</v>
      </c>
      <c r="D13" s="396" t="s">
        <v>98</v>
      </c>
      <c r="E13" s="396">
        <v>0</v>
      </c>
      <c r="F13" s="396">
        <v>0</v>
      </c>
      <c r="G13" s="396">
        <v>0</v>
      </c>
      <c r="H13" s="396" t="s">
        <v>98</v>
      </c>
      <c r="I13" s="396" t="s">
        <v>98</v>
      </c>
      <c r="J13" s="396">
        <v>0</v>
      </c>
      <c r="K13" s="396">
        <v>0</v>
      </c>
      <c r="L13" s="415">
        <v>0</v>
      </c>
      <c r="M13" s="414">
        <f>M12+K13-L13</f>
        <v>389092.4</v>
      </c>
      <c r="N13" s="19"/>
    </row>
    <row r="14" spans="1:18">
      <c r="A14" s="28">
        <v>11</v>
      </c>
      <c r="B14" s="395">
        <v>45788</v>
      </c>
      <c r="C14" s="396" t="s">
        <v>98</v>
      </c>
      <c r="D14" s="396" t="s">
        <v>98</v>
      </c>
      <c r="E14" s="396">
        <v>0</v>
      </c>
      <c r="F14" s="396">
        <v>0</v>
      </c>
      <c r="G14" s="396">
        <v>0</v>
      </c>
      <c r="H14" s="396" t="s">
        <v>98</v>
      </c>
      <c r="I14" s="396" t="s">
        <v>98</v>
      </c>
      <c r="J14" s="396">
        <v>0</v>
      </c>
      <c r="K14" s="396">
        <v>0</v>
      </c>
      <c r="L14" s="415">
        <v>0</v>
      </c>
      <c r="M14" s="414">
        <f>M13+K14-L14</f>
        <v>389092.4</v>
      </c>
      <c r="N14" s="19"/>
    </row>
    <row r="15" spans="1:18">
      <c r="A15" s="28">
        <v>12</v>
      </c>
      <c r="B15" s="395">
        <v>45789</v>
      </c>
      <c r="C15" s="396" t="s">
        <v>98</v>
      </c>
      <c r="D15" s="396" t="s">
        <v>98</v>
      </c>
      <c r="E15" s="396">
        <v>0</v>
      </c>
      <c r="F15" s="396">
        <v>0</v>
      </c>
      <c r="G15" s="396">
        <v>0</v>
      </c>
      <c r="H15" s="396" t="s">
        <v>98</v>
      </c>
      <c r="I15" s="396" t="s">
        <v>98</v>
      </c>
      <c r="J15" s="396">
        <v>0</v>
      </c>
      <c r="K15" s="396">
        <v>0</v>
      </c>
      <c r="L15" s="415">
        <v>0</v>
      </c>
      <c r="M15" s="414">
        <f>M14+K15-L15</f>
        <v>389092.4</v>
      </c>
      <c r="N15" s="19"/>
    </row>
    <row r="16" spans="1:18">
      <c r="A16" s="28">
        <v>13</v>
      </c>
      <c r="B16" s="395">
        <v>45790</v>
      </c>
      <c r="C16" s="396" t="s">
        <v>98</v>
      </c>
      <c r="D16" s="396" t="s">
        <v>98</v>
      </c>
      <c r="E16" s="396">
        <v>0</v>
      </c>
      <c r="F16" s="396">
        <v>0</v>
      </c>
      <c r="G16" s="396">
        <v>0</v>
      </c>
      <c r="H16" s="396" t="s">
        <v>98</v>
      </c>
      <c r="I16" s="396" t="s">
        <v>98</v>
      </c>
      <c r="J16" s="396">
        <v>0</v>
      </c>
      <c r="K16" s="396">
        <v>0</v>
      </c>
      <c r="L16" s="415">
        <v>0</v>
      </c>
      <c r="M16" s="414">
        <f>M15+K16-L16</f>
        <v>389092.4</v>
      </c>
      <c r="N16" s="19"/>
    </row>
    <row r="17" spans="1:16">
      <c r="A17" s="28">
        <v>14</v>
      </c>
      <c r="B17" s="395">
        <v>45791</v>
      </c>
      <c r="C17" s="396" t="s">
        <v>98</v>
      </c>
      <c r="D17" s="396" t="s">
        <v>98</v>
      </c>
      <c r="E17" s="396">
        <v>0</v>
      </c>
      <c r="F17" s="396">
        <v>0</v>
      </c>
      <c r="G17" s="396">
        <v>0</v>
      </c>
      <c r="H17" s="396" t="s">
        <v>98</v>
      </c>
      <c r="I17" s="396" t="s">
        <v>98</v>
      </c>
      <c r="J17" s="396">
        <v>0</v>
      </c>
      <c r="K17" s="396">
        <v>0</v>
      </c>
      <c r="L17" s="415">
        <v>0</v>
      </c>
      <c r="M17" s="414">
        <f>M16+K17-L17</f>
        <v>389092.4</v>
      </c>
      <c r="N17" s="19"/>
    </row>
    <row r="18" spans="1:16">
      <c r="A18" s="28">
        <v>15</v>
      </c>
      <c r="B18" s="395">
        <v>45792</v>
      </c>
      <c r="C18" s="396" t="s">
        <v>98</v>
      </c>
      <c r="D18" s="396" t="s">
        <v>98</v>
      </c>
      <c r="E18" s="396">
        <v>0</v>
      </c>
      <c r="F18" s="396">
        <v>0</v>
      </c>
      <c r="G18" s="396">
        <v>0</v>
      </c>
      <c r="H18" s="396" t="s">
        <v>98</v>
      </c>
      <c r="I18" s="396" t="s">
        <v>98</v>
      </c>
      <c r="J18" s="396">
        <v>0</v>
      </c>
      <c r="K18" s="396">
        <v>0</v>
      </c>
      <c r="L18" s="415">
        <v>0</v>
      </c>
      <c r="M18" s="414">
        <f>M17+K18-L18</f>
        <v>389092.4</v>
      </c>
      <c r="N18" s="19"/>
    </row>
    <row r="19" spans="1:16">
      <c r="A19" s="28">
        <v>16</v>
      </c>
      <c r="B19" s="395">
        <v>45793</v>
      </c>
      <c r="C19" s="396" t="s">
        <v>98</v>
      </c>
      <c r="D19" s="396" t="s">
        <v>98</v>
      </c>
      <c r="E19" s="396">
        <v>0</v>
      </c>
      <c r="F19" s="396">
        <v>0</v>
      </c>
      <c r="G19" s="396">
        <v>0</v>
      </c>
      <c r="H19" s="396" t="s">
        <v>98</v>
      </c>
      <c r="I19" s="396" t="s">
        <v>98</v>
      </c>
      <c r="J19" s="396">
        <v>0</v>
      </c>
      <c r="K19" s="396">
        <v>0</v>
      </c>
      <c r="L19" s="415">
        <v>0</v>
      </c>
      <c r="M19" s="414">
        <f>M18+K19-L19</f>
        <v>389092.4</v>
      </c>
      <c r="N19" s="19"/>
    </row>
    <row r="20" spans="1:16">
      <c r="A20" s="28">
        <v>17</v>
      </c>
      <c r="B20" s="395">
        <v>45794</v>
      </c>
      <c r="C20" s="396" t="s">
        <v>98</v>
      </c>
      <c r="D20" s="396" t="s">
        <v>98</v>
      </c>
      <c r="E20" s="396">
        <v>0</v>
      </c>
      <c r="F20" s="396">
        <v>0</v>
      </c>
      <c r="G20" s="396">
        <v>0</v>
      </c>
      <c r="H20" s="396" t="s">
        <v>98</v>
      </c>
      <c r="I20" s="396" t="s">
        <v>98</v>
      </c>
      <c r="J20" s="396">
        <v>0</v>
      </c>
      <c r="K20" s="396">
        <v>0</v>
      </c>
      <c r="L20" s="415">
        <v>0</v>
      </c>
      <c r="M20" s="414">
        <f>M19+K20-L20</f>
        <v>389092.4</v>
      </c>
      <c r="N20" s="19"/>
    </row>
    <row r="21" spans="1:16">
      <c r="A21" s="28">
        <v>18</v>
      </c>
      <c r="B21" s="395">
        <v>45795</v>
      </c>
      <c r="C21" s="396" t="s">
        <v>98</v>
      </c>
      <c r="D21" s="396" t="s">
        <v>98</v>
      </c>
      <c r="E21" s="396">
        <v>0</v>
      </c>
      <c r="F21" s="396">
        <v>0</v>
      </c>
      <c r="G21" s="396">
        <v>0</v>
      </c>
      <c r="H21" s="396" t="s">
        <v>98</v>
      </c>
      <c r="I21" s="396" t="s">
        <v>98</v>
      </c>
      <c r="J21" s="396">
        <v>0</v>
      </c>
      <c r="K21" s="396">
        <v>0</v>
      </c>
      <c r="L21" s="415">
        <v>0</v>
      </c>
      <c r="M21" s="414">
        <f>M20+K21-L21</f>
        <v>389092.4</v>
      </c>
      <c r="N21" s="19"/>
    </row>
    <row r="22" spans="1:16">
      <c r="A22" s="28">
        <v>19</v>
      </c>
      <c r="B22" s="395">
        <v>45796</v>
      </c>
      <c r="C22" s="396" t="s">
        <v>98</v>
      </c>
      <c r="D22" s="396" t="s">
        <v>98</v>
      </c>
      <c r="E22" s="396">
        <v>0</v>
      </c>
      <c r="F22" s="396">
        <v>0</v>
      </c>
      <c r="G22" s="396">
        <v>0</v>
      </c>
      <c r="H22" s="396" t="s">
        <v>98</v>
      </c>
      <c r="I22" s="396" t="s">
        <v>98</v>
      </c>
      <c r="J22" s="396">
        <v>0</v>
      </c>
      <c r="K22" s="396">
        <v>0</v>
      </c>
      <c r="L22" s="415">
        <v>0</v>
      </c>
      <c r="M22" s="414">
        <f>M21+K22-L22</f>
        <v>389092.4</v>
      </c>
      <c r="N22" s="19"/>
    </row>
    <row r="23" spans="1:16">
      <c r="A23" s="28">
        <v>20</v>
      </c>
      <c r="B23" s="395">
        <v>45797</v>
      </c>
      <c r="C23" s="396" t="s">
        <v>98</v>
      </c>
      <c r="D23" s="396" t="s">
        <v>98</v>
      </c>
      <c r="E23" s="396">
        <v>0</v>
      </c>
      <c r="F23" s="396">
        <v>0</v>
      </c>
      <c r="G23" s="396">
        <v>0</v>
      </c>
      <c r="H23" s="396" t="s">
        <v>98</v>
      </c>
      <c r="I23" s="396" t="s">
        <v>98</v>
      </c>
      <c r="J23" s="396">
        <v>0</v>
      </c>
      <c r="K23" s="396">
        <v>0</v>
      </c>
      <c r="L23" s="415">
        <v>0</v>
      </c>
      <c r="M23" s="414">
        <f>M22+K23-L23</f>
        <v>389092.4</v>
      </c>
      <c r="N23" s="19"/>
    </row>
    <row r="24" spans="1:16">
      <c r="A24" s="28">
        <v>21</v>
      </c>
      <c r="B24" s="395">
        <v>45798</v>
      </c>
      <c r="C24" s="396" t="s">
        <v>98</v>
      </c>
      <c r="D24" s="396" t="s">
        <v>98</v>
      </c>
      <c r="E24" s="396">
        <v>0</v>
      </c>
      <c r="F24" s="396">
        <v>0</v>
      </c>
      <c r="G24" s="396">
        <v>0</v>
      </c>
      <c r="H24" s="396" t="s">
        <v>98</v>
      </c>
      <c r="I24" s="396" t="s">
        <v>98</v>
      </c>
      <c r="J24" s="396">
        <v>0</v>
      </c>
      <c r="K24" s="396">
        <v>0</v>
      </c>
      <c r="L24" s="415">
        <v>0</v>
      </c>
      <c r="M24" s="414">
        <f>M23+K24-L24</f>
        <v>389092.4</v>
      </c>
      <c r="N24" s="19"/>
    </row>
    <row r="25" spans="1:16">
      <c r="A25" s="28">
        <v>22</v>
      </c>
      <c r="B25" s="395">
        <v>45799</v>
      </c>
      <c r="C25" s="396" t="s">
        <v>98</v>
      </c>
      <c r="D25" s="396" t="s">
        <v>98</v>
      </c>
      <c r="E25" s="396">
        <v>0</v>
      </c>
      <c r="F25" s="396">
        <v>0</v>
      </c>
      <c r="G25" s="396">
        <v>0</v>
      </c>
      <c r="H25" s="396" t="s">
        <v>98</v>
      </c>
      <c r="I25" s="396" t="s">
        <v>98</v>
      </c>
      <c r="J25" s="396">
        <v>0</v>
      </c>
      <c r="K25" s="396">
        <v>0</v>
      </c>
      <c r="L25" s="415">
        <v>0</v>
      </c>
      <c r="M25" s="414">
        <f>M24+K25-L25</f>
        <v>389092.4</v>
      </c>
      <c r="N25" s="19"/>
    </row>
    <row r="26" spans="1:16">
      <c r="A26" s="28">
        <v>23</v>
      </c>
      <c r="B26" s="395">
        <v>45800</v>
      </c>
      <c r="C26" s="396" t="s">
        <v>98</v>
      </c>
      <c r="D26" s="396" t="s">
        <v>98</v>
      </c>
      <c r="E26" s="396">
        <v>0</v>
      </c>
      <c r="F26" s="396">
        <v>0</v>
      </c>
      <c r="G26" s="396">
        <v>0</v>
      </c>
      <c r="H26" s="396" t="s">
        <v>98</v>
      </c>
      <c r="I26" s="396" t="s">
        <v>98</v>
      </c>
      <c r="J26" s="396">
        <v>0</v>
      </c>
      <c r="K26" s="396">
        <v>0</v>
      </c>
      <c r="L26" s="415">
        <v>0</v>
      </c>
      <c r="M26" s="414">
        <f>M25+K26-L26</f>
        <v>389092.4</v>
      </c>
      <c r="N26" s="19"/>
    </row>
    <row r="27" spans="1:16">
      <c r="A27" s="28">
        <v>24</v>
      </c>
      <c r="B27" s="395">
        <v>45801</v>
      </c>
      <c r="C27" s="396" t="s">
        <v>98</v>
      </c>
      <c r="D27" s="396" t="s">
        <v>98</v>
      </c>
      <c r="E27" s="396">
        <v>0</v>
      </c>
      <c r="F27" s="396">
        <v>0</v>
      </c>
      <c r="G27" s="396">
        <v>0</v>
      </c>
      <c r="H27" s="396" t="s">
        <v>98</v>
      </c>
      <c r="I27" s="396" t="s">
        <v>98</v>
      </c>
      <c r="J27" s="396">
        <v>0</v>
      </c>
      <c r="K27" s="396">
        <v>0</v>
      </c>
      <c r="L27" s="415">
        <v>0</v>
      </c>
      <c r="M27" s="414">
        <f>M26+K27-L27</f>
        <v>389092.4</v>
      </c>
      <c r="N27" s="19"/>
    </row>
    <row r="28" spans="1:16">
      <c r="A28" s="28">
        <v>25</v>
      </c>
      <c r="B28" s="395">
        <v>45802</v>
      </c>
      <c r="C28" s="396" t="s">
        <v>98</v>
      </c>
      <c r="D28" s="396" t="s">
        <v>98</v>
      </c>
      <c r="E28" s="396">
        <v>0</v>
      </c>
      <c r="F28" s="396">
        <v>0</v>
      </c>
      <c r="G28" s="396">
        <v>0</v>
      </c>
      <c r="H28" s="396" t="s">
        <v>98</v>
      </c>
      <c r="I28" s="396" t="s">
        <v>98</v>
      </c>
      <c r="J28" s="396">
        <v>0</v>
      </c>
      <c r="K28" s="396">
        <v>0</v>
      </c>
      <c r="L28" s="415">
        <v>0</v>
      </c>
      <c r="M28" s="414">
        <f>M27+K28-L28</f>
        <v>389092.4</v>
      </c>
      <c r="N28" s="19"/>
    </row>
    <row r="29" spans="1:16">
      <c r="A29" s="28">
        <v>26</v>
      </c>
      <c r="B29" s="395">
        <v>45803</v>
      </c>
      <c r="C29" s="396" t="s">
        <v>98</v>
      </c>
      <c r="D29" s="396" t="s">
        <v>98</v>
      </c>
      <c r="E29" s="396">
        <v>0</v>
      </c>
      <c r="F29" s="396">
        <v>0</v>
      </c>
      <c r="G29" s="396">
        <v>0</v>
      </c>
      <c r="H29" s="396" t="s">
        <v>98</v>
      </c>
      <c r="I29" s="396" t="s">
        <v>98</v>
      </c>
      <c r="J29" s="396">
        <v>0</v>
      </c>
      <c r="K29" s="396">
        <v>0</v>
      </c>
      <c r="L29" s="396">
        <v>389092.4</v>
      </c>
      <c r="M29" s="414">
        <f>M28+K29-L29</f>
        <v>0</v>
      </c>
      <c r="N29" s="19"/>
    </row>
    <row r="30" spans="1:16">
      <c r="A30" s="28">
        <v>27</v>
      </c>
      <c r="B30" s="395">
        <v>45804</v>
      </c>
      <c r="C30" s="396" t="s">
        <v>98</v>
      </c>
      <c r="D30" s="396" t="s">
        <v>98</v>
      </c>
      <c r="E30" s="396">
        <v>0</v>
      </c>
      <c r="F30" s="396">
        <v>0</v>
      </c>
      <c r="G30" s="396">
        <v>0</v>
      </c>
      <c r="H30" s="396" t="s">
        <v>98</v>
      </c>
      <c r="I30" s="396" t="s">
        <v>98</v>
      </c>
      <c r="J30" s="396">
        <v>0</v>
      </c>
      <c r="K30" s="396">
        <v>0</v>
      </c>
      <c r="L30" s="396">
        <v>0</v>
      </c>
      <c r="M30" s="414">
        <f>M29+K30-L30</f>
        <v>0</v>
      </c>
      <c r="N30" s="19"/>
      <c r="P30">
        <f>2939612.08-2939070.93</f>
        <v>541.14999999990687</v>
      </c>
    </row>
    <row r="31" spans="1:16">
      <c r="A31" s="28">
        <v>28</v>
      </c>
      <c r="B31" s="395">
        <v>45805</v>
      </c>
      <c r="C31" s="396" t="s">
        <v>98</v>
      </c>
      <c r="D31" s="396" t="s">
        <v>98</v>
      </c>
      <c r="E31" s="396">
        <v>0</v>
      </c>
      <c r="F31" s="396">
        <v>0</v>
      </c>
      <c r="G31" s="396">
        <v>0</v>
      </c>
      <c r="H31" s="396" t="s">
        <v>98</v>
      </c>
      <c r="I31" s="396" t="s">
        <v>98</v>
      </c>
      <c r="J31" s="396">
        <v>0</v>
      </c>
      <c r="K31" s="396">
        <v>0</v>
      </c>
      <c r="L31" s="396">
        <v>0</v>
      </c>
      <c r="M31" s="414">
        <f>M30+K31-L31</f>
        <v>0</v>
      </c>
      <c r="N31" s="19"/>
    </row>
    <row r="32" spans="1:16">
      <c r="A32" s="28">
        <v>29</v>
      </c>
      <c r="B32" s="395">
        <v>45806</v>
      </c>
      <c r="C32" s="396" t="s">
        <v>98</v>
      </c>
      <c r="D32" s="396" t="s">
        <v>98</v>
      </c>
      <c r="E32" s="396">
        <v>0</v>
      </c>
      <c r="F32" s="396">
        <v>0</v>
      </c>
      <c r="G32" s="396">
        <v>0</v>
      </c>
      <c r="H32" s="396" t="s">
        <v>98</v>
      </c>
      <c r="I32" s="396" t="s">
        <v>98</v>
      </c>
      <c r="J32" s="396">
        <v>0</v>
      </c>
      <c r="K32" s="396">
        <v>0</v>
      </c>
      <c r="L32" s="396" t="s">
        <v>98</v>
      </c>
      <c r="M32" s="405" t="s">
        <v>98</v>
      </c>
      <c r="N32" s="19"/>
    </row>
    <row r="33" spans="1:15">
      <c r="A33" s="28">
        <v>30</v>
      </c>
      <c r="B33" s="395">
        <v>45807</v>
      </c>
      <c r="C33" s="396" t="s">
        <v>98</v>
      </c>
      <c r="D33" s="396" t="s">
        <v>98</v>
      </c>
      <c r="E33" s="396">
        <v>0</v>
      </c>
      <c r="F33" s="396">
        <v>0</v>
      </c>
      <c r="G33" s="396">
        <v>0</v>
      </c>
      <c r="H33" s="396" t="s">
        <v>98</v>
      </c>
      <c r="I33" s="396" t="s">
        <v>98</v>
      </c>
      <c r="J33" s="396">
        <v>0</v>
      </c>
      <c r="K33" s="396">
        <v>0</v>
      </c>
      <c r="L33" s="396" t="s">
        <v>98</v>
      </c>
      <c r="M33" s="396" t="s">
        <v>98</v>
      </c>
      <c r="N33" s="19"/>
    </row>
    <row r="34" spans="1:15">
      <c r="A34" s="28">
        <v>31</v>
      </c>
      <c r="B34" s="395">
        <v>45808</v>
      </c>
      <c r="C34" s="396" t="s">
        <v>98</v>
      </c>
      <c r="D34" s="396" t="s">
        <v>98</v>
      </c>
      <c r="E34" s="396">
        <v>0</v>
      </c>
      <c r="F34" s="396">
        <v>0</v>
      </c>
      <c r="G34" s="396">
        <v>0</v>
      </c>
      <c r="H34" s="396" t="s">
        <v>98</v>
      </c>
      <c r="I34" s="396" t="s">
        <v>98</v>
      </c>
      <c r="J34" s="396">
        <v>0</v>
      </c>
      <c r="K34" s="396">
        <v>0</v>
      </c>
      <c r="L34" s="396" t="s">
        <v>98</v>
      </c>
      <c r="M34" s="396" t="s">
        <v>98</v>
      </c>
      <c r="N34" s="19"/>
    </row>
    <row r="35" spans="1:15">
      <c r="A35" s="51"/>
      <c r="B35" s="51"/>
      <c r="C35" s="51"/>
      <c r="D35" s="51"/>
      <c r="E35" s="232">
        <f>SUM(E4:E34)</f>
        <v>4040</v>
      </c>
      <c r="F35" s="52"/>
      <c r="G35" s="232">
        <f>SUM(G4:G34)</f>
        <v>389092.4</v>
      </c>
      <c r="H35" s="232">
        <f>SUM(H4:H34)</f>
        <v>0</v>
      </c>
      <c r="I35" s="52"/>
      <c r="J35" s="232">
        <f>SUM(J4:J34)</f>
        <v>0</v>
      </c>
      <c r="K35" s="232">
        <f>SUM(K4:K34)</f>
        <v>389092.4</v>
      </c>
      <c r="L35" s="232">
        <f>SUM(L4:L34)</f>
        <v>389092.4</v>
      </c>
      <c r="M35" s="52"/>
      <c r="N35" s="52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workbookViewId="0">
      <selection activeCell="J39" sqref="J39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2" width="11.85546875" bestFit="1" customWidth="1"/>
    <col min="13" max="13" width="13.5703125" bestFit="1" customWidth="1"/>
  </cols>
  <sheetData>
    <row r="1" spans="1:18" ht="15.75">
      <c r="A1" s="442" t="s">
        <v>24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18" ht="27">
      <c r="A2" s="118" t="s">
        <v>99</v>
      </c>
      <c r="B2" s="123" t="s">
        <v>100</v>
      </c>
      <c r="C2" s="123" t="s">
        <v>101</v>
      </c>
      <c r="D2" s="123" t="s">
        <v>102</v>
      </c>
      <c r="E2" s="231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23" t="s">
        <v>107</v>
      </c>
      <c r="L2" s="123" t="s">
        <v>108</v>
      </c>
      <c r="M2" s="123" t="s">
        <v>115</v>
      </c>
      <c r="N2" s="123" t="s">
        <v>110</v>
      </c>
    </row>
    <row r="3" spans="1:18">
      <c r="A3" s="443" t="s">
        <v>111</v>
      </c>
      <c r="B3" s="443"/>
      <c r="C3" s="443"/>
      <c r="D3" s="443"/>
      <c r="E3" s="443"/>
      <c r="F3" s="443"/>
      <c r="G3" s="443"/>
      <c r="H3" s="443"/>
      <c r="I3" s="443"/>
      <c r="J3" s="443"/>
      <c r="K3" s="263">
        <v>0</v>
      </c>
      <c r="L3" s="263"/>
      <c r="M3" s="264">
        <f>+K3</f>
        <v>0</v>
      </c>
      <c r="N3" s="109"/>
    </row>
    <row r="4" spans="1:18">
      <c r="A4" s="28">
        <v>1</v>
      </c>
      <c r="B4" s="29">
        <v>45778</v>
      </c>
      <c r="C4" s="19"/>
      <c r="D4" s="19"/>
      <c r="E4" s="19"/>
      <c r="F4" s="19"/>
      <c r="G4" s="19">
        <f>E4*F4</f>
        <v>0</v>
      </c>
      <c r="H4" s="19"/>
      <c r="I4" s="19"/>
      <c r="J4" s="19">
        <f>H4*I4</f>
        <v>0</v>
      </c>
      <c r="K4" s="19">
        <f>G4+J4</f>
        <v>0</v>
      </c>
      <c r="L4" s="19"/>
      <c r="M4" s="153">
        <f>M3+K4-L4</f>
        <v>0</v>
      </c>
      <c r="N4" s="19"/>
      <c r="O4" s="24"/>
    </row>
    <row r="5" spans="1:18">
      <c r="A5" s="28">
        <v>2</v>
      </c>
      <c r="B5" s="29">
        <v>45779</v>
      </c>
      <c r="C5" s="19"/>
      <c r="D5" s="19"/>
      <c r="E5" s="19">
        <v>0</v>
      </c>
      <c r="F5" s="19">
        <v>0</v>
      </c>
      <c r="G5" s="19">
        <f t="shared" ref="G5:G34" si="0">E5*F5</f>
        <v>0</v>
      </c>
      <c r="H5" s="19"/>
      <c r="I5" s="19"/>
      <c r="J5" s="19">
        <f t="shared" ref="J5:J34" si="1">H5*I5</f>
        <v>0</v>
      </c>
      <c r="K5" s="19">
        <f t="shared" ref="K5:K34" si="2">G5+J5</f>
        <v>0</v>
      </c>
      <c r="L5" s="19"/>
      <c r="M5" s="153">
        <f t="shared" ref="M5:M34" si="3">M4+K5-L5</f>
        <v>0</v>
      </c>
      <c r="N5" s="19"/>
    </row>
    <row r="6" spans="1:18">
      <c r="A6" s="28">
        <v>3</v>
      </c>
      <c r="B6" s="29">
        <v>45780</v>
      </c>
      <c r="C6" s="19"/>
      <c r="D6" s="19"/>
      <c r="E6" s="19">
        <v>0</v>
      </c>
      <c r="F6" s="19">
        <v>0</v>
      </c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153">
        <f t="shared" si="3"/>
        <v>0</v>
      </c>
      <c r="N6" s="19"/>
      <c r="R6">
        <v>541.08000000000004</v>
      </c>
    </row>
    <row r="7" spans="1:18">
      <c r="A7" s="28">
        <v>4</v>
      </c>
      <c r="B7" s="29">
        <v>45781</v>
      </c>
      <c r="C7" s="19"/>
      <c r="D7" s="19"/>
      <c r="E7" s="19">
        <v>0</v>
      </c>
      <c r="F7" s="19">
        <v>0</v>
      </c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53">
        <f t="shared" si="3"/>
        <v>0</v>
      </c>
      <c r="N7" s="19"/>
    </row>
    <row r="8" spans="1:18">
      <c r="A8" s="28">
        <v>5</v>
      </c>
      <c r="B8" s="29">
        <v>45782</v>
      </c>
      <c r="C8" s="19"/>
      <c r="D8" s="19"/>
      <c r="E8" s="19">
        <v>0</v>
      </c>
      <c r="F8" s="19">
        <v>0</v>
      </c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53">
        <f t="shared" si="3"/>
        <v>0</v>
      </c>
      <c r="N8" s="19"/>
    </row>
    <row r="9" spans="1:18">
      <c r="A9" s="28">
        <v>6</v>
      </c>
      <c r="B9" s="29">
        <v>45783</v>
      </c>
      <c r="C9" s="19"/>
      <c r="D9" s="19"/>
      <c r="E9" s="19">
        <v>0</v>
      </c>
      <c r="F9" s="19">
        <v>0</v>
      </c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53">
        <f t="shared" si="3"/>
        <v>0</v>
      </c>
      <c r="N9" s="19"/>
    </row>
    <row r="10" spans="1:18">
      <c r="A10" s="28">
        <v>7</v>
      </c>
      <c r="B10" s="29">
        <v>45784</v>
      </c>
      <c r="C10" s="19"/>
      <c r="D10" s="19"/>
      <c r="E10" s="19">
        <v>0</v>
      </c>
      <c r="F10" s="19">
        <v>0</v>
      </c>
      <c r="G10" s="19">
        <f t="shared" si="0"/>
        <v>0</v>
      </c>
      <c r="H10" s="19"/>
      <c r="I10" s="19"/>
      <c r="J10" s="19">
        <f t="shared" si="1"/>
        <v>0</v>
      </c>
      <c r="K10" s="19">
        <f t="shared" si="2"/>
        <v>0</v>
      </c>
      <c r="L10" s="19"/>
      <c r="M10" s="153">
        <f t="shared" si="3"/>
        <v>0</v>
      </c>
      <c r="N10" s="19"/>
    </row>
    <row r="11" spans="1:18">
      <c r="A11" s="28">
        <v>8</v>
      </c>
      <c r="B11" s="29">
        <v>45785</v>
      </c>
      <c r="C11" s="19"/>
      <c r="D11" s="19"/>
      <c r="E11" s="19">
        <v>0</v>
      </c>
      <c r="F11" s="19">
        <v>0</v>
      </c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53">
        <f t="shared" si="3"/>
        <v>0</v>
      </c>
      <c r="N11" s="19"/>
    </row>
    <row r="12" spans="1:18">
      <c r="A12" s="28">
        <v>9</v>
      </c>
      <c r="B12" s="29">
        <v>45786</v>
      </c>
      <c r="C12" s="19"/>
      <c r="D12" s="19"/>
      <c r="E12" s="19">
        <v>0</v>
      </c>
      <c r="F12" s="19">
        <v>0</v>
      </c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53">
        <f t="shared" si="3"/>
        <v>0</v>
      </c>
      <c r="N12" s="19"/>
    </row>
    <row r="13" spans="1:18">
      <c r="A13" s="28">
        <v>10</v>
      </c>
      <c r="B13" s="29">
        <v>45787</v>
      </c>
      <c r="C13" s="19"/>
      <c r="D13" s="19"/>
      <c r="E13" s="19">
        <v>2400</v>
      </c>
      <c r="F13" s="19">
        <v>96.43</v>
      </c>
      <c r="G13" s="19">
        <f t="shared" si="0"/>
        <v>231432.00000000003</v>
      </c>
      <c r="H13" s="19"/>
      <c r="I13" s="19"/>
      <c r="J13" s="19">
        <f t="shared" si="1"/>
        <v>0</v>
      </c>
      <c r="K13" s="19">
        <f t="shared" si="2"/>
        <v>231432.00000000003</v>
      </c>
      <c r="L13" s="19"/>
      <c r="M13" s="153">
        <f t="shared" si="3"/>
        <v>231432.00000000003</v>
      </c>
      <c r="N13" s="19"/>
    </row>
    <row r="14" spans="1:18">
      <c r="A14" s="28">
        <v>11</v>
      </c>
      <c r="B14" s="29">
        <v>45788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/>
      <c r="I14" s="19"/>
      <c r="J14" s="19">
        <f t="shared" si="1"/>
        <v>0</v>
      </c>
      <c r="K14" s="19">
        <f t="shared" si="2"/>
        <v>0</v>
      </c>
      <c r="L14" s="19"/>
      <c r="M14" s="153">
        <f t="shared" si="3"/>
        <v>231432.00000000003</v>
      </c>
      <c r="N14" s="19"/>
    </row>
    <row r="15" spans="1:18">
      <c r="A15" s="28">
        <v>12</v>
      </c>
      <c r="B15" s="29">
        <v>45789</v>
      </c>
      <c r="C15" s="19"/>
      <c r="D15" s="19"/>
      <c r="E15" s="19">
        <v>2400</v>
      </c>
      <c r="F15" s="19">
        <v>96.43</v>
      </c>
      <c r="G15" s="19">
        <f t="shared" si="0"/>
        <v>231432.00000000003</v>
      </c>
      <c r="H15" s="19"/>
      <c r="I15" s="19"/>
      <c r="J15" s="19">
        <f t="shared" si="1"/>
        <v>0</v>
      </c>
      <c r="K15" s="19">
        <f t="shared" si="2"/>
        <v>231432.00000000003</v>
      </c>
      <c r="L15" s="19"/>
      <c r="M15" s="153">
        <f t="shared" si="3"/>
        <v>462864.00000000006</v>
      </c>
      <c r="N15" s="19"/>
    </row>
    <row r="16" spans="1:18">
      <c r="A16" s="28">
        <v>13</v>
      </c>
      <c r="B16" s="29">
        <v>45790</v>
      </c>
      <c r="C16" s="19"/>
      <c r="D16" s="19"/>
      <c r="E16" s="19">
        <v>2000</v>
      </c>
      <c r="F16" s="19">
        <v>96.43</v>
      </c>
      <c r="G16" s="19">
        <f t="shared" si="0"/>
        <v>192860</v>
      </c>
      <c r="H16" s="19"/>
      <c r="I16" s="19"/>
      <c r="J16" s="19">
        <f t="shared" si="1"/>
        <v>0</v>
      </c>
      <c r="K16" s="19">
        <f t="shared" si="2"/>
        <v>192860</v>
      </c>
      <c r="L16" s="19"/>
      <c r="M16" s="153">
        <f t="shared" si="3"/>
        <v>655724</v>
      </c>
      <c r="N16" s="19"/>
    </row>
    <row r="17" spans="1:16">
      <c r="A17" s="28">
        <v>14</v>
      </c>
      <c r="B17" s="29">
        <v>45791</v>
      </c>
      <c r="C17" s="19"/>
      <c r="D17" s="19"/>
      <c r="E17" s="19">
        <v>0</v>
      </c>
      <c r="F17" s="19">
        <v>0</v>
      </c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53">
        <f t="shared" si="3"/>
        <v>655724</v>
      </c>
      <c r="N17" s="19"/>
    </row>
    <row r="18" spans="1:16">
      <c r="A18" s="28">
        <v>15</v>
      </c>
      <c r="B18" s="29">
        <v>45792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/>
      <c r="I18" s="19"/>
      <c r="J18" s="19">
        <f t="shared" si="1"/>
        <v>0</v>
      </c>
      <c r="K18" s="19">
        <f t="shared" si="2"/>
        <v>0</v>
      </c>
      <c r="L18" s="19"/>
      <c r="M18" s="153">
        <f t="shared" si="3"/>
        <v>655724</v>
      </c>
      <c r="N18" s="19"/>
    </row>
    <row r="19" spans="1:16">
      <c r="A19" s="28">
        <v>16</v>
      </c>
      <c r="B19" s="29">
        <v>45793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/>
      <c r="I19" s="19"/>
      <c r="J19" s="19">
        <f t="shared" si="1"/>
        <v>0</v>
      </c>
      <c r="K19" s="19">
        <f t="shared" si="2"/>
        <v>0</v>
      </c>
      <c r="L19" s="19"/>
      <c r="M19" s="153">
        <f t="shared" si="3"/>
        <v>655724</v>
      </c>
      <c r="N19" s="19"/>
    </row>
    <row r="20" spans="1:16">
      <c r="A20" s="28">
        <v>17</v>
      </c>
      <c r="B20" s="29">
        <v>45794</v>
      </c>
      <c r="C20" s="19"/>
      <c r="D20" s="19"/>
      <c r="E20" s="19">
        <v>2400</v>
      </c>
      <c r="F20" s="19">
        <v>96.43</v>
      </c>
      <c r="G20" s="19">
        <f t="shared" si="0"/>
        <v>231432.00000000003</v>
      </c>
      <c r="H20" s="19"/>
      <c r="I20" s="19"/>
      <c r="J20" s="19">
        <f t="shared" si="1"/>
        <v>0</v>
      </c>
      <c r="K20" s="19">
        <f t="shared" si="2"/>
        <v>231432.00000000003</v>
      </c>
      <c r="L20" s="19"/>
      <c r="M20" s="153">
        <f t="shared" si="3"/>
        <v>887156</v>
      </c>
      <c r="N20" s="19"/>
    </row>
    <row r="21" spans="1:16">
      <c r="A21" s="28">
        <v>18</v>
      </c>
      <c r="B21" s="29">
        <v>45795</v>
      </c>
      <c r="C21" s="19"/>
      <c r="D21" s="19"/>
      <c r="E21" s="19">
        <v>0</v>
      </c>
      <c r="F21" s="19">
        <v>0</v>
      </c>
      <c r="G21" s="19">
        <f t="shared" si="0"/>
        <v>0</v>
      </c>
      <c r="H21" s="19"/>
      <c r="I21" s="19"/>
      <c r="J21" s="19">
        <f t="shared" si="1"/>
        <v>0</v>
      </c>
      <c r="K21" s="19">
        <f t="shared" si="2"/>
        <v>0</v>
      </c>
      <c r="L21" s="19"/>
      <c r="M21" s="153">
        <f t="shared" si="3"/>
        <v>887156</v>
      </c>
      <c r="N21" s="19"/>
    </row>
    <row r="22" spans="1:16">
      <c r="A22" s="28">
        <v>19</v>
      </c>
      <c r="B22" s="29">
        <v>45796</v>
      </c>
      <c r="C22" s="19"/>
      <c r="D22" s="19"/>
      <c r="E22" s="19">
        <v>0</v>
      </c>
      <c r="F22" s="19">
        <v>0</v>
      </c>
      <c r="G22" s="19">
        <f t="shared" si="0"/>
        <v>0</v>
      </c>
      <c r="H22" s="19"/>
      <c r="I22" s="19"/>
      <c r="J22" s="19">
        <f t="shared" si="1"/>
        <v>0</v>
      </c>
      <c r="K22" s="19">
        <f t="shared" si="2"/>
        <v>0</v>
      </c>
      <c r="L22" s="19"/>
      <c r="M22" s="153">
        <f t="shared" si="3"/>
        <v>887156</v>
      </c>
      <c r="N22" s="19"/>
    </row>
    <row r="23" spans="1:16">
      <c r="A23" s="28">
        <v>20</v>
      </c>
      <c r="B23" s="29">
        <v>45797</v>
      </c>
      <c r="C23" s="19"/>
      <c r="D23" s="19"/>
      <c r="E23" s="19">
        <v>2400</v>
      </c>
      <c r="F23" s="19">
        <v>96.43</v>
      </c>
      <c r="G23" s="19">
        <f t="shared" si="0"/>
        <v>231432.00000000003</v>
      </c>
      <c r="H23" s="19"/>
      <c r="I23" s="19"/>
      <c r="J23" s="19">
        <f t="shared" si="1"/>
        <v>0</v>
      </c>
      <c r="K23" s="19">
        <f t="shared" si="2"/>
        <v>231432.00000000003</v>
      </c>
      <c r="L23" s="19"/>
      <c r="M23" s="153">
        <f t="shared" si="3"/>
        <v>1118588</v>
      </c>
      <c r="N23" s="19"/>
    </row>
    <row r="24" spans="1:16">
      <c r="A24" s="28">
        <v>21</v>
      </c>
      <c r="B24" s="29">
        <v>45798</v>
      </c>
      <c r="C24" s="19"/>
      <c r="D24" s="19"/>
      <c r="E24" s="19">
        <v>0</v>
      </c>
      <c r="F24" s="19">
        <v>0</v>
      </c>
      <c r="G24" s="19">
        <f t="shared" si="0"/>
        <v>0</v>
      </c>
      <c r="H24" s="19"/>
      <c r="I24" s="19"/>
      <c r="J24" s="19">
        <f t="shared" si="1"/>
        <v>0</v>
      </c>
      <c r="K24" s="19">
        <f t="shared" si="2"/>
        <v>0</v>
      </c>
      <c r="L24" s="19"/>
      <c r="M24" s="153">
        <f t="shared" si="3"/>
        <v>1118588</v>
      </c>
      <c r="N24" s="19"/>
    </row>
    <row r="25" spans="1:16">
      <c r="A25" s="28">
        <v>22</v>
      </c>
      <c r="B25" s="29">
        <v>45799</v>
      </c>
      <c r="C25" s="19"/>
      <c r="D25" s="19"/>
      <c r="E25" s="19">
        <v>0</v>
      </c>
      <c r="F25" s="19">
        <v>0</v>
      </c>
      <c r="G25" s="19">
        <f t="shared" si="0"/>
        <v>0</v>
      </c>
      <c r="H25" s="19"/>
      <c r="I25" s="19"/>
      <c r="J25" s="19">
        <f t="shared" si="1"/>
        <v>0</v>
      </c>
      <c r="K25" s="19">
        <f t="shared" si="2"/>
        <v>0</v>
      </c>
      <c r="L25" s="19"/>
      <c r="M25" s="153">
        <f t="shared" si="3"/>
        <v>1118588</v>
      </c>
      <c r="N25" s="19"/>
    </row>
    <row r="26" spans="1:16">
      <c r="A26" s="28">
        <v>23</v>
      </c>
      <c r="B26" s="29">
        <v>45800</v>
      </c>
      <c r="C26" s="19"/>
      <c r="D26" s="19"/>
      <c r="E26" s="19">
        <v>2400</v>
      </c>
      <c r="F26" s="19">
        <v>96.43</v>
      </c>
      <c r="G26" s="19">
        <f t="shared" si="0"/>
        <v>231432.00000000003</v>
      </c>
      <c r="H26" s="19"/>
      <c r="I26" s="19"/>
      <c r="J26" s="19">
        <f t="shared" si="1"/>
        <v>0</v>
      </c>
      <c r="K26" s="19">
        <f t="shared" si="2"/>
        <v>231432.00000000003</v>
      </c>
      <c r="L26" s="19"/>
      <c r="M26" s="153">
        <f t="shared" si="3"/>
        <v>1350020</v>
      </c>
      <c r="N26" s="19"/>
    </row>
    <row r="27" spans="1:16">
      <c r="A27" s="28">
        <v>24</v>
      </c>
      <c r="B27" s="29">
        <v>45801</v>
      </c>
      <c r="C27" s="19"/>
      <c r="D27" s="19"/>
      <c r="E27" s="19">
        <v>0</v>
      </c>
      <c r="F27" s="19">
        <v>0</v>
      </c>
      <c r="G27" s="19">
        <f t="shared" si="0"/>
        <v>0</v>
      </c>
      <c r="H27" s="19"/>
      <c r="I27" s="19"/>
      <c r="J27" s="19">
        <f t="shared" si="1"/>
        <v>0</v>
      </c>
      <c r="K27" s="19">
        <f t="shared" si="2"/>
        <v>0</v>
      </c>
      <c r="L27" s="19"/>
      <c r="M27" s="153">
        <f t="shared" si="3"/>
        <v>1350020</v>
      </c>
      <c r="N27" s="19"/>
    </row>
    <row r="28" spans="1:16">
      <c r="A28" s="28">
        <v>25</v>
      </c>
      <c r="B28" s="29">
        <v>45802</v>
      </c>
      <c r="C28" s="19"/>
      <c r="D28" s="19"/>
      <c r="E28" s="19">
        <v>0</v>
      </c>
      <c r="F28" s="19">
        <v>0</v>
      </c>
      <c r="G28" s="19">
        <f t="shared" si="0"/>
        <v>0</v>
      </c>
      <c r="H28" s="19"/>
      <c r="I28" s="19"/>
      <c r="J28" s="19">
        <f t="shared" si="1"/>
        <v>0</v>
      </c>
      <c r="K28" s="19">
        <f t="shared" si="2"/>
        <v>0</v>
      </c>
      <c r="L28" s="19"/>
      <c r="M28" s="153">
        <f t="shared" si="3"/>
        <v>1350020</v>
      </c>
      <c r="N28" s="19"/>
    </row>
    <row r="29" spans="1:16">
      <c r="A29" s="28">
        <v>26</v>
      </c>
      <c r="B29" s="29">
        <v>45803</v>
      </c>
      <c r="C29" s="19"/>
      <c r="D29" s="19"/>
      <c r="E29" s="19">
        <v>2200</v>
      </c>
      <c r="F29" s="19">
        <v>96.43</v>
      </c>
      <c r="G29" s="19">
        <f t="shared" si="0"/>
        <v>212146.00000000003</v>
      </c>
      <c r="H29" s="19"/>
      <c r="I29" s="19"/>
      <c r="J29" s="19">
        <f t="shared" si="1"/>
        <v>0</v>
      </c>
      <c r="K29" s="19">
        <f t="shared" si="2"/>
        <v>212146.00000000003</v>
      </c>
      <c r="L29" s="19"/>
      <c r="M29" s="153">
        <f t="shared" si="3"/>
        <v>1562166</v>
      </c>
      <c r="N29" s="19"/>
    </row>
    <row r="30" spans="1:16">
      <c r="A30" s="28">
        <v>27</v>
      </c>
      <c r="B30" s="29">
        <v>45804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/>
      <c r="I30" s="19"/>
      <c r="J30" s="19">
        <f t="shared" si="1"/>
        <v>0</v>
      </c>
      <c r="K30" s="19">
        <f t="shared" si="2"/>
        <v>0</v>
      </c>
      <c r="L30" s="19">
        <v>500000</v>
      </c>
      <c r="M30" s="153">
        <f t="shared" si="3"/>
        <v>1062166</v>
      </c>
      <c r="N30" s="19"/>
      <c r="P30">
        <f>2939612.08-2939070.93</f>
        <v>541.14999999990687</v>
      </c>
    </row>
    <row r="31" spans="1:16">
      <c r="A31" s="28">
        <v>28</v>
      </c>
      <c r="B31" s="29">
        <v>45805</v>
      </c>
      <c r="C31" s="19"/>
      <c r="D31" s="19"/>
      <c r="E31" s="19">
        <v>0</v>
      </c>
      <c r="F31" s="19">
        <v>0</v>
      </c>
      <c r="G31" s="19">
        <f t="shared" si="0"/>
        <v>0</v>
      </c>
      <c r="H31" s="19"/>
      <c r="I31" s="19"/>
      <c r="J31" s="19">
        <f t="shared" si="1"/>
        <v>0</v>
      </c>
      <c r="K31" s="19">
        <f t="shared" si="2"/>
        <v>0</v>
      </c>
      <c r="L31" s="19">
        <v>0</v>
      </c>
      <c r="M31" s="153">
        <f t="shared" si="3"/>
        <v>1062166</v>
      </c>
      <c r="N31" s="19"/>
    </row>
    <row r="32" spans="1:16">
      <c r="A32" s="28">
        <v>29</v>
      </c>
      <c r="B32" s="29">
        <v>45806</v>
      </c>
      <c r="C32" s="19"/>
      <c r="D32" s="19"/>
      <c r="E32" s="19">
        <v>2400</v>
      </c>
      <c r="F32" s="19">
        <v>96.43</v>
      </c>
      <c r="G32" s="19">
        <f t="shared" si="0"/>
        <v>231432.00000000003</v>
      </c>
      <c r="H32" s="19"/>
      <c r="I32" s="19"/>
      <c r="J32" s="19">
        <f t="shared" si="1"/>
        <v>0</v>
      </c>
      <c r="K32" s="19">
        <f t="shared" si="2"/>
        <v>231432.00000000003</v>
      </c>
      <c r="L32" s="19"/>
      <c r="M32" s="153">
        <f t="shared" si="3"/>
        <v>1293598</v>
      </c>
      <c r="N32" s="19"/>
    </row>
    <row r="33" spans="1:15">
      <c r="A33" s="28">
        <v>30</v>
      </c>
      <c r="B33" s="29">
        <v>45807</v>
      </c>
      <c r="C33" s="19"/>
      <c r="D33" s="19"/>
      <c r="E33" s="19">
        <v>0</v>
      </c>
      <c r="F33" s="19">
        <v>0</v>
      </c>
      <c r="G33" s="19">
        <f t="shared" si="0"/>
        <v>0</v>
      </c>
      <c r="H33" s="19"/>
      <c r="I33" s="19"/>
      <c r="J33" s="19">
        <f t="shared" si="1"/>
        <v>0</v>
      </c>
      <c r="K33" s="19">
        <f t="shared" si="2"/>
        <v>0</v>
      </c>
      <c r="L33" s="19">
        <v>1293600</v>
      </c>
      <c r="M33" s="153">
        <f t="shared" si="3"/>
        <v>-2</v>
      </c>
      <c r="N33" s="19"/>
    </row>
    <row r="34" spans="1:15">
      <c r="A34" s="28">
        <v>31</v>
      </c>
      <c r="B34" s="29"/>
      <c r="C34" s="19"/>
      <c r="D34" s="19"/>
      <c r="E34" s="19">
        <v>0</v>
      </c>
      <c r="F34" s="19">
        <v>0</v>
      </c>
      <c r="G34" s="19">
        <f t="shared" si="0"/>
        <v>0</v>
      </c>
      <c r="H34" s="19"/>
      <c r="I34" s="19"/>
      <c r="J34" s="19">
        <f t="shared" si="1"/>
        <v>0</v>
      </c>
      <c r="K34" s="19">
        <f t="shared" si="2"/>
        <v>0</v>
      </c>
      <c r="L34" s="19">
        <v>-2</v>
      </c>
      <c r="M34" s="153">
        <f t="shared" si="3"/>
        <v>0</v>
      </c>
      <c r="N34" s="19"/>
    </row>
    <row r="35" spans="1:15">
      <c r="A35" s="51"/>
      <c r="B35" s="51"/>
      <c r="C35" s="51"/>
      <c r="D35" s="51"/>
      <c r="E35" s="232">
        <f>SUM(E4:E34)</f>
        <v>18600</v>
      </c>
      <c r="F35" s="52"/>
      <c r="G35" s="232">
        <f>SUM(G4:G34)</f>
        <v>1793598</v>
      </c>
      <c r="H35" s="232">
        <f>SUM(H4:H34)</f>
        <v>0</v>
      </c>
      <c r="I35" s="52"/>
      <c r="J35" s="232">
        <f>SUM(J4:J34)</f>
        <v>0</v>
      </c>
      <c r="K35" s="232">
        <f>SUM(K4:K34)</f>
        <v>1793598</v>
      </c>
      <c r="L35" s="232">
        <f>SUM(L4:L34)</f>
        <v>1793598</v>
      </c>
      <c r="M35" s="52"/>
      <c r="N35" s="52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P47"/>
  <sheetViews>
    <sheetView topLeftCell="A12" workbookViewId="0">
      <selection activeCell="O42" sqref="O42"/>
    </sheetView>
  </sheetViews>
  <sheetFormatPr defaultColWidth="10.5703125" defaultRowHeight="15" customHeight="1"/>
  <cols>
    <col min="3" max="3" width="12.85546875" customWidth="1"/>
    <col min="4" max="4" width="39.85546875" bestFit="1" customWidth="1"/>
    <col min="5" max="6" width="10.5703125" style="24"/>
    <col min="7" max="7" width="12.85546875" style="24" customWidth="1"/>
    <col min="8" max="9" width="10.5703125" style="24"/>
    <col min="10" max="10" width="13.85546875" style="24" customWidth="1"/>
    <col min="11" max="11" width="13.5703125" style="24" customWidth="1"/>
    <col min="12" max="12" width="16.140625" style="24" customWidth="1"/>
    <col min="13" max="13" width="17.42578125" style="24" customWidth="1"/>
  </cols>
  <sheetData>
    <row r="1" spans="1:16" ht="15" customHeight="1">
      <c r="A1" s="442" t="s">
        <v>116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279"/>
    </row>
    <row r="2" spans="1:16" ht="26.25" customHeight="1">
      <c r="A2" s="118" t="s">
        <v>99</v>
      </c>
      <c r="B2" s="123" t="s">
        <v>100</v>
      </c>
      <c r="C2" s="123" t="s">
        <v>101</v>
      </c>
      <c r="D2" s="123" t="s">
        <v>102</v>
      </c>
      <c r="E2" s="289" t="s">
        <v>103</v>
      </c>
      <c r="F2" s="281" t="s">
        <v>104</v>
      </c>
      <c r="G2" s="281" t="s">
        <v>105</v>
      </c>
      <c r="H2" s="281" t="s">
        <v>106</v>
      </c>
      <c r="I2" s="281" t="s">
        <v>104</v>
      </c>
      <c r="J2" s="281" t="s">
        <v>105</v>
      </c>
      <c r="K2" s="281" t="s">
        <v>107</v>
      </c>
      <c r="L2" s="281" t="s">
        <v>108</v>
      </c>
      <c r="M2" s="281" t="s">
        <v>115</v>
      </c>
      <c r="N2" s="123" t="s">
        <v>110</v>
      </c>
    </row>
    <row r="3" spans="1:16" ht="15" customHeight="1">
      <c r="A3" s="443" t="s">
        <v>111</v>
      </c>
      <c r="B3" s="443"/>
      <c r="C3" s="443"/>
      <c r="D3" s="443"/>
      <c r="E3" s="443"/>
      <c r="F3" s="443"/>
      <c r="G3" s="443"/>
      <c r="H3" s="443"/>
      <c r="I3" s="443"/>
      <c r="J3" s="443"/>
      <c r="K3" s="282">
        <v>1004531.9846000002</v>
      </c>
      <c r="L3" s="282"/>
      <c r="M3" s="258">
        <f>+K3</f>
        <v>1004531.9846000002</v>
      </c>
      <c r="N3" s="109"/>
    </row>
    <row r="4" spans="1:16">
      <c r="A4" s="28">
        <v>1</v>
      </c>
      <c r="B4" s="29">
        <v>45778</v>
      </c>
      <c r="C4" s="19"/>
      <c r="D4" s="19"/>
      <c r="E4" s="46">
        <v>200</v>
      </c>
      <c r="F4" s="46">
        <v>96.36</v>
      </c>
      <c r="G4" s="46">
        <f>E4*F4</f>
        <v>19272</v>
      </c>
      <c r="H4" s="46">
        <v>10</v>
      </c>
      <c r="I4" s="46">
        <v>108.17</v>
      </c>
      <c r="J4" s="46">
        <f>H4*I4</f>
        <v>1081.7</v>
      </c>
      <c r="K4" s="46">
        <f>G4+J4</f>
        <v>20353.7</v>
      </c>
      <c r="L4" s="46"/>
      <c r="M4" s="46">
        <f>M3+K4-L4</f>
        <v>1024885.6846000002</v>
      </c>
      <c r="N4" s="19"/>
      <c r="P4" s="24"/>
    </row>
    <row r="5" spans="1:16">
      <c r="A5" s="28">
        <v>2</v>
      </c>
      <c r="B5" s="29">
        <v>45779</v>
      </c>
      <c r="C5" s="19"/>
      <c r="D5" s="19"/>
      <c r="E5" s="46">
        <v>1787.9</v>
      </c>
      <c r="F5" s="46">
        <v>96.36</v>
      </c>
      <c r="G5" s="46">
        <f>E5*F5</f>
        <v>172282.04399999999</v>
      </c>
      <c r="H5" s="46">
        <v>5</v>
      </c>
      <c r="I5" s="46">
        <v>108.17</v>
      </c>
      <c r="J5" s="46">
        <f t="shared" ref="J5:J37" si="0">H5*I5</f>
        <v>540.85</v>
      </c>
      <c r="K5" s="46">
        <f t="shared" ref="K5:L37" si="1">G5+J5</f>
        <v>172822.894</v>
      </c>
      <c r="L5" s="46"/>
      <c r="M5" s="46">
        <f t="shared" ref="M5:M19" si="2">M4+K5-L5</f>
        <v>1197708.5786000001</v>
      </c>
      <c r="N5" s="19"/>
    </row>
    <row r="6" spans="1:16">
      <c r="A6" s="28">
        <v>3</v>
      </c>
      <c r="B6" s="29">
        <v>45780</v>
      </c>
      <c r="C6" s="19"/>
      <c r="D6" s="19"/>
      <c r="E6" s="46">
        <v>340</v>
      </c>
      <c r="F6" s="46">
        <v>96.36</v>
      </c>
      <c r="G6" s="46">
        <f>E6*F6</f>
        <v>32762.400000000001</v>
      </c>
      <c r="H6" s="46">
        <v>0</v>
      </c>
      <c r="I6" s="46">
        <v>0</v>
      </c>
      <c r="J6" s="46">
        <f t="shared" si="0"/>
        <v>0</v>
      </c>
      <c r="K6" s="46">
        <f t="shared" si="1"/>
        <v>32762.400000000001</v>
      </c>
      <c r="L6" s="46"/>
      <c r="M6" s="46">
        <f t="shared" si="2"/>
        <v>1230470.9786</v>
      </c>
      <c r="N6" s="19"/>
    </row>
    <row r="7" spans="1:16">
      <c r="A7" s="28">
        <v>4</v>
      </c>
      <c r="B7" s="29">
        <v>45781</v>
      </c>
      <c r="C7" s="19"/>
      <c r="D7" s="19"/>
      <c r="E7" s="46">
        <v>1001.23</v>
      </c>
      <c r="F7" s="46">
        <v>96.36</v>
      </c>
      <c r="G7" s="46">
        <f>E7*F7</f>
        <v>96478.522800000006</v>
      </c>
      <c r="H7" s="46">
        <v>2</v>
      </c>
      <c r="I7" s="46">
        <v>108.17</v>
      </c>
      <c r="J7" s="46">
        <f t="shared" si="0"/>
        <v>216.34</v>
      </c>
      <c r="K7" s="46">
        <f t="shared" si="1"/>
        <v>96694.862800000003</v>
      </c>
      <c r="L7" s="46"/>
      <c r="M7" s="46">
        <f t="shared" si="2"/>
        <v>1327165.8414</v>
      </c>
      <c r="N7" s="19"/>
    </row>
    <row r="8" spans="1:16">
      <c r="A8" s="28">
        <v>5</v>
      </c>
      <c r="B8" s="29">
        <v>45782</v>
      </c>
      <c r="C8" s="19"/>
      <c r="D8" s="19"/>
      <c r="E8" s="46">
        <v>586.83000000000004</v>
      </c>
      <c r="F8" s="46">
        <v>96.36</v>
      </c>
      <c r="G8" s="46">
        <f>E8*F8</f>
        <v>56546.938800000004</v>
      </c>
      <c r="H8" s="46">
        <v>10</v>
      </c>
      <c r="I8" s="46">
        <v>108.17</v>
      </c>
      <c r="J8" s="46">
        <f t="shared" si="0"/>
        <v>1081.7</v>
      </c>
      <c r="K8" s="46">
        <f t="shared" si="1"/>
        <v>57628.638800000001</v>
      </c>
      <c r="L8" s="46"/>
      <c r="M8" s="46">
        <f t="shared" si="2"/>
        <v>1384794.4802000001</v>
      </c>
      <c r="N8" s="19"/>
    </row>
    <row r="9" spans="1:16">
      <c r="A9" s="28">
        <v>6</v>
      </c>
      <c r="B9" s="29">
        <v>45783</v>
      </c>
      <c r="C9" s="19"/>
      <c r="D9" s="19"/>
      <c r="E9" s="46">
        <v>0</v>
      </c>
      <c r="F9" s="46">
        <v>0</v>
      </c>
      <c r="G9" s="46">
        <f t="shared" ref="G9:G30" si="3">E9*F9</f>
        <v>0</v>
      </c>
      <c r="H9" s="46">
        <v>0</v>
      </c>
      <c r="I9" s="46">
        <v>0</v>
      </c>
      <c r="J9" s="46">
        <f t="shared" si="0"/>
        <v>0</v>
      </c>
      <c r="K9" s="46">
        <f t="shared" si="1"/>
        <v>0</v>
      </c>
      <c r="L9" s="46"/>
      <c r="M9" s="46">
        <f t="shared" si="2"/>
        <v>1384794.4802000001</v>
      </c>
      <c r="N9" s="19"/>
    </row>
    <row r="10" spans="1:16">
      <c r="A10" s="28">
        <v>7</v>
      </c>
      <c r="B10" s="29">
        <v>45784</v>
      </c>
      <c r="C10" s="19"/>
      <c r="D10" s="19"/>
      <c r="E10" s="46">
        <v>0</v>
      </c>
      <c r="F10" s="46">
        <v>0</v>
      </c>
      <c r="G10" s="46">
        <f t="shared" si="3"/>
        <v>0</v>
      </c>
      <c r="H10" s="46">
        <v>0</v>
      </c>
      <c r="I10" s="46">
        <v>0</v>
      </c>
      <c r="J10" s="46">
        <f t="shared" si="0"/>
        <v>0</v>
      </c>
      <c r="K10" s="46">
        <f t="shared" si="1"/>
        <v>0</v>
      </c>
      <c r="L10" s="46"/>
      <c r="M10" s="46">
        <f t="shared" si="2"/>
        <v>1384794.4802000001</v>
      </c>
      <c r="N10" s="19"/>
    </row>
    <row r="11" spans="1:16">
      <c r="A11" s="28">
        <v>8</v>
      </c>
      <c r="B11" s="29">
        <v>45785</v>
      </c>
      <c r="C11" s="19"/>
      <c r="D11" s="19"/>
      <c r="E11" s="46">
        <v>100</v>
      </c>
      <c r="F11" s="46">
        <v>96.36</v>
      </c>
      <c r="G11" s="46">
        <f t="shared" si="3"/>
        <v>9636</v>
      </c>
      <c r="H11" s="46">
        <v>19</v>
      </c>
      <c r="I11" s="46">
        <v>108.17</v>
      </c>
      <c r="J11" s="46">
        <f t="shared" si="0"/>
        <v>2055.23</v>
      </c>
      <c r="K11" s="46">
        <f t="shared" si="1"/>
        <v>11691.23</v>
      </c>
      <c r="L11" s="46">
        <v>11691.23</v>
      </c>
      <c r="M11" s="46">
        <f t="shared" si="2"/>
        <v>1384794.4802000001</v>
      </c>
      <c r="N11" s="19"/>
      <c r="P11" s="24"/>
    </row>
    <row r="12" spans="1:16">
      <c r="A12" s="28">
        <v>9</v>
      </c>
      <c r="B12" s="29">
        <v>45786</v>
      </c>
      <c r="C12" s="19"/>
      <c r="D12" s="19"/>
      <c r="E12" s="46">
        <v>170</v>
      </c>
      <c r="F12" s="46">
        <v>96.36</v>
      </c>
      <c r="G12" s="46">
        <f t="shared" si="3"/>
        <v>16381.2</v>
      </c>
      <c r="H12" s="46">
        <v>0</v>
      </c>
      <c r="I12" s="46">
        <v>0</v>
      </c>
      <c r="J12" s="46">
        <f t="shared" si="0"/>
        <v>0</v>
      </c>
      <c r="K12" s="46">
        <f t="shared" si="1"/>
        <v>16381.2</v>
      </c>
      <c r="L12" s="46">
        <v>16381.2</v>
      </c>
      <c r="M12" s="46">
        <f t="shared" si="2"/>
        <v>1384794.4802000001</v>
      </c>
      <c r="N12" s="19"/>
    </row>
    <row r="13" spans="1:16">
      <c r="A13" s="28">
        <v>10</v>
      </c>
      <c r="B13" s="29">
        <v>45787</v>
      </c>
      <c r="C13" s="19"/>
      <c r="D13" s="19"/>
      <c r="E13" s="46">
        <v>170</v>
      </c>
      <c r="F13" s="46">
        <v>96.36</v>
      </c>
      <c r="G13" s="46">
        <f t="shared" si="3"/>
        <v>16381.2</v>
      </c>
      <c r="H13" s="46">
        <v>0</v>
      </c>
      <c r="I13" s="46">
        <v>0</v>
      </c>
      <c r="J13" s="46">
        <f t="shared" si="0"/>
        <v>0</v>
      </c>
      <c r="K13" s="46">
        <f t="shared" si="1"/>
        <v>16381.2</v>
      </c>
      <c r="L13" s="46">
        <v>16381.2</v>
      </c>
      <c r="M13" s="46">
        <f t="shared" si="2"/>
        <v>1384794.4802000001</v>
      </c>
      <c r="N13" s="19"/>
    </row>
    <row r="14" spans="1:16">
      <c r="A14" s="28">
        <v>11</v>
      </c>
      <c r="B14" s="29">
        <v>45788</v>
      </c>
      <c r="C14" s="19"/>
      <c r="D14" s="19"/>
      <c r="E14" s="46">
        <v>0</v>
      </c>
      <c r="F14" s="46">
        <v>0</v>
      </c>
      <c r="G14" s="46">
        <f t="shared" si="3"/>
        <v>0</v>
      </c>
      <c r="H14" s="46">
        <v>0</v>
      </c>
      <c r="I14" s="46">
        <v>0</v>
      </c>
      <c r="J14" s="46">
        <f t="shared" si="0"/>
        <v>0</v>
      </c>
      <c r="K14" s="46">
        <f t="shared" si="1"/>
        <v>0</v>
      </c>
      <c r="L14" s="46"/>
      <c r="M14" s="46">
        <f t="shared" si="2"/>
        <v>1384794.4802000001</v>
      </c>
      <c r="N14" s="19"/>
    </row>
    <row r="15" spans="1:16">
      <c r="A15" s="28">
        <v>12</v>
      </c>
      <c r="B15" s="29">
        <v>45789</v>
      </c>
      <c r="C15" s="19"/>
      <c r="D15" s="19"/>
      <c r="E15" s="46">
        <v>0</v>
      </c>
      <c r="F15" s="46">
        <v>0</v>
      </c>
      <c r="G15" s="46">
        <f t="shared" si="3"/>
        <v>0</v>
      </c>
      <c r="H15" s="46">
        <v>16</v>
      </c>
      <c r="I15" s="46">
        <v>108.17</v>
      </c>
      <c r="J15" s="46">
        <f t="shared" si="0"/>
        <v>1730.72</v>
      </c>
      <c r="K15" s="46">
        <f t="shared" si="1"/>
        <v>1730.72</v>
      </c>
      <c r="L15" s="46">
        <v>1730.72</v>
      </c>
      <c r="M15" s="46">
        <f>M14+K15-L15</f>
        <v>1384794.4802000001</v>
      </c>
      <c r="N15" s="19"/>
    </row>
    <row r="16" spans="1:16">
      <c r="A16" s="28">
        <v>13</v>
      </c>
      <c r="B16" s="29">
        <v>45790</v>
      </c>
      <c r="C16" s="19"/>
      <c r="D16" s="19"/>
      <c r="E16" s="46">
        <v>100</v>
      </c>
      <c r="F16" s="46">
        <v>96.36</v>
      </c>
      <c r="G16" s="46">
        <f t="shared" si="3"/>
        <v>9636</v>
      </c>
      <c r="H16" s="46">
        <v>0</v>
      </c>
      <c r="I16" s="46">
        <v>0</v>
      </c>
      <c r="J16" s="46">
        <f t="shared" si="0"/>
        <v>0</v>
      </c>
      <c r="K16" s="46">
        <f t="shared" si="1"/>
        <v>9636</v>
      </c>
      <c r="L16" s="46">
        <v>9636</v>
      </c>
      <c r="M16" s="46">
        <f t="shared" si="2"/>
        <v>1384794.4802000001</v>
      </c>
      <c r="N16" s="19"/>
    </row>
    <row r="17" spans="1:14">
      <c r="A17" s="28">
        <v>14</v>
      </c>
      <c r="B17" s="29">
        <v>45791</v>
      </c>
      <c r="C17" s="19"/>
      <c r="D17" s="19"/>
      <c r="E17" s="46">
        <v>20</v>
      </c>
      <c r="F17" s="46">
        <v>96.36</v>
      </c>
      <c r="G17" s="46">
        <f t="shared" si="3"/>
        <v>1927.2</v>
      </c>
      <c r="H17" s="46">
        <v>0</v>
      </c>
      <c r="I17" s="46">
        <v>0</v>
      </c>
      <c r="J17" s="46">
        <f t="shared" si="0"/>
        <v>0</v>
      </c>
      <c r="K17" s="46">
        <f t="shared" si="1"/>
        <v>1927.2</v>
      </c>
      <c r="L17" s="46">
        <f t="shared" si="1"/>
        <v>1927.2</v>
      </c>
      <c r="M17" s="46">
        <f t="shared" si="2"/>
        <v>1384794.4802000001</v>
      </c>
      <c r="N17" s="19"/>
    </row>
    <row r="18" spans="1:14">
      <c r="A18" s="28">
        <v>15</v>
      </c>
      <c r="B18" s="29">
        <v>45792</v>
      </c>
      <c r="C18" s="19"/>
      <c r="D18" s="19"/>
      <c r="E18" s="46">
        <v>50</v>
      </c>
      <c r="F18" s="46">
        <v>96.36</v>
      </c>
      <c r="G18" s="46">
        <f t="shared" si="3"/>
        <v>4818</v>
      </c>
      <c r="H18" s="46">
        <v>0</v>
      </c>
      <c r="I18" s="46">
        <v>0</v>
      </c>
      <c r="J18" s="46">
        <f t="shared" si="0"/>
        <v>0</v>
      </c>
      <c r="K18" s="46">
        <f t="shared" si="1"/>
        <v>4818</v>
      </c>
      <c r="L18" s="46">
        <v>4818</v>
      </c>
      <c r="M18" s="46">
        <f t="shared" si="2"/>
        <v>1384794.4802000001</v>
      </c>
      <c r="N18" s="19"/>
    </row>
    <row r="19" spans="1:14">
      <c r="A19" s="28">
        <v>16</v>
      </c>
      <c r="B19" s="29">
        <v>45793</v>
      </c>
      <c r="C19" s="19"/>
      <c r="D19" s="19"/>
      <c r="E19" s="46">
        <v>30</v>
      </c>
      <c r="F19" s="46">
        <v>96.36</v>
      </c>
      <c r="G19" s="46">
        <f t="shared" si="3"/>
        <v>2890.8</v>
      </c>
      <c r="H19" s="46">
        <v>0</v>
      </c>
      <c r="I19" s="46">
        <v>0</v>
      </c>
      <c r="J19" s="46">
        <f t="shared" si="0"/>
        <v>0</v>
      </c>
      <c r="K19" s="46">
        <f t="shared" si="1"/>
        <v>2890.8</v>
      </c>
      <c r="L19" s="46">
        <v>2890.8</v>
      </c>
      <c r="M19" s="46">
        <f t="shared" si="2"/>
        <v>1384794.4802000001</v>
      </c>
      <c r="N19" s="19"/>
    </row>
    <row r="20" spans="1:14">
      <c r="A20" s="28"/>
      <c r="B20" s="29">
        <v>45793</v>
      </c>
      <c r="C20" s="19"/>
      <c r="D20" s="19"/>
      <c r="E20" s="46">
        <v>0</v>
      </c>
      <c r="F20" s="46">
        <v>0</v>
      </c>
      <c r="G20" s="46">
        <f t="shared" si="3"/>
        <v>0</v>
      </c>
      <c r="H20" s="46">
        <v>0</v>
      </c>
      <c r="I20" s="46">
        <v>0</v>
      </c>
      <c r="J20" s="46">
        <f>H20*I20</f>
        <v>0</v>
      </c>
      <c r="K20" s="46">
        <f>G20+J20</f>
        <v>0</v>
      </c>
      <c r="L20" s="46">
        <v>1384896.66</v>
      </c>
      <c r="M20" s="46">
        <f>M19+K20-L20</f>
        <v>-102.17979999980889</v>
      </c>
      <c r="N20" s="19"/>
    </row>
    <row r="21" spans="1:14">
      <c r="A21" s="28"/>
      <c r="B21" s="29">
        <v>45793</v>
      </c>
      <c r="C21" s="19"/>
      <c r="D21" s="378" t="s">
        <v>117</v>
      </c>
      <c r="E21" s="46">
        <v>10</v>
      </c>
      <c r="F21" s="46">
        <v>96.44</v>
      </c>
      <c r="G21" s="46">
        <f t="shared" si="3"/>
        <v>964.4</v>
      </c>
      <c r="H21" s="46">
        <v>16</v>
      </c>
      <c r="I21" s="46">
        <v>108.31</v>
      </c>
      <c r="J21" s="46">
        <f>H21*I21</f>
        <v>1732.96</v>
      </c>
      <c r="K21" s="46">
        <f>G21+J21</f>
        <v>2697.36</v>
      </c>
      <c r="L21" s="46">
        <f>+K21</f>
        <v>2697.36</v>
      </c>
      <c r="M21" s="46">
        <f t="shared" ref="M21:M34" si="4">M20+K21-L21</f>
        <v>-102.17979999980889</v>
      </c>
      <c r="N21" s="19" t="s">
        <v>118</v>
      </c>
    </row>
    <row r="22" spans="1:14">
      <c r="A22" s="28">
        <v>17</v>
      </c>
      <c r="B22" s="29">
        <v>45794</v>
      </c>
      <c r="C22" s="19"/>
      <c r="D22" s="378" t="s">
        <v>117</v>
      </c>
      <c r="E22" s="46">
        <v>90</v>
      </c>
      <c r="F22" s="46">
        <v>96.44</v>
      </c>
      <c r="G22" s="46">
        <f t="shared" si="3"/>
        <v>8679.6</v>
      </c>
      <c r="H22" s="46">
        <v>0</v>
      </c>
      <c r="I22" s="46">
        <v>0</v>
      </c>
      <c r="J22" s="46">
        <f t="shared" si="0"/>
        <v>0</v>
      </c>
      <c r="K22" s="46">
        <f t="shared" si="1"/>
        <v>8679.6</v>
      </c>
      <c r="L22" s="46">
        <f>+K22</f>
        <v>8679.6</v>
      </c>
      <c r="M22" s="46">
        <f t="shared" si="4"/>
        <v>-102.17979999980889</v>
      </c>
      <c r="N22" s="19" t="s">
        <v>118</v>
      </c>
    </row>
    <row r="23" spans="1:14">
      <c r="A23" s="28"/>
      <c r="B23" s="29">
        <v>45794</v>
      </c>
      <c r="C23" s="19"/>
      <c r="D23" s="378" t="s">
        <v>119</v>
      </c>
      <c r="E23" s="46">
        <v>40</v>
      </c>
      <c r="F23" s="46">
        <v>96.24</v>
      </c>
      <c r="G23" s="46">
        <f t="shared" si="3"/>
        <v>3849.6</v>
      </c>
      <c r="H23" s="46">
        <v>0</v>
      </c>
      <c r="I23" s="46">
        <v>0</v>
      </c>
      <c r="J23" s="46">
        <f t="shared" ref="J23" si="5">H23*I23</f>
        <v>0</v>
      </c>
      <c r="K23" s="46">
        <f t="shared" si="1"/>
        <v>3849.6</v>
      </c>
      <c r="L23" s="46">
        <f>+K23</f>
        <v>3849.6</v>
      </c>
      <c r="M23" s="46">
        <f t="shared" si="4"/>
        <v>-102.17979999980889</v>
      </c>
      <c r="N23" s="19" t="s">
        <v>120</v>
      </c>
    </row>
    <row r="24" spans="1:14">
      <c r="A24" s="28">
        <v>18</v>
      </c>
      <c r="B24" s="29">
        <v>45795</v>
      </c>
      <c r="C24" s="19"/>
      <c r="D24" s="19" t="s">
        <v>117</v>
      </c>
      <c r="E24" s="46">
        <v>10</v>
      </c>
      <c r="F24" s="46">
        <v>96.24</v>
      </c>
      <c r="G24" s="46">
        <f t="shared" si="3"/>
        <v>962.4</v>
      </c>
      <c r="H24" s="46">
        <v>0</v>
      </c>
      <c r="I24" s="46">
        <v>0</v>
      </c>
      <c r="J24" s="46">
        <f t="shared" si="0"/>
        <v>0</v>
      </c>
      <c r="K24" s="46">
        <f t="shared" si="1"/>
        <v>962.4</v>
      </c>
      <c r="L24" s="46">
        <f>+K24</f>
        <v>962.4</v>
      </c>
      <c r="M24" s="46">
        <f t="shared" si="4"/>
        <v>-102.17979999980889</v>
      </c>
      <c r="N24" s="19" t="s">
        <v>118</v>
      </c>
    </row>
    <row r="25" spans="1:14">
      <c r="A25" s="28"/>
      <c r="B25" s="29">
        <v>45795</v>
      </c>
      <c r="C25" s="19"/>
      <c r="D25" s="19" t="s">
        <v>121</v>
      </c>
      <c r="E25" s="46">
        <v>259.79000000000002</v>
      </c>
      <c r="F25" s="46">
        <v>96.23</v>
      </c>
      <c r="G25" s="46">
        <f t="shared" si="3"/>
        <v>24999.591700000004</v>
      </c>
      <c r="H25" s="46">
        <v>0</v>
      </c>
      <c r="I25" s="46">
        <v>0</v>
      </c>
      <c r="J25" s="46">
        <f t="shared" ref="J25" si="6">H25*I25</f>
        <v>0</v>
      </c>
      <c r="K25" s="46">
        <f t="shared" ref="K25" si="7">G25+J25</f>
        <v>24999.591700000004</v>
      </c>
      <c r="L25" s="46">
        <f>+K25</f>
        <v>24999.591700000004</v>
      </c>
      <c r="M25" s="46">
        <f t="shared" si="4"/>
        <v>-102.17979999980889</v>
      </c>
      <c r="N25" s="19" t="s">
        <v>118</v>
      </c>
    </row>
    <row r="26" spans="1:14">
      <c r="A26" s="28">
        <v>19</v>
      </c>
      <c r="B26" s="29">
        <v>45796</v>
      </c>
      <c r="C26" s="19"/>
      <c r="D26" s="378" t="s">
        <v>117</v>
      </c>
      <c r="E26" s="46">
        <v>55</v>
      </c>
      <c r="F26" s="46">
        <v>96.44</v>
      </c>
      <c r="G26" s="46">
        <f t="shared" si="3"/>
        <v>5304.2</v>
      </c>
      <c r="H26" s="46">
        <v>0</v>
      </c>
      <c r="I26" s="46">
        <v>0</v>
      </c>
      <c r="J26" s="46">
        <f t="shared" si="0"/>
        <v>0</v>
      </c>
      <c r="K26" s="46">
        <f t="shared" si="1"/>
        <v>5304.2</v>
      </c>
      <c r="L26" s="46">
        <f>+K26</f>
        <v>5304.2</v>
      </c>
      <c r="M26" s="46">
        <f t="shared" si="4"/>
        <v>-102.17979999980889</v>
      </c>
      <c r="N26" s="19" t="s">
        <v>118</v>
      </c>
    </row>
    <row r="27" spans="1:14">
      <c r="A27" s="28">
        <v>20</v>
      </c>
      <c r="B27" s="29">
        <v>45797</v>
      </c>
      <c r="C27" s="19"/>
      <c r="D27" s="378" t="s">
        <v>121</v>
      </c>
      <c r="E27" s="46">
        <v>600</v>
      </c>
      <c r="F27" s="46">
        <v>96.23</v>
      </c>
      <c r="G27" s="46">
        <f t="shared" si="3"/>
        <v>57738</v>
      </c>
      <c r="H27" s="46">
        <v>16</v>
      </c>
      <c r="I27" s="46">
        <v>0</v>
      </c>
      <c r="J27" s="46">
        <f t="shared" si="0"/>
        <v>0</v>
      </c>
      <c r="K27" s="46">
        <f t="shared" si="1"/>
        <v>57738</v>
      </c>
      <c r="L27" s="46">
        <f t="shared" ref="L27:L38" si="8">+K27</f>
        <v>57738</v>
      </c>
      <c r="M27" s="46">
        <f>M26+K27-L27</f>
        <v>-102.17979999980889</v>
      </c>
      <c r="N27" s="19"/>
    </row>
    <row r="28" spans="1:14">
      <c r="A28" s="28">
        <v>21</v>
      </c>
      <c r="B28" s="29">
        <v>45798</v>
      </c>
      <c r="C28" s="19"/>
      <c r="D28" s="378" t="s">
        <v>121</v>
      </c>
      <c r="E28" s="46">
        <v>600</v>
      </c>
      <c r="F28" s="46">
        <v>96.23</v>
      </c>
      <c r="G28" s="46">
        <f t="shared" si="3"/>
        <v>57738</v>
      </c>
      <c r="H28" s="46">
        <v>0</v>
      </c>
      <c r="I28" s="46">
        <v>0</v>
      </c>
      <c r="J28" s="46">
        <f t="shared" si="0"/>
        <v>0</v>
      </c>
      <c r="K28" s="46">
        <f t="shared" si="1"/>
        <v>57738</v>
      </c>
      <c r="L28" s="46">
        <f t="shared" si="8"/>
        <v>57738</v>
      </c>
      <c r="M28" s="46">
        <f t="shared" si="4"/>
        <v>-102.17979999980889</v>
      </c>
      <c r="N28" s="19"/>
    </row>
    <row r="29" spans="1:14">
      <c r="A29" s="28">
        <v>22</v>
      </c>
      <c r="B29" s="29">
        <v>45799</v>
      </c>
      <c r="C29" s="19"/>
      <c r="D29" s="19"/>
      <c r="E29" s="46">
        <v>0</v>
      </c>
      <c r="F29" s="46">
        <v>0</v>
      </c>
      <c r="G29" s="46">
        <f t="shared" si="3"/>
        <v>0</v>
      </c>
      <c r="H29" s="46">
        <v>0</v>
      </c>
      <c r="I29" s="46">
        <v>0</v>
      </c>
      <c r="J29" s="46">
        <f t="shared" si="0"/>
        <v>0</v>
      </c>
      <c r="K29" s="46">
        <f t="shared" si="1"/>
        <v>0</v>
      </c>
      <c r="L29" s="46">
        <f t="shared" si="8"/>
        <v>0</v>
      </c>
      <c r="M29" s="46">
        <f t="shared" si="4"/>
        <v>-102.17979999980889</v>
      </c>
      <c r="N29" s="19"/>
    </row>
    <row r="30" spans="1:14">
      <c r="A30" s="28">
        <v>23</v>
      </c>
      <c r="B30" s="29">
        <v>45800</v>
      </c>
      <c r="C30" s="19"/>
      <c r="D30" s="378" t="s">
        <v>121</v>
      </c>
      <c r="E30" s="46">
        <v>600</v>
      </c>
      <c r="F30" s="46">
        <v>96.23</v>
      </c>
      <c r="G30" s="46">
        <f t="shared" si="3"/>
        <v>57738</v>
      </c>
      <c r="H30" s="46">
        <v>10</v>
      </c>
      <c r="I30" s="46">
        <v>108.31</v>
      </c>
      <c r="J30" s="46">
        <f t="shared" si="0"/>
        <v>1083.0999999999999</v>
      </c>
      <c r="K30" s="46">
        <f t="shared" si="1"/>
        <v>58821.1</v>
      </c>
      <c r="L30" s="46">
        <f t="shared" si="8"/>
        <v>58821.1</v>
      </c>
      <c r="M30" s="46">
        <f t="shared" si="4"/>
        <v>-102.17979999980889</v>
      </c>
      <c r="N30" s="19"/>
    </row>
    <row r="31" spans="1:14">
      <c r="A31" s="28">
        <v>24</v>
      </c>
      <c r="B31" s="29">
        <v>45801</v>
      </c>
      <c r="C31" s="19"/>
      <c r="D31" s="19"/>
      <c r="E31" s="46">
        <v>0</v>
      </c>
      <c r="F31" s="46">
        <v>0</v>
      </c>
      <c r="G31" s="46">
        <f>E31*F31</f>
        <v>0</v>
      </c>
      <c r="H31" s="46">
        <v>0</v>
      </c>
      <c r="I31" s="46">
        <v>0</v>
      </c>
      <c r="J31" s="46">
        <f t="shared" si="0"/>
        <v>0</v>
      </c>
      <c r="K31" s="46">
        <f t="shared" si="1"/>
        <v>0</v>
      </c>
      <c r="L31" s="46">
        <f t="shared" si="8"/>
        <v>0</v>
      </c>
      <c r="M31" s="46">
        <f t="shared" si="4"/>
        <v>-102.17979999980889</v>
      </c>
      <c r="N31" s="19"/>
    </row>
    <row r="32" spans="1:14">
      <c r="A32" s="28">
        <v>25</v>
      </c>
      <c r="B32" s="29">
        <v>45802</v>
      </c>
      <c r="C32" s="19"/>
      <c r="D32" s="378" t="s">
        <v>121</v>
      </c>
      <c r="E32" s="46">
        <v>0</v>
      </c>
      <c r="F32" s="46">
        <v>0</v>
      </c>
      <c r="G32" s="46">
        <f>E32*F32</f>
        <v>0</v>
      </c>
      <c r="H32" s="46">
        <v>0</v>
      </c>
      <c r="I32" s="46">
        <v>0</v>
      </c>
      <c r="J32" s="46">
        <f t="shared" si="0"/>
        <v>0</v>
      </c>
      <c r="K32" s="46">
        <f t="shared" si="1"/>
        <v>0</v>
      </c>
      <c r="L32" s="46">
        <f t="shared" si="8"/>
        <v>0</v>
      </c>
      <c r="M32" s="46">
        <f t="shared" si="4"/>
        <v>-102.17979999980889</v>
      </c>
      <c r="N32" s="19"/>
    </row>
    <row r="33" spans="1:14">
      <c r="A33" s="28">
        <v>26</v>
      </c>
      <c r="B33" s="29">
        <v>45803</v>
      </c>
      <c r="C33" s="19"/>
      <c r="D33" s="204" t="s">
        <v>121</v>
      </c>
      <c r="E33" s="46">
        <v>295</v>
      </c>
      <c r="F33" s="46">
        <v>96.23</v>
      </c>
      <c r="G33" s="46">
        <f>E33*F33</f>
        <v>28387.850000000002</v>
      </c>
      <c r="H33" s="46">
        <v>14.92</v>
      </c>
      <c r="I33" s="46">
        <v>108.31</v>
      </c>
      <c r="J33" s="46">
        <f t="shared" si="0"/>
        <v>1615.9852000000001</v>
      </c>
      <c r="K33" s="46">
        <f t="shared" si="1"/>
        <v>30003.835200000001</v>
      </c>
      <c r="L33" s="46">
        <f t="shared" si="8"/>
        <v>30003.835200000001</v>
      </c>
      <c r="M33" s="46">
        <f t="shared" si="4"/>
        <v>-102.17979999980889</v>
      </c>
      <c r="N33" s="19"/>
    </row>
    <row r="34" spans="1:14">
      <c r="A34" s="28">
        <v>27</v>
      </c>
      <c r="B34" s="29">
        <v>45804</v>
      </c>
      <c r="C34" s="19"/>
      <c r="D34" s="204" t="s">
        <v>121</v>
      </c>
      <c r="E34" s="46">
        <v>600</v>
      </c>
      <c r="F34" s="46">
        <v>96.23</v>
      </c>
      <c r="G34" s="46">
        <f>E34*F34</f>
        <v>57738</v>
      </c>
      <c r="H34" s="46">
        <v>0</v>
      </c>
      <c r="I34" s="46">
        <v>0</v>
      </c>
      <c r="J34" s="46">
        <f t="shared" si="0"/>
        <v>0</v>
      </c>
      <c r="K34" s="46">
        <f t="shared" si="1"/>
        <v>57738</v>
      </c>
      <c r="L34" s="46">
        <f t="shared" si="8"/>
        <v>57738</v>
      </c>
      <c r="M34" s="46">
        <f t="shared" si="4"/>
        <v>-102.17979999980889</v>
      </c>
      <c r="N34" s="19"/>
    </row>
    <row r="35" spans="1:14">
      <c r="A35" s="28">
        <v>28</v>
      </c>
      <c r="B35" s="29">
        <v>45805</v>
      </c>
      <c r="C35" s="19"/>
      <c r="D35" s="19"/>
      <c r="E35" s="46">
        <v>0</v>
      </c>
      <c r="F35" s="46">
        <v>0</v>
      </c>
      <c r="G35" s="46">
        <f>E35*F35</f>
        <v>0</v>
      </c>
      <c r="H35" s="46">
        <v>0</v>
      </c>
      <c r="I35" s="46">
        <v>0</v>
      </c>
      <c r="J35" s="46">
        <f t="shared" si="0"/>
        <v>0</v>
      </c>
      <c r="K35" s="46">
        <f t="shared" si="1"/>
        <v>0</v>
      </c>
      <c r="L35" s="46">
        <f t="shared" si="8"/>
        <v>0</v>
      </c>
      <c r="M35" s="46">
        <f>M34+K35-L35</f>
        <v>-102.17979999980889</v>
      </c>
      <c r="N35" s="19"/>
    </row>
    <row r="36" spans="1:14">
      <c r="A36" s="28">
        <v>29</v>
      </c>
      <c r="B36" s="29">
        <v>45806</v>
      </c>
      <c r="C36" s="19"/>
      <c r="D36" s="204" t="s">
        <v>121</v>
      </c>
      <c r="E36" s="46">
        <v>600</v>
      </c>
      <c r="F36" s="46">
        <v>96.23</v>
      </c>
      <c r="G36" s="46">
        <f>E36*F36</f>
        <v>57738</v>
      </c>
      <c r="H36" s="46">
        <v>0</v>
      </c>
      <c r="I36" s="46">
        <v>0</v>
      </c>
      <c r="J36" s="46">
        <f t="shared" si="0"/>
        <v>0</v>
      </c>
      <c r="K36" s="46">
        <f t="shared" si="1"/>
        <v>57738</v>
      </c>
      <c r="L36" s="46">
        <f t="shared" si="8"/>
        <v>57738</v>
      </c>
      <c r="M36" s="46">
        <f>M35+K36-L36</f>
        <v>-102.17979999980889</v>
      </c>
      <c r="N36" s="19"/>
    </row>
    <row r="37" spans="1:14">
      <c r="A37" s="28">
        <v>30</v>
      </c>
      <c r="B37" s="29">
        <v>45807</v>
      </c>
      <c r="C37" s="19"/>
      <c r="D37" s="204" t="s">
        <v>121</v>
      </c>
      <c r="E37" s="46">
        <v>0</v>
      </c>
      <c r="F37" s="46">
        <v>0</v>
      </c>
      <c r="G37" s="46">
        <f>E37*F37</f>
        <v>0</v>
      </c>
      <c r="H37" s="46">
        <v>0</v>
      </c>
      <c r="I37" s="46">
        <v>0</v>
      </c>
      <c r="J37" s="46">
        <f t="shared" si="0"/>
        <v>0</v>
      </c>
      <c r="K37" s="46">
        <f t="shared" si="1"/>
        <v>0</v>
      </c>
      <c r="L37" s="46">
        <f t="shared" si="8"/>
        <v>0</v>
      </c>
      <c r="M37" s="46">
        <f>M36+K37-L37</f>
        <v>-102.17979999980889</v>
      </c>
      <c r="N37" s="19"/>
    </row>
    <row r="38" spans="1:14" ht="15" customHeight="1">
      <c r="A38" s="28">
        <v>31</v>
      </c>
      <c r="B38" s="29">
        <v>45808</v>
      </c>
      <c r="C38" s="19"/>
      <c r="D38" s="204" t="s">
        <v>121</v>
      </c>
      <c r="E38" s="46">
        <v>600</v>
      </c>
      <c r="F38" s="46">
        <v>96.23</v>
      </c>
      <c r="G38" s="46">
        <f>E38*F38</f>
        <v>57738</v>
      </c>
      <c r="H38" s="46">
        <v>16</v>
      </c>
      <c r="I38" s="46">
        <v>108.31</v>
      </c>
      <c r="J38" s="46">
        <f t="shared" ref="J38" si="9">H38*I38</f>
        <v>1732.96</v>
      </c>
      <c r="K38" s="46">
        <f t="shared" ref="K38" si="10">G38+J38</f>
        <v>59470.96</v>
      </c>
      <c r="L38" s="46">
        <f t="shared" si="8"/>
        <v>59470.96</v>
      </c>
      <c r="M38" s="46">
        <f>M37+K38-L38</f>
        <v>-102.17979999980889</v>
      </c>
      <c r="N38" s="19"/>
    </row>
    <row r="39" spans="1:14" ht="15" customHeight="1">
      <c r="A39" s="51"/>
      <c r="B39" s="51"/>
      <c r="C39" s="51"/>
      <c r="D39" s="51"/>
      <c r="E39" s="283">
        <f>SUM(E4:E38)</f>
        <v>8915.75</v>
      </c>
      <c r="F39" s="290"/>
      <c r="G39" s="283">
        <f>SUM(G4:G38)</f>
        <v>858587.9473</v>
      </c>
      <c r="H39" s="283">
        <f>SUM(H4:H38)</f>
        <v>134.92000000000002</v>
      </c>
      <c r="I39" s="290"/>
      <c r="J39" s="283">
        <f>SUM(J4:J38)</f>
        <v>12871.5452</v>
      </c>
      <c r="K39" s="283">
        <f>SUM(K4:K38)</f>
        <v>871459.49249999993</v>
      </c>
      <c r="L39" s="283">
        <f>SUM(L4:L38)</f>
        <v>1876093.6569000003</v>
      </c>
      <c r="M39" s="290"/>
      <c r="N39" s="52"/>
    </row>
    <row r="40" spans="1:14"/>
    <row r="45" spans="1:14" ht="15" customHeight="1">
      <c r="M45" s="24">
        <v>236703.21480000034</v>
      </c>
    </row>
    <row r="46" spans="1:14" ht="15" customHeight="1">
      <c r="M46" s="24">
        <v>236635.16</v>
      </c>
    </row>
    <row r="47" spans="1:14" ht="15" customHeight="1">
      <c r="M47" s="24">
        <f>M45-M46</f>
        <v>68.054800000332762</v>
      </c>
    </row>
  </sheetData>
  <mergeCells count="2">
    <mergeCell ref="A1:M1"/>
    <mergeCell ref="A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O44"/>
  <sheetViews>
    <sheetView workbookViewId="0">
      <selection activeCell="U5" sqref="U5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5" ht="15.75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96"/>
    </row>
    <row r="2" spans="1:15">
      <c r="A2" s="113" t="s">
        <v>99</v>
      </c>
      <c r="B2" s="114" t="s">
        <v>100</v>
      </c>
      <c r="C2" s="114" t="s">
        <v>101</v>
      </c>
      <c r="D2" s="114" t="s">
        <v>122</v>
      </c>
      <c r="E2" s="390" t="s">
        <v>103</v>
      </c>
      <c r="F2" s="390" t="s">
        <v>104</v>
      </c>
      <c r="G2" s="114" t="s">
        <v>105</v>
      </c>
      <c r="H2" s="114" t="s">
        <v>106</v>
      </c>
      <c r="I2" s="114" t="s">
        <v>104</v>
      </c>
      <c r="J2" s="156" t="s">
        <v>105</v>
      </c>
      <c r="K2" s="115" t="s">
        <v>107</v>
      </c>
      <c r="L2" s="157" t="s">
        <v>108</v>
      </c>
      <c r="M2" s="162" t="s">
        <v>115</v>
      </c>
      <c r="N2" s="116" t="s">
        <v>110</v>
      </c>
      <c r="O2" s="72"/>
    </row>
    <row r="3" spans="1:15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51"/>
      <c r="M3" s="171">
        <v>0</v>
      </c>
      <c r="N3" s="180"/>
      <c r="O3" s="72"/>
    </row>
    <row r="4" spans="1:15">
      <c r="A4" s="234">
        <v>1</v>
      </c>
      <c r="B4" s="270">
        <v>45778</v>
      </c>
      <c r="C4" s="80"/>
      <c r="D4" s="183"/>
      <c r="E4" s="391">
        <v>0</v>
      </c>
      <c r="F4" s="391">
        <v>0</v>
      </c>
      <c r="G4" s="8">
        <f t="shared" ref="G4" si="0">E4*F4</f>
        <v>0</v>
      </c>
      <c r="H4" s="78">
        <v>0</v>
      </c>
      <c r="I4" s="79">
        <v>0</v>
      </c>
      <c r="J4" s="8">
        <f>H4*I4</f>
        <v>0</v>
      </c>
      <c r="K4" s="8">
        <f>G4+J4</f>
        <v>0</v>
      </c>
      <c r="L4" s="81">
        <f>+K4</f>
        <v>0</v>
      </c>
      <c r="M4" s="81">
        <v>0</v>
      </c>
      <c r="N4" s="8"/>
    </row>
    <row r="5" spans="1:15">
      <c r="A5" s="55">
        <v>2</v>
      </c>
      <c r="B5" s="270">
        <v>45779</v>
      </c>
      <c r="C5" s="80"/>
      <c r="D5" s="183"/>
      <c r="E5" s="391">
        <v>0</v>
      </c>
      <c r="F5" s="391">
        <v>0</v>
      </c>
      <c r="G5" s="8">
        <f t="shared" ref="G5:G34" si="1">E5*F5</f>
        <v>0</v>
      </c>
      <c r="H5" s="78">
        <v>0</v>
      </c>
      <c r="I5" s="79">
        <v>0</v>
      </c>
      <c r="J5" s="8">
        <f t="shared" ref="J5:J34" si="2">H5*I5</f>
        <v>0</v>
      </c>
      <c r="K5" s="8">
        <f t="shared" ref="K5:K34" si="3">G5+J5</f>
        <v>0</v>
      </c>
      <c r="L5" s="81">
        <f t="shared" ref="L5:L34" si="4">+K5</f>
        <v>0</v>
      </c>
      <c r="M5" s="81">
        <v>0</v>
      </c>
      <c r="N5" s="8"/>
    </row>
    <row r="6" spans="1:15">
      <c r="A6" s="55">
        <v>3</v>
      </c>
      <c r="B6" s="270">
        <v>45780</v>
      </c>
      <c r="C6" s="80"/>
      <c r="D6" s="183"/>
      <c r="E6" s="391">
        <v>0</v>
      </c>
      <c r="F6" s="391">
        <v>0</v>
      </c>
      <c r="G6" s="8">
        <f t="shared" si="1"/>
        <v>0</v>
      </c>
      <c r="H6" s="78">
        <v>0</v>
      </c>
      <c r="I6" s="79">
        <v>0</v>
      </c>
      <c r="J6" s="8">
        <f t="shared" si="2"/>
        <v>0</v>
      </c>
      <c r="K6" s="8">
        <f t="shared" si="3"/>
        <v>0</v>
      </c>
      <c r="L6" s="81">
        <f t="shared" si="4"/>
        <v>0</v>
      </c>
      <c r="M6" s="81">
        <v>0</v>
      </c>
      <c r="N6" s="8"/>
    </row>
    <row r="7" spans="1:15">
      <c r="A7" s="55">
        <v>4</v>
      </c>
      <c r="B7" s="270">
        <v>45781</v>
      </c>
      <c r="C7" s="80"/>
      <c r="D7" s="183"/>
      <c r="E7" s="391">
        <v>0</v>
      </c>
      <c r="F7" s="391">
        <v>0</v>
      </c>
      <c r="G7" s="8">
        <f t="shared" si="1"/>
        <v>0</v>
      </c>
      <c r="H7" s="78">
        <v>0</v>
      </c>
      <c r="I7" s="79">
        <v>0</v>
      </c>
      <c r="J7" s="8">
        <f t="shared" si="2"/>
        <v>0</v>
      </c>
      <c r="K7" s="8">
        <f t="shared" si="3"/>
        <v>0</v>
      </c>
      <c r="L7" s="81">
        <f t="shared" si="4"/>
        <v>0</v>
      </c>
      <c r="M7" s="81">
        <v>0</v>
      </c>
      <c r="N7" s="8"/>
    </row>
    <row r="8" spans="1:15">
      <c r="A8" s="55">
        <v>5</v>
      </c>
      <c r="B8" s="270">
        <v>45782</v>
      </c>
      <c r="C8" s="80"/>
      <c r="D8" s="183"/>
      <c r="E8" s="391">
        <v>0</v>
      </c>
      <c r="F8" s="391">
        <v>0</v>
      </c>
      <c r="G8" s="8">
        <f t="shared" si="1"/>
        <v>0</v>
      </c>
      <c r="H8" s="78">
        <v>0</v>
      </c>
      <c r="I8" s="79">
        <v>0</v>
      </c>
      <c r="J8" s="8">
        <f t="shared" si="2"/>
        <v>0</v>
      </c>
      <c r="K8" s="8">
        <f t="shared" si="3"/>
        <v>0</v>
      </c>
      <c r="L8" s="81">
        <f t="shared" si="4"/>
        <v>0</v>
      </c>
      <c r="M8" s="81">
        <v>0</v>
      </c>
      <c r="N8" s="8"/>
      <c r="O8" s="82"/>
    </row>
    <row r="9" spans="1:15">
      <c r="A9" s="55">
        <v>6</v>
      </c>
      <c r="B9" s="270">
        <v>45783</v>
      </c>
      <c r="C9" s="80"/>
      <c r="D9" s="183"/>
      <c r="E9" s="391">
        <v>0</v>
      </c>
      <c r="F9" s="391">
        <v>0</v>
      </c>
      <c r="G9" s="8">
        <f t="shared" si="1"/>
        <v>0</v>
      </c>
      <c r="H9" s="78">
        <v>0</v>
      </c>
      <c r="I9" s="79">
        <v>0</v>
      </c>
      <c r="J9" s="8">
        <f t="shared" si="2"/>
        <v>0</v>
      </c>
      <c r="K9" s="8">
        <f t="shared" si="3"/>
        <v>0</v>
      </c>
      <c r="L9" s="81">
        <f t="shared" si="4"/>
        <v>0</v>
      </c>
      <c r="M9" s="81">
        <v>0</v>
      </c>
      <c r="N9" s="8"/>
      <c r="O9" s="82"/>
    </row>
    <row r="10" spans="1:15">
      <c r="A10" s="55">
        <v>7</v>
      </c>
      <c r="B10" s="270">
        <v>45784</v>
      </c>
      <c r="C10" s="80"/>
      <c r="D10" s="183"/>
      <c r="E10" s="391">
        <v>0</v>
      </c>
      <c r="F10" s="391">
        <v>0</v>
      </c>
      <c r="G10" s="8">
        <f t="shared" si="1"/>
        <v>0</v>
      </c>
      <c r="H10" s="78">
        <v>0</v>
      </c>
      <c r="I10" s="79">
        <v>0</v>
      </c>
      <c r="J10" s="8">
        <f t="shared" si="2"/>
        <v>0</v>
      </c>
      <c r="K10" s="8">
        <f t="shared" si="3"/>
        <v>0</v>
      </c>
      <c r="L10" s="81">
        <f t="shared" si="4"/>
        <v>0</v>
      </c>
      <c r="M10" s="81">
        <v>0</v>
      </c>
      <c r="N10" s="8"/>
      <c r="O10" s="82"/>
    </row>
    <row r="11" spans="1:15">
      <c r="A11" s="55">
        <v>8</v>
      </c>
      <c r="B11" s="270">
        <v>45785</v>
      </c>
      <c r="C11" s="80"/>
      <c r="D11" s="183"/>
      <c r="E11" s="391">
        <v>0</v>
      </c>
      <c r="F11" s="391">
        <v>0</v>
      </c>
      <c r="G11" s="8">
        <f t="shared" si="1"/>
        <v>0</v>
      </c>
      <c r="H11" s="78">
        <v>0</v>
      </c>
      <c r="I11" s="79">
        <v>0</v>
      </c>
      <c r="J11" s="8">
        <f t="shared" si="2"/>
        <v>0</v>
      </c>
      <c r="K11" s="8">
        <f t="shared" si="3"/>
        <v>0</v>
      </c>
      <c r="L11" s="81">
        <f t="shared" si="4"/>
        <v>0</v>
      </c>
      <c r="M11" s="81">
        <v>0</v>
      </c>
      <c r="N11" s="8"/>
      <c r="O11" s="82"/>
    </row>
    <row r="12" spans="1:15">
      <c r="A12" s="55">
        <v>9</v>
      </c>
      <c r="B12" s="270">
        <v>45786</v>
      </c>
      <c r="C12" s="80"/>
      <c r="D12" s="183"/>
      <c r="E12" s="391">
        <v>0</v>
      </c>
      <c r="F12" s="391">
        <v>0</v>
      </c>
      <c r="G12" s="8">
        <f t="shared" si="1"/>
        <v>0</v>
      </c>
      <c r="H12" s="78">
        <v>0</v>
      </c>
      <c r="I12" s="79">
        <v>0</v>
      </c>
      <c r="J12" s="8">
        <f t="shared" si="2"/>
        <v>0</v>
      </c>
      <c r="K12" s="8">
        <f t="shared" si="3"/>
        <v>0</v>
      </c>
      <c r="L12" s="81">
        <f t="shared" si="4"/>
        <v>0</v>
      </c>
      <c r="M12" s="81">
        <v>0</v>
      </c>
      <c r="N12" s="8"/>
      <c r="O12" s="82"/>
    </row>
    <row r="13" spans="1:15">
      <c r="A13" s="55">
        <v>10</v>
      </c>
      <c r="B13" s="270">
        <v>45787</v>
      </c>
      <c r="C13" s="80"/>
      <c r="D13" s="183"/>
      <c r="E13" s="391">
        <v>0</v>
      </c>
      <c r="F13" s="391">
        <v>0</v>
      </c>
      <c r="G13" s="8">
        <f t="shared" si="1"/>
        <v>0</v>
      </c>
      <c r="H13" s="78">
        <v>0</v>
      </c>
      <c r="I13" s="79">
        <v>0</v>
      </c>
      <c r="J13" s="8">
        <f t="shared" si="2"/>
        <v>0</v>
      </c>
      <c r="K13" s="8">
        <f t="shared" si="3"/>
        <v>0</v>
      </c>
      <c r="L13" s="81">
        <f t="shared" si="4"/>
        <v>0</v>
      </c>
      <c r="M13" s="81">
        <v>0</v>
      </c>
      <c r="N13" s="8"/>
      <c r="O13" s="82"/>
    </row>
    <row r="14" spans="1:15">
      <c r="A14" s="55">
        <v>11</v>
      </c>
      <c r="B14" s="270">
        <v>45788</v>
      </c>
      <c r="C14" s="80"/>
      <c r="D14" s="183"/>
      <c r="E14" s="391">
        <v>0</v>
      </c>
      <c r="F14" s="391">
        <v>0</v>
      </c>
      <c r="G14" s="8">
        <f t="shared" si="1"/>
        <v>0</v>
      </c>
      <c r="H14" s="78">
        <v>0</v>
      </c>
      <c r="I14" s="79">
        <v>0</v>
      </c>
      <c r="J14" s="8">
        <f t="shared" si="2"/>
        <v>0</v>
      </c>
      <c r="K14" s="8">
        <f t="shared" si="3"/>
        <v>0</v>
      </c>
      <c r="L14" s="81">
        <f t="shared" si="4"/>
        <v>0</v>
      </c>
      <c r="M14" s="81">
        <v>0</v>
      </c>
      <c r="N14" s="8"/>
      <c r="O14" s="82"/>
    </row>
    <row r="15" spans="1:15">
      <c r="A15" s="55">
        <v>12</v>
      </c>
      <c r="B15" s="270">
        <v>45789</v>
      </c>
      <c r="C15" s="80"/>
      <c r="D15" s="183"/>
      <c r="E15" s="391">
        <v>0</v>
      </c>
      <c r="F15" s="391">
        <v>0</v>
      </c>
      <c r="G15" s="8">
        <f t="shared" si="1"/>
        <v>0</v>
      </c>
      <c r="H15" s="78">
        <v>0</v>
      </c>
      <c r="I15" s="79">
        <v>0</v>
      </c>
      <c r="J15" s="8">
        <f t="shared" si="2"/>
        <v>0</v>
      </c>
      <c r="K15" s="8">
        <f t="shared" si="3"/>
        <v>0</v>
      </c>
      <c r="L15" s="81">
        <f t="shared" si="4"/>
        <v>0</v>
      </c>
      <c r="M15" s="81">
        <v>0</v>
      </c>
      <c r="N15" s="8"/>
      <c r="O15" s="82"/>
    </row>
    <row r="16" spans="1:15">
      <c r="A16" s="55">
        <v>13</v>
      </c>
      <c r="B16" s="270">
        <v>45790</v>
      </c>
      <c r="C16" s="80"/>
      <c r="D16" s="183"/>
      <c r="E16" s="391">
        <v>0</v>
      </c>
      <c r="F16" s="391">
        <v>0</v>
      </c>
      <c r="G16" s="8">
        <f t="shared" si="1"/>
        <v>0</v>
      </c>
      <c r="H16" s="78">
        <v>0</v>
      </c>
      <c r="I16" s="79">
        <v>0</v>
      </c>
      <c r="J16" s="8">
        <f t="shared" si="2"/>
        <v>0</v>
      </c>
      <c r="K16" s="8">
        <f t="shared" si="3"/>
        <v>0</v>
      </c>
      <c r="L16" s="81">
        <f t="shared" si="4"/>
        <v>0</v>
      </c>
      <c r="M16" s="81">
        <v>0</v>
      </c>
      <c r="N16" s="8"/>
      <c r="O16" s="82"/>
    </row>
    <row r="17" spans="1:15">
      <c r="A17" s="55">
        <v>14</v>
      </c>
      <c r="B17" s="270">
        <v>45791</v>
      </c>
      <c r="C17" s="80"/>
      <c r="D17" s="183"/>
      <c r="E17" s="391">
        <v>0</v>
      </c>
      <c r="F17" s="391">
        <v>0</v>
      </c>
      <c r="G17" s="8">
        <f t="shared" si="1"/>
        <v>0</v>
      </c>
      <c r="H17" s="78">
        <v>0</v>
      </c>
      <c r="I17" s="79">
        <v>0</v>
      </c>
      <c r="J17" s="8">
        <f t="shared" si="2"/>
        <v>0</v>
      </c>
      <c r="K17" s="8">
        <f t="shared" si="3"/>
        <v>0</v>
      </c>
      <c r="L17" s="81">
        <f t="shared" si="4"/>
        <v>0</v>
      </c>
      <c r="M17" s="81">
        <v>0</v>
      </c>
      <c r="N17" s="8"/>
      <c r="O17" s="82"/>
    </row>
    <row r="18" spans="1:15">
      <c r="A18" s="55">
        <v>15</v>
      </c>
      <c r="B18" s="270">
        <v>45792</v>
      </c>
      <c r="C18" s="80"/>
      <c r="D18" s="183"/>
      <c r="E18" s="391">
        <v>0</v>
      </c>
      <c r="F18" s="391">
        <v>0</v>
      </c>
      <c r="G18" s="8">
        <f t="shared" si="1"/>
        <v>0</v>
      </c>
      <c r="H18" s="78">
        <v>0</v>
      </c>
      <c r="I18" s="79">
        <v>0</v>
      </c>
      <c r="J18" s="8">
        <f t="shared" si="2"/>
        <v>0</v>
      </c>
      <c r="K18" s="8">
        <f t="shared" si="3"/>
        <v>0</v>
      </c>
      <c r="L18" s="81">
        <f t="shared" si="4"/>
        <v>0</v>
      </c>
      <c r="M18" s="81">
        <v>0</v>
      </c>
      <c r="N18" s="8"/>
      <c r="O18" s="82"/>
    </row>
    <row r="19" spans="1:15">
      <c r="A19" s="55">
        <v>16</v>
      </c>
      <c r="B19" s="270">
        <v>45793</v>
      </c>
      <c r="C19" s="80"/>
      <c r="D19" s="183"/>
      <c r="E19" s="391">
        <v>0</v>
      </c>
      <c r="F19" s="391">
        <v>0</v>
      </c>
      <c r="G19" s="8">
        <f t="shared" si="1"/>
        <v>0</v>
      </c>
      <c r="H19" s="78">
        <v>0</v>
      </c>
      <c r="I19" s="79">
        <v>0</v>
      </c>
      <c r="J19" s="8">
        <f t="shared" si="2"/>
        <v>0</v>
      </c>
      <c r="K19" s="8">
        <f t="shared" si="3"/>
        <v>0</v>
      </c>
      <c r="L19" s="81">
        <f t="shared" si="4"/>
        <v>0</v>
      </c>
      <c r="M19" s="81">
        <v>0</v>
      </c>
      <c r="N19" s="8"/>
      <c r="O19" s="82"/>
    </row>
    <row r="20" spans="1:15">
      <c r="A20" s="55">
        <v>17</v>
      </c>
      <c r="B20" s="270">
        <v>45794</v>
      </c>
      <c r="C20" s="80"/>
      <c r="D20" s="183"/>
      <c r="E20" s="389">
        <v>46.48</v>
      </c>
      <c r="F20" s="389">
        <v>96.8</v>
      </c>
      <c r="G20" s="8">
        <f t="shared" si="1"/>
        <v>4499.2639999999992</v>
      </c>
      <c r="H20" s="78">
        <v>0</v>
      </c>
      <c r="I20" s="79">
        <v>0</v>
      </c>
      <c r="J20" s="8">
        <f t="shared" si="2"/>
        <v>0</v>
      </c>
      <c r="K20" s="8">
        <f t="shared" si="3"/>
        <v>4499.2639999999992</v>
      </c>
      <c r="L20" s="81">
        <f t="shared" si="4"/>
        <v>4499.2639999999992</v>
      </c>
      <c r="M20" s="81">
        <v>0</v>
      </c>
      <c r="N20" s="8"/>
      <c r="O20" s="82"/>
    </row>
    <row r="21" spans="1:15">
      <c r="A21" s="55">
        <v>18</v>
      </c>
      <c r="B21" s="270">
        <v>45795</v>
      </c>
      <c r="C21" s="80"/>
      <c r="D21" s="183"/>
      <c r="E21" s="389">
        <v>0</v>
      </c>
      <c r="F21" s="389">
        <v>0</v>
      </c>
      <c r="G21" s="8">
        <f t="shared" si="1"/>
        <v>0</v>
      </c>
      <c r="H21" s="78">
        <v>0</v>
      </c>
      <c r="I21" s="79">
        <v>0</v>
      </c>
      <c r="J21" s="8">
        <f t="shared" si="2"/>
        <v>0</v>
      </c>
      <c r="K21" s="8">
        <f t="shared" si="3"/>
        <v>0</v>
      </c>
      <c r="L21" s="81">
        <f t="shared" si="4"/>
        <v>0</v>
      </c>
      <c r="M21" s="81">
        <v>0</v>
      </c>
      <c r="N21" s="8"/>
      <c r="O21" s="82"/>
    </row>
    <row r="22" spans="1:15">
      <c r="A22" s="55">
        <v>19</v>
      </c>
      <c r="B22" s="270">
        <v>45796</v>
      </c>
      <c r="C22" s="80"/>
      <c r="D22" s="183"/>
      <c r="E22" s="389">
        <v>0</v>
      </c>
      <c r="F22" s="389">
        <v>0</v>
      </c>
      <c r="G22" s="8">
        <f t="shared" si="1"/>
        <v>0</v>
      </c>
      <c r="H22" s="78">
        <v>0</v>
      </c>
      <c r="I22" s="79">
        <v>0</v>
      </c>
      <c r="J22" s="8">
        <f t="shared" si="2"/>
        <v>0</v>
      </c>
      <c r="K22" s="8">
        <f t="shared" si="3"/>
        <v>0</v>
      </c>
      <c r="L22" s="81">
        <f t="shared" si="4"/>
        <v>0</v>
      </c>
      <c r="M22" s="81">
        <v>0</v>
      </c>
      <c r="N22" s="8"/>
      <c r="O22" s="82"/>
    </row>
    <row r="23" spans="1:15">
      <c r="A23" s="55">
        <v>20</v>
      </c>
      <c r="B23" s="270">
        <v>45797</v>
      </c>
      <c r="C23" s="80"/>
      <c r="D23" s="183"/>
      <c r="E23" s="389">
        <v>41.64</v>
      </c>
      <c r="F23" s="389">
        <v>96.8</v>
      </c>
      <c r="G23" s="8">
        <f t="shared" si="1"/>
        <v>4030.752</v>
      </c>
      <c r="H23" s="78">
        <v>0</v>
      </c>
      <c r="I23" s="79">
        <v>0</v>
      </c>
      <c r="J23" s="8">
        <f t="shared" si="2"/>
        <v>0</v>
      </c>
      <c r="K23" s="8">
        <f t="shared" si="3"/>
        <v>4030.752</v>
      </c>
      <c r="L23" s="81">
        <f t="shared" si="4"/>
        <v>4030.752</v>
      </c>
      <c r="M23" s="81">
        <v>0</v>
      </c>
      <c r="N23" s="8"/>
      <c r="O23" s="82"/>
    </row>
    <row r="24" spans="1:15">
      <c r="A24" s="55">
        <v>21</v>
      </c>
      <c r="B24" s="270">
        <v>45798</v>
      </c>
      <c r="C24" s="80"/>
      <c r="D24" s="183"/>
      <c r="E24" s="389">
        <v>0</v>
      </c>
      <c r="F24" s="389">
        <v>0</v>
      </c>
      <c r="G24" s="8">
        <f t="shared" si="1"/>
        <v>0</v>
      </c>
      <c r="H24" s="78">
        <v>0</v>
      </c>
      <c r="I24" s="79">
        <v>0</v>
      </c>
      <c r="J24" s="8">
        <f t="shared" si="2"/>
        <v>0</v>
      </c>
      <c r="K24" s="8">
        <f t="shared" si="3"/>
        <v>0</v>
      </c>
      <c r="L24" s="81">
        <f t="shared" si="4"/>
        <v>0</v>
      </c>
      <c r="M24" s="81">
        <v>0</v>
      </c>
      <c r="N24" s="8"/>
      <c r="O24" s="82"/>
    </row>
    <row r="25" spans="1:15">
      <c r="A25" s="55">
        <v>22</v>
      </c>
      <c r="B25" s="270">
        <v>45799</v>
      </c>
      <c r="C25" s="80"/>
      <c r="D25" s="183"/>
      <c r="E25" s="389">
        <v>0</v>
      </c>
      <c r="F25" s="389">
        <v>0</v>
      </c>
      <c r="G25" s="8">
        <f t="shared" si="1"/>
        <v>0</v>
      </c>
      <c r="H25" s="78">
        <v>0</v>
      </c>
      <c r="I25" s="79">
        <v>0</v>
      </c>
      <c r="J25" s="8">
        <f t="shared" si="2"/>
        <v>0</v>
      </c>
      <c r="K25" s="8">
        <f t="shared" si="3"/>
        <v>0</v>
      </c>
      <c r="L25" s="81">
        <f t="shared" si="4"/>
        <v>0</v>
      </c>
      <c r="M25" s="81">
        <v>0</v>
      </c>
      <c r="N25" s="8"/>
      <c r="O25" s="82"/>
    </row>
    <row r="26" spans="1:15">
      <c r="A26" s="55">
        <v>23</v>
      </c>
      <c r="B26" s="270">
        <v>45800</v>
      </c>
      <c r="C26" s="80"/>
      <c r="D26" s="183"/>
      <c r="E26" s="389">
        <v>0</v>
      </c>
      <c r="F26" s="389">
        <v>0</v>
      </c>
      <c r="G26" s="8">
        <f t="shared" si="1"/>
        <v>0</v>
      </c>
      <c r="H26" s="78">
        <v>0</v>
      </c>
      <c r="I26" s="79">
        <v>0</v>
      </c>
      <c r="J26" s="8">
        <f t="shared" si="2"/>
        <v>0</v>
      </c>
      <c r="K26" s="8">
        <f t="shared" si="3"/>
        <v>0</v>
      </c>
      <c r="L26" s="81">
        <f t="shared" si="4"/>
        <v>0</v>
      </c>
      <c r="M26" s="81">
        <v>0</v>
      </c>
      <c r="N26" s="8"/>
      <c r="O26" s="82"/>
    </row>
    <row r="27" spans="1:15">
      <c r="A27" s="55">
        <v>24</v>
      </c>
      <c r="B27" s="270">
        <v>45801</v>
      </c>
      <c r="C27" s="80"/>
      <c r="D27" s="183"/>
      <c r="E27" s="389">
        <v>20.91</v>
      </c>
      <c r="F27" s="389">
        <v>95.63</v>
      </c>
      <c r="G27" s="8">
        <f t="shared" si="1"/>
        <v>1999.6233</v>
      </c>
      <c r="H27" s="78">
        <v>0</v>
      </c>
      <c r="I27" s="79">
        <v>0</v>
      </c>
      <c r="J27" s="8">
        <f t="shared" si="2"/>
        <v>0</v>
      </c>
      <c r="K27" s="8">
        <f t="shared" si="3"/>
        <v>1999.6233</v>
      </c>
      <c r="L27" s="81">
        <f t="shared" si="4"/>
        <v>1999.6233</v>
      </c>
      <c r="M27" s="81">
        <v>0</v>
      </c>
      <c r="N27" s="8"/>
      <c r="O27" s="82"/>
    </row>
    <row r="28" spans="1:15">
      <c r="A28" s="272">
        <v>25</v>
      </c>
      <c r="B28" s="270">
        <v>45802</v>
      </c>
      <c r="C28" s="80"/>
      <c r="D28" s="183"/>
      <c r="E28" s="389">
        <v>0</v>
      </c>
      <c r="F28" s="389">
        <v>0</v>
      </c>
      <c r="G28" s="8">
        <f t="shared" si="1"/>
        <v>0</v>
      </c>
      <c r="H28" s="78">
        <v>0</v>
      </c>
      <c r="I28" s="79">
        <v>0</v>
      </c>
      <c r="J28" s="8">
        <f t="shared" si="2"/>
        <v>0</v>
      </c>
      <c r="K28" s="8">
        <f t="shared" si="3"/>
        <v>0</v>
      </c>
      <c r="L28" s="81">
        <f t="shared" si="4"/>
        <v>0</v>
      </c>
      <c r="M28" s="81">
        <v>0</v>
      </c>
      <c r="N28" s="8"/>
      <c r="O28" s="82"/>
    </row>
    <row r="29" spans="1:15">
      <c r="A29" s="272">
        <v>26</v>
      </c>
      <c r="B29" s="270">
        <v>45803</v>
      </c>
      <c r="C29" s="80"/>
      <c r="D29" s="183"/>
      <c r="E29" s="389">
        <v>51.64</v>
      </c>
      <c r="F29" s="389">
        <v>96.83</v>
      </c>
      <c r="G29" s="8">
        <f t="shared" si="1"/>
        <v>5000.3011999999999</v>
      </c>
      <c r="H29" s="78">
        <v>0</v>
      </c>
      <c r="I29" s="79">
        <v>0</v>
      </c>
      <c r="J29" s="8">
        <f t="shared" si="2"/>
        <v>0</v>
      </c>
      <c r="K29" s="8">
        <f t="shared" si="3"/>
        <v>5000.3011999999999</v>
      </c>
      <c r="L29" s="81">
        <f t="shared" si="4"/>
        <v>5000.3011999999999</v>
      </c>
      <c r="M29" s="81">
        <v>0</v>
      </c>
      <c r="N29" s="8"/>
      <c r="O29" s="82"/>
    </row>
    <row r="30" spans="1:15">
      <c r="A30" s="272">
        <v>27</v>
      </c>
      <c r="B30" s="270">
        <v>45804</v>
      </c>
      <c r="C30" s="80"/>
      <c r="D30" s="183"/>
      <c r="E30" s="391">
        <v>0</v>
      </c>
      <c r="F30" s="391">
        <v>0</v>
      </c>
      <c r="G30" s="8">
        <f t="shared" si="1"/>
        <v>0</v>
      </c>
      <c r="H30" s="78">
        <v>0</v>
      </c>
      <c r="I30" s="79">
        <v>0</v>
      </c>
      <c r="J30" s="8">
        <f t="shared" si="2"/>
        <v>0</v>
      </c>
      <c r="K30" s="8">
        <f t="shared" si="3"/>
        <v>0</v>
      </c>
      <c r="L30" s="81">
        <f t="shared" si="4"/>
        <v>0</v>
      </c>
      <c r="M30" s="81">
        <v>0</v>
      </c>
      <c r="N30" s="8"/>
      <c r="O30" s="82"/>
    </row>
    <row r="31" spans="1:15">
      <c r="A31" s="272">
        <v>28</v>
      </c>
      <c r="B31" s="270">
        <v>45805</v>
      </c>
      <c r="C31" s="80"/>
      <c r="D31" s="183"/>
      <c r="E31" s="391">
        <v>0</v>
      </c>
      <c r="F31" s="391">
        <v>0</v>
      </c>
      <c r="G31" s="8">
        <f t="shared" si="1"/>
        <v>0</v>
      </c>
      <c r="H31" s="78">
        <v>0</v>
      </c>
      <c r="I31" s="79">
        <v>0</v>
      </c>
      <c r="J31" s="8">
        <f t="shared" si="2"/>
        <v>0</v>
      </c>
      <c r="K31" s="8">
        <f t="shared" si="3"/>
        <v>0</v>
      </c>
      <c r="L31" s="81">
        <f t="shared" si="4"/>
        <v>0</v>
      </c>
      <c r="M31" s="81">
        <v>0</v>
      </c>
      <c r="N31" s="8"/>
      <c r="O31" s="82"/>
    </row>
    <row r="32" spans="1:15">
      <c r="A32" s="273">
        <v>29</v>
      </c>
      <c r="B32" s="270">
        <v>45806</v>
      </c>
      <c r="C32" s="80"/>
      <c r="D32" s="183"/>
      <c r="E32" s="391">
        <v>0</v>
      </c>
      <c r="F32" s="391">
        <v>0</v>
      </c>
      <c r="G32" s="8">
        <f t="shared" si="1"/>
        <v>0</v>
      </c>
      <c r="H32" s="78">
        <v>0</v>
      </c>
      <c r="I32" s="79">
        <v>0</v>
      </c>
      <c r="J32" s="8">
        <f t="shared" si="2"/>
        <v>0</v>
      </c>
      <c r="K32" s="8">
        <f t="shared" si="3"/>
        <v>0</v>
      </c>
      <c r="L32" s="81">
        <f t="shared" si="4"/>
        <v>0</v>
      </c>
      <c r="M32" s="81">
        <v>0</v>
      </c>
      <c r="N32" s="8"/>
      <c r="O32" s="82"/>
    </row>
    <row r="33" spans="1:15">
      <c r="A33" s="273">
        <v>30</v>
      </c>
      <c r="B33" s="270">
        <v>45807</v>
      </c>
      <c r="C33" s="80"/>
      <c r="D33" s="183"/>
      <c r="E33" s="391">
        <v>0</v>
      </c>
      <c r="F33" s="391">
        <v>0</v>
      </c>
      <c r="G33" s="8">
        <f t="shared" si="1"/>
        <v>0</v>
      </c>
      <c r="H33" s="78">
        <v>0</v>
      </c>
      <c r="I33" s="79">
        <v>0</v>
      </c>
      <c r="J33" s="8">
        <f t="shared" si="2"/>
        <v>0</v>
      </c>
      <c r="K33" s="8">
        <f t="shared" si="3"/>
        <v>0</v>
      </c>
      <c r="L33" s="81">
        <f t="shared" si="4"/>
        <v>0</v>
      </c>
      <c r="M33" s="81">
        <v>0</v>
      </c>
      <c r="N33" s="8"/>
      <c r="O33" s="82"/>
    </row>
    <row r="34" spans="1:15">
      <c r="A34" s="273">
        <v>31</v>
      </c>
      <c r="B34" s="270">
        <v>45808</v>
      </c>
      <c r="C34" s="80"/>
      <c r="D34" s="183"/>
      <c r="E34" s="391">
        <v>0</v>
      </c>
      <c r="F34" s="391">
        <v>0</v>
      </c>
      <c r="G34" s="8">
        <f t="shared" si="1"/>
        <v>0</v>
      </c>
      <c r="H34" s="78">
        <v>0</v>
      </c>
      <c r="I34" s="79">
        <v>0</v>
      </c>
      <c r="J34" s="8">
        <f t="shared" si="2"/>
        <v>0</v>
      </c>
      <c r="K34" s="8">
        <f t="shared" si="3"/>
        <v>0</v>
      </c>
      <c r="L34" s="81">
        <f t="shared" si="4"/>
        <v>0</v>
      </c>
      <c r="M34" s="81">
        <v>0</v>
      </c>
      <c r="N34" s="8"/>
      <c r="O34" s="82"/>
    </row>
    <row r="35" spans="1:15">
      <c r="A35" s="75"/>
      <c r="B35" s="75"/>
      <c r="C35" s="75"/>
      <c r="D35" s="75"/>
      <c r="E35" s="392">
        <f>SUM(E4:E34)</f>
        <v>160.67000000000002</v>
      </c>
      <c r="F35" s="392"/>
      <c r="G35" s="76">
        <f>SUM(G4:G34)</f>
        <v>15529.940499999999</v>
      </c>
      <c r="H35" s="76">
        <f>SUM(H4:H34)</f>
        <v>0</v>
      </c>
      <c r="I35" s="76"/>
      <c r="J35" s="76">
        <f>SUM(J4:J34)</f>
        <v>0</v>
      </c>
      <c r="K35" s="76">
        <f>SUM(K4:K34)</f>
        <v>15529.940499999999</v>
      </c>
      <c r="L35" s="76">
        <f>SUM(L4:L34)</f>
        <v>15529.940499999999</v>
      </c>
      <c r="M35" s="76"/>
      <c r="N35" s="76"/>
      <c r="O35" s="72"/>
    </row>
    <row r="36" spans="1:15">
      <c r="A36" s="86"/>
      <c r="B36" s="87"/>
      <c r="C36" s="86"/>
      <c r="D36" s="86"/>
      <c r="E36" s="88"/>
      <c r="F36" s="88"/>
      <c r="G36" s="88"/>
      <c r="H36" s="88"/>
      <c r="I36" s="88"/>
      <c r="J36" s="89"/>
      <c r="K36" s="89"/>
      <c r="L36" s="89"/>
      <c r="M36" s="89"/>
      <c r="N36" s="88"/>
      <c r="O36" s="82"/>
    </row>
    <row r="37" spans="1:15">
      <c r="O37" s="82"/>
    </row>
    <row r="38" spans="1:15">
      <c r="O38" s="82"/>
    </row>
    <row r="39" spans="1:15">
      <c r="O39" s="82"/>
    </row>
    <row r="40" spans="1:15">
      <c r="O40" s="82"/>
    </row>
    <row r="41" spans="1:15">
      <c r="O41" s="82"/>
    </row>
    <row r="42" spans="1:15">
      <c r="A42" s="82"/>
      <c r="B42" s="72"/>
      <c r="C42" s="82"/>
      <c r="D42" s="82"/>
      <c r="E42" s="82"/>
      <c r="F42" s="82"/>
      <c r="G42" s="90"/>
      <c r="H42" s="82"/>
      <c r="I42" s="82"/>
      <c r="J42" s="72"/>
      <c r="K42" s="72"/>
      <c r="L42" s="72"/>
      <c r="M42" s="72"/>
      <c r="N42" s="82"/>
      <c r="O42" s="88"/>
    </row>
    <row r="43" spans="1:15">
      <c r="A43" s="82"/>
      <c r="B43" s="452"/>
      <c r="C43" s="452"/>
      <c r="D43" s="452"/>
      <c r="E43" s="452"/>
      <c r="F43" s="82"/>
      <c r="G43" s="82"/>
      <c r="H43" s="82"/>
      <c r="I43" s="452"/>
      <c r="J43" s="452"/>
      <c r="K43" s="452"/>
      <c r="L43" s="452"/>
      <c r="M43" s="452"/>
      <c r="N43" s="452"/>
      <c r="O43" s="88"/>
    </row>
    <row r="44" spans="1:15">
      <c r="A44" s="82"/>
      <c r="B44" s="72"/>
      <c r="C44" s="82"/>
      <c r="D44" s="82"/>
      <c r="E44" s="82"/>
      <c r="F44" s="82"/>
      <c r="G44" s="82"/>
      <c r="H44" s="82"/>
      <c r="I44" s="82"/>
      <c r="J44" s="72"/>
      <c r="K44" s="72"/>
      <c r="L44" s="72"/>
      <c r="M44" s="72"/>
      <c r="N44" s="82"/>
      <c r="O44" s="88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3" activePane="bottomLeft" state="frozen"/>
      <selection pane="bottomLeft" activeCell="L40" sqref="L40"/>
    </sheetView>
  </sheetViews>
  <sheetFormatPr defaultColWidth="9.28515625" defaultRowHeight="15"/>
  <cols>
    <col min="1" max="1" width="5.42578125" style="63" bestFit="1" customWidth="1"/>
    <col min="2" max="2" width="11" style="63" bestFit="1" customWidth="1"/>
    <col min="3" max="3" width="7.140625" style="63" bestFit="1" customWidth="1"/>
    <col min="4" max="4" width="15.140625" style="63" bestFit="1" customWidth="1"/>
    <col min="5" max="5" width="9.28515625" style="63"/>
    <col min="6" max="6" width="9.85546875" style="63" bestFit="1" customWidth="1"/>
    <col min="7" max="7" width="10.42578125" style="63" bestFit="1" customWidth="1"/>
    <col min="8" max="8" width="9.28515625" style="63"/>
    <col min="9" max="9" width="7.140625" style="63" bestFit="1" customWidth="1"/>
    <col min="10" max="10" width="9.5703125" style="63" bestFit="1" customWidth="1"/>
    <col min="11" max="11" width="12.28515625" style="63" customWidth="1"/>
    <col min="12" max="12" width="11.7109375" style="63" bestFit="1" customWidth="1"/>
    <col min="13" max="13" width="11.7109375" style="63" customWidth="1"/>
    <col min="14" max="14" width="17.7109375" style="63" bestFit="1" customWidth="1"/>
    <col min="15" max="16384" width="9.28515625" style="63"/>
  </cols>
  <sheetData>
    <row r="1" spans="1:15" ht="15.75">
      <c r="A1" s="453" t="s">
        <v>44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</row>
    <row r="2" spans="1:15">
      <c r="A2" s="102" t="s">
        <v>99</v>
      </c>
      <c r="B2" s="103" t="s">
        <v>100</v>
      </c>
      <c r="C2" s="103" t="s">
        <v>101</v>
      </c>
      <c r="D2" s="103" t="s">
        <v>102</v>
      </c>
      <c r="E2" s="103" t="s">
        <v>103</v>
      </c>
      <c r="F2" s="103" t="s">
        <v>104</v>
      </c>
      <c r="G2" s="103" t="s">
        <v>105</v>
      </c>
      <c r="H2" s="103" t="s">
        <v>106</v>
      </c>
      <c r="I2" s="103" t="s">
        <v>104</v>
      </c>
      <c r="J2" s="129" t="s">
        <v>105</v>
      </c>
      <c r="K2" s="131" t="s">
        <v>107</v>
      </c>
      <c r="L2" s="132" t="s">
        <v>108</v>
      </c>
      <c r="M2" s="133" t="s">
        <v>115</v>
      </c>
      <c r="N2" s="104" t="s">
        <v>110</v>
      </c>
      <c r="O2" s="35"/>
    </row>
    <row r="3" spans="1:15" ht="15.75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51"/>
      <c r="K3" s="64">
        <v>0</v>
      </c>
      <c r="L3" s="61"/>
      <c r="M3" s="137">
        <v>237520</v>
      </c>
      <c r="N3" s="61"/>
    </row>
    <row r="4" spans="1:15" ht="15.75">
      <c r="A4" s="28">
        <v>1</v>
      </c>
      <c r="B4" s="29">
        <v>45778</v>
      </c>
      <c r="C4" s="135"/>
      <c r="D4" s="136"/>
      <c r="E4" s="93">
        <v>0</v>
      </c>
      <c r="F4" s="134"/>
      <c r="G4" s="134">
        <f>E4*F4</f>
        <v>0</v>
      </c>
      <c r="H4" s="134">
        <v>0</v>
      </c>
      <c r="I4" s="134">
        <v>0</v>
      </c>
      <c r="J4" s="134">
        <f>H4*I4</f>
        <v>0</v>
      </c>
      <c r="K4" s="134">
        <f>G4+J4</f>
        <v>0</v>
      </c>
      <c r="L4" s="134"/>
      <c r="M4" s="140">
        <f>M3+K4-L4</f>
        <v>237520</v>
      </c>
      <c r="N4" s="134"/>
    </row>
    <row r="5" spans="1:15" ht="15.75">
      <c r="A5" s="28">
        <v>2</v>
      </c>
      <c r="B5" s="29">
        <v>45779</v>
      </c>
      <c r="C5" s="25"/>
      <c r="D5" s="26"/>
      <c r="E5" s="93">
        <v>0</v>
      </c>
      <c r="F5" s="134"/>
      <c r="G5" s="134">
        <f t="shared" ref="G5:G33" si="0">E5*F5</f>
        <v>0</v>
      </c>
      <c r="H5" s="134">
        <v>70</v>
      </c>
      <c r="I5" s="134">
        <v>103.86</v>
      </c>
      <c r="J5" s="134">
        <f t="shared" ref="J5:J33" si="1">H5*I5</f>
        <v>7270.2</v>
      </c>
      <c r="K5" s="134">
        <f t="shared" ref="K5:K33" si="2">G5+J5</f>
        <v>7270.2</v>
      </c>
      <c r="L5" s="134"/>
      <c r="M5" s="140">
        <f>M4+K5-L5</f>
        <v>244790.2</v>
      </c>
      <c r="N5" s="53"/>
    </row>
    <row r="6" spans="1:15" ht="18.75" customHeight="1">
      <c r="A6" s="28">
        <v>3</v>
      </c>
      <c r="B6" s="29">
        <v>45780</v>
      </c>
      <c r="C6" s="248"/>
      <c r="D6" s="224"/>
      <c r="E6" s="93">
        <v>0</v>
      </c>
      <c r="F6" s="134"/>
      <c r="G6" s="134">
        <f t="shared" si="0"/>
        <v>0</v>
      </c>
      <c r="H6" s="134">
        <v>0</v>
      </c>
      <c r="I6" s="134">
        <v>0</v>
      </c>
      <c r="J6" s="134">
        <f t="shared" si="1"/>
        <v>0</v>
      </c>
      <c r="K6" s="134">
        <f t="shared" si="2"/>
        <v>0</v>
      </c>
      <c r="L6" s="134"/>
      <c r="M6" s="140">
        <f>M5+K6-L6</f>
        <v>244790.2</v>
      </c>
      <c r="N6" s="61"/>
    </row>
    <row r="7" spans="1:15" ht="15.75">
      <c r="A7" s="28">
        <v>4</v>
      </c>
      <c r="B7" s="29">
        <v>45781</v>
      </c>
      <c r="C7" s="246"/>
      <c r="D7" s="247"/>
      <c r="E7" s="93">
        <v>0</v>
      </c>
      <c r="F7" s="134"/>
      <c r="G7" s="134">
        <f t="shared" si="0"/>
        <v>0</v>
      </c>
      <c r="H7" s="134">
        <v>0</v>
      </c>
      <c r="I7" s="134">
        <v>0</v>
      </c>
      <c r="J7" s="134">
        <f t="shared" si="1"/>
        <v>0</v>
      </c>
      <c r="K7" s="134">
        <f t="shared" si="2"/>
        <v>0</v>
      </c>
      <c r="L7" s="134"/>
      <c r="M7" s="140">
        <f>M6+K7-L7</f>
        <v>244790.2</v>
      </c>
      <c r="N7" s="53"/>
    </row>
    <row r="8" spans="1:15" ht="15.75" customHeight="1">
      <c r="A8" s="28">
        <v>5</v>
      </c>
      <c r="B8" s="29">
        <v>45782</v>
      </c>
      <c r="C8" s="134"/>
      <c r="D8" s="134"/>
      <c r="E8" s="93">
        <v>0</v>
      </c>
      <c r="F8" s="134"/>
      <c r="G8" s="134">
        <f t="shared" si="0"/>
        <v>0</v>
      </c>
      <c r="H8" s="134">
        <v>0</v>
      </c>
      <c r="I8" s="134">
        <v>0</v>
      </c>
      <c r="J8" s="134">
        <f t="shared" si="1"/>
        <v>0</v>
      </c>
      <c r="K8" s="134">
        <f t="shared" si="2"/>
        <v>0</v>
      </c>
      <c r="L8" s="134"/>
      <c r="M8" s="140">
        <f>M7+K8-L8</f>
        <v>244790.2</v>
      </c>
      <c r="N8" s="61"/>
    </row>
    <row r="9" spans="1:15" ht="15.75" customHeight="1">
      <c r="A9" s="28">
        <v>6</v>
      </c>
      <c r="B9" s="29">
        <v>45783</v>
      </c>
      <c r="C9" s="61"/>
      <c r="D9" s="134"/>
      <c r="E9" s="93">
        <v>0</v>
      </c>
      <c r="F9" s="134"/>
      <c r="G9" s="134">
        <f t="shared" si="0"/>
        <v>0</v>
      </c>
      <c r="H9" s="134">
        <v>0</v>
      </c>
      <c r="I9" s="134">
        <v>0</v>
      </c>
      <c r="J9" s="134">
        <f t="shared" si="1"/>
        <v>0</v>
      </c>
      <c r="K9" s="134">
        <f t="shared" si="2"/>
        <v>0</v>
      </c>
      <c r="L9" s="134">
        <v>150000</v>
      </c>
      <c r="M9" s="140">
        <f>M8+K9-L9</f>
        <v>94790.200000000012</v>
      </c>
      <c r="N9" s="61"/>
    </row>
    <row r="10" spans="1:15" ht="15.75" customHeight="1">
      <c r="A10" s="28">
        <v>7</v>
      </c>
      <c r="B10" s="29">
        <v>45784</v>
      </c>
      <c r="C10" s="61"/>
      <c r="D10" s="134"/>
      <c r="E10" s="93">
        <v>0</v>
      </c>
      <c r="F10" s="134"/>
      <c r="G10" s="134">
        <f t="shared" si="0"/>
        <v>0</v>
      </c>
      <c r="H10" s="134">
        <v>0</v>
      </c>
      <c r="I10" s="134">
        <v>0</v>
      </c>
      <c r="J10" s="134">
        <f t="shared" si="1"/>
        <v>0</v>
      </c>
      <c r="K10" s="134">
        <f t="shared" si="2"/>
        <v>0</v>
      </c>
      <c r="L10" s="134"/>
      <c r="M10" s="140">
        <f>M9+K10-L10</f>
        <v>94790.200000000012</v>
      </c>
      <c r="N10" s="61"/>
    </row>
    <row r="11" spans="1:15" ht="15.75" customHeight="1">
      <c r="A11" s="28">
        <v>8</v>
      </c>
      <c r="B11" s="29">
        <v>45785</v>
      </c>
      <c r="C11" s="61"/>
      <c r="D11" s="134"/>
      <c r="E11" s="93">
        <v>0</v>
      </c>
      <c r="F11" s="134"/>
      <c r="G11" s="134">
        <f t="shared" si="0"/>
        <v>0</v>
      </c>
      <c r="H11" s="134">
        <v>0</v>
      </c>
      <c r="I11" s="134">
        <v>0</v>
      </c>
      <c r="J11" s="134">
        <f t="shared" si="1"/>
        <v>0</v>
      </c>
      <c r="K11" s="134">
        <f t="shared" si="2"/>
        <v>0</v>
      </c>
      <c r="L11" s="134"/>
      <c r="M11" s="140">
        <f>M10+K11-L11</f>
        <v>94790.200000000012</v>
      </c>
      <c r="N11" s="61"/>
    </row>
    <row r="12" spans="1:15" ht="15.75" customHeight="1">
      <c r="A12" s="28">
        <v>9</v>
      </c>
      <c r="B12" s="29">
        <v>45786</v>
      </c>
      <c r="C12" s="61"/>
      <c r="D12" s="134"/>
      <c r="E12" s="93">
        <v>0</v>
      </c>
      <c r="F12" s="134"/>
      <c r="G12" s="134">
        <f t="shared" si="0"/>
        <v>0</v>
      </c>
      <c r="H12" s="134">
        <v>0</v>
      </c>
      <c r="I12" s="134">
        <v>0</v>
      </c>
      <c r="J12" s="134">
        <f t="shared" si="1"/>
        <v>0</v>
      </c>
      <c r="K12" s="134">
        <f t="shared" si="2"/>
        <v>0</v>
      </c>
      <c r="L12" s="134"/>
      <c r="M12" s="140">
        <f>M11+K12-L12</f>
        <v>94790.200000000012</v>
      </c>
      <c r="N12" s="61"/>
    </row>
    <row r="13" spans="1:15" ht="15.75" customHeight="1">
      <c r="A13" s="28">
        <v>10</v>
      </c>
      <c r="B13" s="29">
        <v>45787</v>
      </c>
      <c r="C13" s="61"/>
      <c r="D13" s="134"/>
      <c r="E13" s="93">
        <v>0</v>
      </c>
      <c r="F13" s="134"/>
      <c r="G13" s="134">
        <f t="shared" si="0"/>
        <v>0</v>
      </c>
      <c r="H13" s="134">
        <v>70</v>
      </c>
      <c r="I13" s="134">
        <v>103.86</v>
      </c>
      <c r="J13" s="134">
        <f t="shared" si="1"/>
        <v>7270.2</v>
      </c>
      <c r="K13" s="134">
        <f t="shared" si="2"/>
        <v>7270.2</v>
      </c>
      <c r="L13" s="134"/>
      <c r="M13" s="140">
        <f>M12+K13-L13</f>
        <v>102060.40000000001</v>
      </c>
      <c r="N13" s="61"/>
    </row>
    <row r="14" spans="1:15" ht="15.75" customHeight="1">
      <c r="A14" s="28">
        <v>11</v>
      </c>
      <c r="B14" s="29">
        <v>45788</v>
      </c>
      <c r="C14" s="61"/>
      <c r="D14" s="134"/>
      <c r="E14" s="93">
        <v>0</v>
      </c>
      <c r="F14" s="134"/>
      <c r="G14" s="134">
        <f t="shared" si="0"/>
        <v>0</v>
      </c>
      <c r="H14" s="134">
        <v>0</v>
      </c>
      <c r="I14" s="134">
        <v>0</v>
      </c>
      <c r="J14" s="134">
        <f t="shared" si="1"/>
        <v>0</v>
      </c>
      <c r="K14" s="134">
        <f t="shared" si="2"/>
        <v>0</v>
      </c>
      <c r="L14" s="134"/>
      <c r="M14" s="140">
        <f>M13+K14-L14</f>
        <v>102060.40000000001</v>
      </c>
      <c r="N14" s="61"/>
    </row>
    <row r="15" spans="1:15" ht="15.75" customHeight="1">
      <c r="A15" s="28">
        <v>12</v>
      </c>
      <c r="B15" s="29">
        <v>45789</v>
      </c>
      <c r="C15" s="61"/>
      <c r="D15" s="134"/>
      <c r="E15" s="93">
        <v>0</v>
      </c>
      <c r="F15" s="134"/>
      <c r="G15" s="134">
        <f t="shared" si="0"/>
        <v>0</v>
      </c>
      <c r="H15" s="134">
        <v>0</v>
      </c>
      <c r="I15" s="134">
        <v>0</v>
      </c>
      <c r="J15" s="134">
        <f t="shared" si="1"/>
        <v>0</v>
      </c>
      <c r="K15" s="134">
        <f t="shared" si="2"/>
        <v>0</v>
      </c>
      <c r="L15" s="134">
        <v>100000</v>
      </c>
      <c r="M15" s="140">
        <f>M14+K15-L15</f>
        <v>2060.4000000000087</v>
      </c>
      <c r="N15" s="61"/>
    </row>
    <row r="16" spans="1:15" ht="15.75" customHeight="1">
      <c r="A16" s="28">
        <v>13</v>
      </c>
      <c r="B16" s="29">
        <v>45790</v>
      </c>
      <c r="C16" s="61"/>
      <c r="D16" s="134"/>
      <c r="E16" s="93">
        <v>0</v>
      </c>
      <c r="F16" s="134"/>
      <c r="G16" s="134">
        <f t="shared" si="0"/>
        <v>0</v>
      </c>
      <c r="H16" s="134">
        <v>0</v>
      </c>
      <c r="I16" s="134">
        <v>0</v>
      </c>
      <c r="J16" s="134">
        <f t="shared" si="1"/>
        <v>0</v>
      </c>
      <c r="K16" s="134">
        <f t="shared" si="2"/>
        <v>0</v>
      </c>
      <c r="L16" s="134"/>
      <c r="M16" s="140">
        <f>M15+K16-L16</f>
        <v>2060.4000000000087</v>
      </c>
      <c r="N16" s="61"/>
    </row>
    <row r="17" spans="1:14" ht="15.75" customHeight="1">
      <c r="A17" s="28">
        <v>14</v>
      </c>
      <c r="B17" s="29">
        <v>45791</v>
      </c>
      <c r="C17" s="61"/>
      <c r="D17" s="134"/>
      <c r="E17" s="93">
        <v>0</v>
      </c>
      <c r="F17" s="134"/>
      <c r="G17" s="134">
        <f t="shared" si="0"/>
        <v>0</v>
      </c>
      <c r="H17" s="134">
        <v>0</v>
      </c>
      <c r="I17" s="134">
        <v>0</v>
      </c>
      <c r="J17" s="134">
        <f t="shared" si="1"/>
        <v>0</v>
      </c>
      <c r="K17" s="134">
        <f t="shared" si="2"/>
        <v>0</v>
      </c>
      <c r="L17" s="134"/>
      <c r="M17" s="140">
        <f>M16+K17-L17</f>
        <v>2060.4000000000087</v>
      </c>
      <c r="N17" s="61"/>
    </row>
    <row r="18" spans="1:14" ht="15.75" customHeight="1">
      <c r="A18" s="28">
        <v>15</v>
      </c>
      <c r="B18" s="29">
        <v>45792</v>
      </c>
      <c r="C18" s="61"/>
      <c r="D18" s="134"/>
      <c r="E18" s="93">
        <v>0</v>
      </c>
      <c r="F18" s="134"/>
      <c r="G18" s="134">
        <f t="shared" si="0"/>
        <v>0</v>
      </c>
      <c r="H18" s="134">
        <v>0</v>
      </c>
      <c r="I18" s="134">
        <v>0</v>
      </c>
      <c r="J18" s="134">
        <f t="shared" si="1"/>
        <v>0</v>
      </c>
      <c r="K18" s="134">
        <f t="shared" si="2"/>
        <v>0</v>
      </c>
      <c r="L18" s="134"/>
      <c r="M18" s="140">
        <f>M17+K18-L18</f>
        <v>2060.4000000000087</v>
      </c>
      <c r="N18" s="61"/>
    </row>
    <row r="19" spans="1:14" ht="15.75" customHeight="1">
      <c r="A19" s="28">
        <v>16</v>
      </c>
      <c r="B19" s="29">
        <v>45793</v>
      </c>
      <c r="C19" s="61"/>
      <c r="D19" s="134"/>
      <c r="E19" s="93">
        <v>2400</v>
      </c>
      <c r="F19" s="134">
        <v>92.1</v>
      </c>
      <c r="G19" s="134">
        <f t="shared" si="0"/>
        <v>221040</v>
      </c>
      <c r="H19" s="134">
        <v>70</v>
      </c>
      <c r="I19" s="134">
        <v>103.86</v>
      </c>
      <c r="J19" s="134">
        <f t="shared" si="1"/>
        <v>7270.2</v>
      </c>
      <c r="K19" s="134">
        <f t="shared" si="2"/>
        <v>228310.2</v>
      </c>
      <c r="L19" s="134"/>
      <c r="M19" s="140">
        <f>M18+K19-L19</f>
        <v>230370.60000000003</v>
      </c>
      <c r="N19" s="61"/>
    </row>
    <row r="20" spans="1:14" ht="15.75" customHeight="1">
      <c r="A20" s="28">
        <v>17</v>
      </c>
      <c r="B20" s="29">
        <v>45794</v>
      </c>
      <c r="C20" s="61"/>
      <c r="D20" s="134"/>
      <c r="E20" s="93">
        <v>0</v>
      </c>
      <c r="F20" s="134"/>
      <c r="G20" s="134">
        <f t="shared" si="0"/>
        <v>0</v>
      </c>
      <c r="H20" s="134">
        <v>0</v>
      </c>
      <c r="I20" s="134">
        <v>0</v>
      </c>
      <c r="J20" s="134">
        <f t="shared" si="1"/>
        <v>0</v>
      </c>
      <c r="K20" s="134">
        <f t="shared" si="2"/>
        <v>0</v>
      </c>
      <c r="L20" s="134"/>
      <c r="M20" s="140">
        <f>M19+K20-L20</f>
        <v>230370.60000000003</v>
      </c>
      <c r="N20" s="61"/>
    </row>
    <row r="21" spans="1:14" ht="15.75" customHeight="1">
      <c r="A21" s="28">
        <v>18</v>
      </c>
      <c r="B21" s="29">
        <v>45795</v>
      </c>
      <c r="C21" s="61"/>
      <c r="D21" s="134"/>
      <c r="E21" s="93">
        <v>0</v>
      </c>
      <c r="F21" s="134"/>
      <c r="G21" s="134">
        <f t="shared" si="0"/>
        <v>0</v>
      </c>
      <c r="H21" s="134">
        <v>0</v>
      </c>
      <c r="I21" s="134">
        <v>0</v>
      </c>
      <c r="J21" s="134">
        <f t="shared" si="1"/>
        <v>0</v>
      </c>
      <c r="K21" s="134">
        <f t="shared" si="2"/>
        <v>0</v>
      </c>
      <c r="L21" s="134"/>
      <c r="M21" s="140">
        <f>M20+K21-L21</f>
        <v>230370.60000000003</v>
      </c>
      <c r="N21" s="61"/>
    </row>
    <row r="22" spans="1:14" ht="15.75" customHeight="1">
      <c r="A22" s="28">
        <v>19</v>
      </c>
      <c r="B22" s="29">
        <v>45796</v>
      </c>
      <c r="C22" s="61"/>
      <c r="D22" s="134"/>
      <c r="E22" s="93">
        <v>0</v>
      </c>
      <c r="F22" s="134"/>
      <c r="G22" s="134">
        <f t="shared" si="0"/>
        <v>0</v>
      </c>
      <c r="H22" s="134">
        <v>0</v>
      </c>
      <c r="I22" s="134">
        <v>0</v>
      </c>
      <c r="J22" s="134">
        <f t="shared" si="1"/>
        <v>0</v>
      </c>
      <c r="K22" s="134">
        <f t="shared" si="2"/>
        <v>0</v>
      </c>
      <c r="L22" s="134"/>
      <c r="M22" s="140">
        <f>M21+K22-L22</f>
        <v>230370.60000000003</v>
      </c>
      <c r="N22" s="61"/>
    </row>
    <row r="23" spans="1:14" ht="15.75" customHeight="1">
      <c r="A23" s="28">
        <v>20</v>
      </c>
      <c r="B23" s="29">
        <v>45797</v>
      </c>
      <c r="C23" s="61"/>
      <c r="D23" s="134"/>
      <c r="E23" s="93">
        <v>0</v>
      </c>
      <c r="F23" s="134"/>
      <c r="G23" s="134">
        <f t="shared" si="0"/>
        <v>0</v>
      </c>
      <c r="H23" s="134">
        <v>0</v>
      </c>
      <c r="I23" s="134">
        <v>0</v>
      </c>
      <c r="J23" s="134">
        <f t="shared" si="1"/>
        <v>0</v>
      </c>
      <c r="K23" s="134">
        <f t="shared" si="2"/>
        <v>0</v>
      </c>
      <c r="L23" s="134"/>
      <c r="M23" s="140">
        <f>M22+K23-L23</f>
        <v>230370.60000000003</v>
      </c>
      <c r="N23" s="61"/>
    </row>
    <row r="24" spans="1:14" ht="15.75" customHeight="1">
      <c r="A24" s="28">
        <v>21</v>
      </c>
      <c r="B24" s="29">
        <v>45798</v>
      </c>
      <c r="C24" s="61"/>
      <c r="D24" s="134"/>
      <c r="E24" s="93">
        <v>0</v>
      </c>
      <c r="F24" s="134"/>
      <c r="G24" s="134">
        <f t="shared" si="0"/>
        <v>0</v>
      </c>
      <c r="H24" s="134">
        <v>0</v>
      </c>
      <c r="I24" s="134">
        <v>0</v>
      </c>
      <c r="J24" s="134">
        <f t="shared" si="1"/>
        <v>0</v>
      </c>
      <c r="K24" s="134">
        <f t="shared" si="2"/>
        <v>0</v>
      </c>
      <c r="L24" s="134"/>
      <c r="M24" s="140">
        <f>M23+K24-L24</f>
        <v>230370.60000000003</v>
      </c>
      <c r="N24" s="61"/>
    </row>
    <row r="25" spans="1:14" ht="15.75" customHeight="1">
      <c r="A25" s="28">
        <v>22</v>
      </c>
      <c r="B25" s="29">
        <v>45799</v>
      </c>
      <c r="C25" s="61"/>
      <c r="D25" s="134"/>
      <c r="E25" s="93">
        <v>0</v>
      </c>
      <c r="F25" s="134"/>
      <c r="G25" s="134">
        <f t="shared" si="0"/>
        <v>0</v>
      </c>
      <c r="H25" s="134">
        <v>0</v>
      </c>
      <c r="I25" s="134">
        <v>0</v>
      </c>
      <c r="J25" s="134">
        <f t="shared" si="1"/>
        <v>0</v>
      </c>
      <c r="K25" s="134">
        <f t="shared" si="2"/>
        <v>0</v>
      </c>
      <c r="L25" s="134"/>
      <c r="M25" s="140">
        <f>M24+K25-L25</f>
        <v>230370.60000000003</v>
      </c>
      <c r="N25" s="61"/>
    </row>
    <row r="26" spans="1:14" ht="15.75" customHeight="1">
      <c r="A26" s="28">
        <v>23</v>
      </c>
      <c r="B26" s="29">
        <v>45800</v>
      </c>
      <c r="C26" s="61"/>
      <c r="D26" s="134"/>
      <c r="E26" s="93">
        <v>0</v>
      </c>
      <c r="F26" s="134"/>
      <c r="G26" s="134">
        <f t="shared" si="0"/>
        <v>0</v>
      </c>
      <c r="H26" s="134">
        <v>0</v>
      </c>
      <c r="I26" s="134">
        <v>0</v>
      </c>
      <c r="J26" s="134">
        <f t="shared" si="1"/>
        <v>0</v>
      </c>
      <c r="K26" s="134">
        <f t="shared" si="2"/>
        <v>0</v>
      </c>
      <c r="L26" s="134"/>
      <c r="M26" s="140">
        <f>M25+K26-L26</f>
        <v>230370.60000000003</v>
      </c>
      <c r="N26" s="61"/>
    </row>
    <row r="27" spans="1:14" ht="15.75" customHeight="1">
      <c r="A27" s="28">
        <v>24</v>
      </c>
      <c r="B27" s="29">
        <v>45801</v>
      </c>
      <c r="C27" s="61"/>
      <c r="D27" s="134"/>
      <c r="E27" s="93">
        <v>0</v>
      </c>
      <c r="F27" s="134"/>
      <c r="G27" s="134">
        <f t="shared" si="0"/>
        <v>0</v>
      </c>
      <c r="H27" s="134">
        <v>0</v>
      </c>
      <c r="I27" s="134">
        <v>0</v>
      </c>
      <c r="J27" s="134">
        <f t="shared" si="1"/>
        <v>0</v>
      </c>
      <c r="K27" s="134">
        <f t="shared" si="2"/>
        <v>0</v>
      </c>
      <c r="L27" s="134"/>
      <c r="M27" s="140">
        <f>M26+K27-L27</f>
        <v>230370.60000000003</v>
      </c>
      <c r="N27" s="61"/>
    </row>
    <row r="28" spans="1:14" ht="15.75" customHeight="1">
      <c r="A28" s="28">
        <v>25</v>
      </c>
      <c r="B28" s="29">
        <v>45802</v>
      </c>
      <c r="C28" s="61"/>
      <c r="D28" s="134"/>
      <c r="E28" s="93">
        <v>0</v>
      </c>
      <c r="F28" s="134"/>
      <c r="G28" s="134">
        <f t="shared" si="0"/>
        <v>0</v>
      </c>
      <c r="H28" s="134">
        <v>0</v>
      </c>
      <c r="I28" s="134">
        <v>0</v>
      </c>
      <c r="J28" s="134">
        <f t="shared" si="1"/>
        <v>0</v>
      </c>
      <c r="K28" s="134">
        <f t="shared" si="2"/>
        <v>0</v>
      </c>
      <c r="L28" s="134"/>
      <c r="M28" s="140">
        <f>M27+K28-L28</f>
        <v>230370.60000000003</v>
      </c>
      <c r="N28" s="61"/>
    </row>
    <row r="29" spans="1:14" ht="15.75" customHeight="1">
      <c r="A29" s="28">
        <v>26</v>
      </c>
      <c r="B29" s="29">
        <v>45803</v>
      </c>
      <c r="C29" s="61"/>
      <c r="D29" s="134"/>
      <c r="E29" s="93">
        <v>0</v>
      </c>
      <c r="F29" s="134"/>
      <c r="G29" s="134">
        <f t="shared" si="0"/>
        <v>0</v>
      </c>
      <c r="H29" s="134">
        <v>0</v>
      </c>
      <c r="I29" s="134">
        <v>0</v>
      </c>
      <c r="J29" s="134">
        <f t="shared" si="1"/>
        <v>0</v>
      </c>
      <c r="K29" s="134">
        <f t="shared" si="2"/>
        <v>0</v>
      </c>
      <c r="L29" s="134"/>
      <c r="M29" s="140">
        <f>M28+K29-L29</f>
        <v>230370.60000000003</v>
      </c>
      <c r="N29" s="61"/>
    </row>
    <row r="30" spans="1:14" ht="15.75" customHeight="1">
      <c r="A30" s="28">
        <v>27</v>
      </c>
      <c r="B30" s="29">
        <v>45804</v>
      </c>
      <c r="C30" s="61"/>
      <c r="D30" s="134"/>
      <c r="E30" s="93">
        <v>0</v>
      </c>
      <c r="F30" s="134"/>
      <c r="G30" s="134">
        <f t="shared" si="0"/>
        <v>0</v>
      </c>
      <c r="H30" s="134">
        <v>0</v>
      </c>
      <c r="I30" s="134">
        <v>0</v>
      </c>
      <c r="J30" s="134">
        <f t="shared" si="1"/>
        <v>0</v>
      </c>
      <c r="K30" s="134">
        <f t="shared" si="2"/>
        <v>0</v>
      </c>
      <c r="L30" s="134">
        <v>150000</v>
      </c>
      <c r="M30" s="140">
        <f>M29+K30-L30</f>
        <v>80370.600000000035</v>
      </c>
      <c r="N30" s="61"/>
    </row>
    <row r="31" spans="1:14" ht="15.75" customHeight="1">
      <c r="A31" s="28">
        <v>28</v>
      </c>
      <c r="B31" s="29">
        <v>45805</v>
      </c>
      <c r="C31" s="61"/>
      <c r="D31" s="134"/>
      <c r="E31" s="93">
        <v>0</v>
      </c>
      <c r="F31" s="134"/>
      <c r="G31" s="134">
        <f t="shared" si="0"/>
        <v>0</v>
      </c>
      <c r="H31" s="134">
        <v>0</v>
      </c>
      <c r="I31" s="134">
        <v>0</v>
      </c>
      <c r="J31" s="134">
        <f t="shared" si="1"/>
        <v>0</v>
      </c>
      <c r="K31" s="134">
        <f t="shared" si="2"/>
        <v>0</v>
      </c>
      <c r="L31" s="134"/>
      <c r="M31" s="140">
        <f>M30+K31-L31</f>
        <v>80370.600000000035</v>
      </c>
      <c r="N31" s="61"/>
    </row>
    <row r="32" spans="1:14" ht="15.75" customHeight="1">
      <c r="A32" s="28">
        <v>29</v>
      </c>
      <c r="B32" s="29">
        <v>45806</v>
      </c>
      <c r="C32" s="61"/>
      <c r="D32" s="134"/>
      <c r="E32" s="93">
        <v>0</v>
      </c>
      <c r="F32" s="134"/>
      <c r="G32" s="134">
        <f t="shared" si="0"/>
        <v>0</v>
      </c>
      <c r="H32" s="134">
        <v>0</v>
      </c>
      <c r="I32" s="134">
        <v>0</v>
      </c>
      <c r="J32" s="134">
        <f t="shared" si="1"/>
        <v>0</v>
      </c>
      <c r="K32" s="134">
        <f t="shared" si="2"/>
        <v>0</v>
      </c>
      <c r="L32" s="134"/>
      <c r="M32" s="140">
        <f>M31+K32-L32</f>
        <v>80370.600000000035</v>
      </c>
      <c r="N32" s="61"/>
    </row>
    <row r="33" spans="1:15" ht="15.75" customHeight="1">
      <c r="A33" s="28">
        <v>30</v>
      </c>
      <c r="B33" s="29">
        <v>45807</v>
      </c>
      <c r="C33" s="61"/>
      <c r="D33" s="134"/>
      <c r="E33" s="93">
        <v>0</v>
      </c>
      <c r="F33" s="134"/>
      <c r="G33" s="134">
        <f t="shared" si="0"/>
        <v>0</v>
      </c>
      <c r="H33" s="134">
        <v>70</v>
      </c>
      <c r="I33" s="134">
        <v>103.86</v>
      </c>
      <c r="J33" s="134">
        <f t="shared" si="1"/>
        <v>7270.2</v>
      </c>
      <c r="K33" s="134">
        <f t="shared" si="2"/>
        <v>7270.2</v>
      </c>
      <c r="L33" s="134"/>
      <c r="M33" s="140">
        <f>M32+K33-L33</f>
        <v>87640.800000000032</v>
      </c>
      <c r="N33" s="61"/>
    </row>
    <row r="34" spans="1:15" ht="15.75" customHeight="1">
      <c r="A34" s="28">
        <v>31</v>
      </c>
      <c r="B34" s="29">
        <v>45808</v>
      </c>
      <c r="C34" s="61"/>
      <c r="D34" s="134"/>
      <c r="E34" s="93">
        <v>0</v>
      </c>
      <c r="F34" s="134"/>
      <c r="G34" s="134">
        <f t="shared" ref="G5:G34" si="3">E34*F34</f>
        <v>0</v>
      </c>
      <c r="H34" s="134">
        <v>0</v>
      </c>
      <c r="I34" s="134">
        <v>0</v>
      </c>
      <c r="J34" s="134">
        <f t="shared" ref="J5:J34" si="4">H34*I34</f>
        <v>0</v>
      </c>
      <c r="K34" s="134">
        <f t="shared" ref="K5:K34" si="5">G34+J34</f>
        <v>0</v>
      </c>
      <c r="L34" s="134"/>
      <c r="M34" s="140">
        <f>M33+K34-L34</f>
        <v>87640.800000000032</v>
      </c>
      <c r="N34" s="61"/>
    </row>
    <row r="35" spans="1:15">
      <c r="A35" s="51"/>
      <c r="B35" s="51"/>
      <c r="C35" s="51"/>
      <c r="D35" s="51"/>
      <c r="E35" s="52">
        <f>SUM(E4:E34)</f>
        <v>2400</v>
      </c>
      <c r="F35" s="52"/>
      <c r="G35" s="52">
        <f>SUM(G4:G34)</f>
        <v>221040</v>
      </c>
      <c r="H35" s="52">
        <f>SUM(H4:H34)</f>
        <v>280</v>
      </c>
      <c r="I35" s="52"/>
      <c r="J35" s="52">
        <f>SUM(J4:J34)</f>
        <v>29080.799999999999</v>
      </c>
      <c r="K35" s="52">
        <f>SUM(K4:K34)</f>
        <v>250120.80000000002</v>
      </c>
      <c r="L35" s="52">
        <f>SUM(L4:L34)</f>
        <v>400000</v>
      </c>
      <c r="M35" s="52"/>
      <c r="N35" s="52"/>
      <c r="O35" s="35"/>
    </row>
    <row r="37" spans="1:15">
      <c r="D37" s="54"/>
      <c r="E37" s="54"/>
    </row>
  </sheetData>
  <mergeCells count="2">
    <mergeCell ref="A1:N1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3" activePane="bottomLeft" state="frozen"/>
      <selection pane="bottomLeft" activeCell="R37" sqref="R37"/>
    </sheetView>
  </sheetViews>
  <sheetFormatPr defaultColWidth="9.140625" defaultRowHeight="12.75"/>
  <cols>
    <col min="1" max="1" width="5.28515625" style="35" bestFit="1" customWidth="1"/>
    <col min="2" max="2" width="11.85546875" style="35" bestFit="1" customWidth="1"/>
    <col min="3" max="3" width="10.7109375" style="35" bestFit="1" customWidth="1"/>
    <col min="4" max="4" width="21.5703125" style="35" customWidth="1"/>
    <col min="5" max="5" width="10.85546875" style="35" bestFit="1" customWidth="1"/>
    <col min="6" max="6" width="13.7109375" style="35" bestFit="1" customWidth="1"/>
    <col min="7" max="7" width="15.28515625" style="35" customWidth="1"/>
    <col min="8" max="8" width="10.85546875" style="35" bestFit="1" customWidth="1"/>
    <col min="9" max="9" width="8.140625" style="35" bestFit="1" customWidth="1"/>
    <col min="10" max="10" width="10.85546875" style="35" bestFit="1" customWidth="1"/>
    <col min="11" max="11" width="13.85546875" style="35" bestFit="1" customWidth="1"/>
    <col min="12" max="12" width="12.7109375" style="35" bestFit="1" customWidth="1"/>
    <col min="13" max="13" width="12.7109375" style="35" customWidth="1"/>
    <col min="14" max="14" width="17.7109375" style="35" bestFit="1" customWidth="1"/>
    <col min="15" max="15" width="13.7109375" style="35" customWidth="1"/>
    <col min="16" max="16384" width="9.140625" style="35"/>
  </cols>
  <sheetData>
    <row r="1" spans="1:24" ht="12.75" customHeight="1">
      <c r="A1" s="442" t="s">
        <v>36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24" ht="13.5">
      <c r="A2" s="118" t="s">
        <v>99</v>
      </c>
      <c r="B2" s="123" t="s">
        <v>100</v>
      </c>
      <c r="C2" s="123" t="s">
        <v>101</v>
      </c>
      <c r="D2" s="123" t="s">
        <v>102</v>
      </c>
      <c r="E2" s="123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23" t="s">
        <v>107</v>
      </c>
      <c r="L2" s="123" t="s">
        <v>108</v>
      </c>
      <c r="M2" s="123" t="s">
        <v>115</v>
      </c>
      <c r="N2" s="123" t="s">
        <v>110</v>
      </c>
    </row>
    <row r="3" spans="1:24" ht="15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51"/>
      <c r="K3" s="174">
        <v>0</v>
      </c>
      <c r="L3" s="173"/>
      <c r="M3" s="173">
        <f>+K3</f>
        <v>0</v>
      </c>
      <c r="N3" s="124"/>
    </row>
    <row r="4" spans="1:24" ht="15">
      <c r="A4" s="28">
        <v>1</v>
      </c>
      <c r="B4" s="29">
        <v>45778</v>
      </c>
      <c r="C4" s="124"/>
      <c r="D4" s="138"/>
      <c r="E4" s="38">
        <v>0</v>
      </c>
      <c r="F4" s="38">
        <v>0</v>
      </c>
      <c r="G4" s="38">
        <v>0</v>
      </c>
      <c r="H4" s="139">
        <v>0</v>
      </c>
      <c r="I4" s="139">
        <v>0</v>
      </c>
      <c r="J4" s="38">
        <f>H4*I4</f>
        <v>0</v>
      </c>
      <c r="K4" s="39">
        <f>G4+J4</f>
        <v>0</v>
      </c>
      <c r="L4" s="39">
        <v>0</v>
      </c>
      <c r="M4" s="39">
        <f>M3+K4-L4</f>
        <v>0</v>
      </c>
      <c r="N4" s="53"/>
    </row>
    <row r="5" spans="1:24" ht="15">
      <c r="A5" s="28">
        <v>2</v>
      </c>
      <c r="B5" s="29">
        <v>45779</v>
      </c>
      <c r="C5" s="124"/>
      <c r="D5" s="138"/>
      <c r="E5" s="38">
        <v>0</v>
      </c>
      <c r="F5" s="38">
        <v>0</v>
      </c>
      <c r="G5" s="38">
        <v>0</v>
      </c>
      <c r="H5" s="139">
        <v>0</v>
      </c>
      <c r="I5" s="139">
        <v>0</v>
      </c>
      <c r="J5" s="38">
        <f t="shared" ref="J5:J31" si="0">H5*I5</f>
        <v>0</v>
      </c>
      <c r="K5" s="39">
        <f t="shared" ref="K5:K31" si="1">G5+J5</f>
        <v>0</v>
      </c>
      <c r="L5" s="39">
        <v>0</v>
      </c>
      <c r="M5" s="39">
        <f>M4+K5-L5</f>
        <v>0</v>
      </c>
      <c r="N5" s="53"/>
    </row>
    <row r="6" spans="1:24" ht="15">
      <c r="A6" s="28">
        <v>3</v>
      </c>
      <c r="B6" s="29">
        <v>45780</v>
      </c>
      <c r="C6" s="124"/>
      <c r="D6" s="138"/>
      <c r="E6" s="38">
        <v>0</v>
      </c>
      <c r="F6" s="38">
        <v>0</v>
      </c>
      <c r="G6" s="38">
        <v>0</v>
      </c>
      <c r="H6" s="139">
        <v>0</v>
      </c>
      <c r="I6" s="139">
        <v>0</v>
      </c>
      <c r="J6" s="38">
        <f t="shared" si="0"/>
        <v>0</v>
      </c>
      <c r="K6" s="39">
        <f t="shared" si="1"/>
        <v>0</v>
      </c>
      <c r="L6" s="39">
        <v>0</v>
      </c>
      <c r="M6" s="39">
        <f>M5+K6-L6</f>
        <v>0</v>
      </c>
      <c r="N6" s="53"/>
    </row>
    <row r="7" spans="1:24" ht="15">
      <c r="A7" s="28">
        <v>4</v>
      </c>
      <c r="B7" s="29">
        <v>45781</v>
      </c>
      <c r="C7" s="124"/>
      <c r="D7" s="138"/>
      <c r="E7" s="38">
        <v>0</v>
      </c>
      <c r="F7" s="38">
        <v>0</v>
      </c>
      <c r="G7" s="38">
        <v>0</v>
      </c>
      <c r="H7" s="139">
        <v>0</v>
      </c>
      <c r="I7" s="139">
        <v>0</v>
      </c>
      <c r="J7" s="38">
        <f t="shared" si="0"/>
        <v>0</v>
      </c>
      <c r="K7" s="39">
        <f t="shared" si="1"/>
        <v>0</v>
      </c>
      <c r="L7" s="39">
        <v>0</v>
      </c>
      <c r="M7" s="39">
        <f>M6+K7-L7</f>
        <v>0</v>
      </c>
      <c r="N7" s="53"/>
    </row>
    <row r="8" spans="1:24" ht="15">
      <c r="A8" s="28">
        <v>5</v>
      </c>
      <c r="B8" s="29">
        <v>45782</v>
      </c>
      <c r="C8" s="124"/>
      <c r="D8" s="138"/>
      <c r="E8" s="38">
        <v>0</v>
      </c>
      <c r="F8" s="38">
        <v>0</v>
      </c>
      <c r="G8" s="38">
        <v>0</v>
      </c>
      <c r="H8" s="139">
        <v>0</v>
      </c>
      <c r="I8" s="139">
        <v>0</v>
      </c>
      <c r="J8" s="38">
        <f t="shared" si="0"/>
        <v>0</v>
      </c>
      <c r="K8" s="39">
        <f t="shared" si="1"/>
        <v>0</v>
      </c>
      <c r="L8" s="39">
        <v>0</v>
      </c>
      <c r="M8" s="39">
        <f>M7+K8-L8</f>
        <v>0</v>
      </c>
      <c r="N8" s="53"/>
    </row>
    <row r="9" spans="1:24" ht="15">
      <c r="A9" s="28">
        <v>6</v>
      </c>
      <c r="B9" s="29">
        <v>45783</v>
      </c>
      <c r="C9" s="124"/>
      <c r="D9" s="138"/>
      <c r="E9" s="38">
        <v>0</v>
      </c>
      <c r="F9" s="38">
        <v>0</v>
      </c>
      <c r="G9" s="38">
        <v>0</v>
      </c>
      <c r="H9" s="139">
        <v>0</v>
      </c>
      <c r="I9" s="139">
        <v>0</v>
      </c>
      <c r="J9" s="38">
        <f t="shared" si="0"/>
        <v>0</v>
      </c>
      <c r="K9" s="39">
        <f t="shared" si="1"/>
        <v>0</v>
      </c>
      <c r="L9" s="39">
        <v>0</v>
      </c>
      <c r="M9" s="39">
        <f t="shared" ref="M9:M27" si="2">M8+K9-L9</f>
        <v>0</v>
      </c>
      <c r="N9" s="53"/>
    </row>
    <row r="10" spans="1:24" ht="15">
      <c r="A10" s="28">
        <v>7</v>
      </c>
      <c r="B10" s="29">
        <v>45784</v>
      </c>
      <c r="C10" s="124"/>
      <c r="D10" s="138"/>
      <c r="E10" s="38">
        <v>0</v>
      </c>
      <c r="F10" s="38">
        <v>0</v>
      </c>
      <c r="G10" s="38">
        <v>0</v>
      </c>
      <c r="H10" s="139">
        <v>0</v>
      </c>
      <c r="I10" s="139">
        <v>0</v>
      </c>
      <c r="J10" s="38">
        <f t="shared" si="0"/>
        <v>0</v>
      </c>
      <c r="K10" s="39">
        <f t="shared" si="1"/>
        <v>0</v>
      </c>
      <c r="L10" s="39">
        <v>0</v>
      </c>
      <c r="M10" s="39">
        <f t="shared" si="2"/>
        <v>0</v>
      </c>
      <c r="N10" s="53"/>
    </row>
    <row r="11" spans="1:24" ht="15">
      <c r="A11" s="28">
        <v>8</v>
      </c>
      <c r="B11" s="29">
        <v>45785</v>
      </c>
      <c r="C11" s="124"/>
      <c r="D11" s="138"/>
      <c r="E11" s="38">
        <v>500</v>
      </c>
      <c r="F11" s="38">
        <v>91.64</v>
      </c>
      <c r="G11" s="38">
        <f>E11*F11</f>
        <v>45820</v>
      </c>
      <c r="H11" s="139">
        <v>70</v>
      </c>
      <c r="I11" s="139">
        <v>103.72</v>
      </c>
      <c r="J11" s="38">
        <f t="shared" si="0"/>
        <v>7260.4</v>
      </c>
      <c r="K11" s="39">
        <f t="shared" si="1"/>
        <v>53080.4</v>
      </c>
      <c r="L11" s="39">
        <v>0</v>
      </c>
      <c r="M11" s="39">
        <f t="shared" si="2"/>
        <v>53080.4</v>
      </c>
      <c r="N11" s="53"/>
    </row>
    <row r="12" spans="1:24" ht="15">
      <c r="A12" s="28">
        <v>9</v>
      </c>
      <c r="B12" s="29">
        <v>45786</v>
      </c>
      <c r="C12" s="124"/>
      <c r="D12" s="138"/>
      <c r="E12" s="38">
        <v>0</v>
      </c>
      <c r="F12" s="38">
        <v>0</v>
      </c>
      <c r="G12" s="38">
        <f t="shared" ref="G12:G24" si="3">E12*F12</f>
        <v>0</v>
      </c>
      <c r="H12" s="139">
        <v>0</v>
      </c>
      <c r="I12" s="139">
        <v>0</v>
      </c>
      <c r="J12" s="38">
        <f t="shared" si="0"/>
        <v>0</v>
      </c>
      <c r="K12" s="39">
        <f t="shared" si="1"/>
        <v>0</v>
      </c>
      <c r="L12" s="39">
        <v>0</v>
      </c>
      <c r="M12" s="39">
        <f t="shared" si="2"/>
        <v>53080.4</v>
      </c>
      <c r="N12" s="53"/>
    </row>
    <row r="13" spans="1:24" ht="15">
      <c r="A13" s="28">
        <v>10</v>
      </c>
      <c r="B13" s="29">
        <v>45787</v>
      </c>
      <c r="C13" s="124"/>
      <c r="D13" s="138"/>
      <c r="E13" s="38">
        <v>0</v>
      </c>
      <c r="F13" s="38">
        <v>0</v>
      </c>
      <c r="G13" s="38">
        <f t="shared" si="3"/>
        <v>0</v>
      </c>
      <c r="H13" s="139">
        <v>0</v>
      </c>
      <c r="I13" s="139">
        <v>0</v>
      </c>
      <c r="J13" s="38">
        <f t="shared" si="0"/>
        <v>0</v>
      </c>
      <c r="K13" s="39">
        <f t="shared" si="1"/>
        <v>0</v>
      </c>
      <c r="L13" s="39">
        <v>0</v>
      </c>
      <c r="M13" s="39">
        <f t="shared" si="2"/>
        <v>53080.4</v>
      </c>
      <c r="N13" s="53"/>
    </row>
    <row r="14" spans="1:24" ht="15">
      <c r="A14" s="28">
        <v>11</v>
      </c>
      <c r="B14" s="29">
        <v>45788</v>
      </c>
      <c r="C14" s="124"/>
      <c r="D14" s="138"/>
      <c r="E14" s="38">
        <v>1000</v>
      </c>
      <c r="F14" s="38">
        <v>91.64</v>
      </c>
      <c r="G14" s="38">
        <f t="shared" si="3"/>
        <v>91640</v>
      </c>
      <c r="H14" s="139">
        <v>35</v>
      </c>
      <c r="I14" s="139">
        <v>111.04</v>
      </c>
      <c r="J14" s="38">
        <f t="shared" si="0"/>
        <v>3886.4</v>
      </c>
      <c r="K14" s="39">
        <f t="shared" si="1"/>
        <v>95526.399999999994</v>
      </c>
      <c r="L14" s="39">
        <v>0</v>
      </c>
      <c r="M14" s="39">
        <f t="shared" si="2"/>
        <v>148606.79999999999</v>
      </c>
      <c r="N14" s="53"/>
    </row>
    <row r="15" spans="1:24" ht="15">
      <c r="A15" s="28">
        <v>12</v>
      </c>
      <c r="B15" s="29">
        <v>45789</v>
      </c>
      <c r="C15" s="124"/>
      <c r="D15" s="138"/>
      <c r="E15" s="38">
        <v>0</v>
      </c>
      <c r="F15" s="38">
        <v>0</v>
      </c>
      <c r="G15" s="38">
        <f t="shared" si="3"/>
        <v>0</v>
      </c>
      <c r="H15" s="139">
        <v>0</v>
      </c>
      <c r="I15" s="139">
        <v>0</v>
      </c>
      <c r="J15" s="38">
        <f t="shared" si="0"/>
        <v>0</v>
      </c>
      <c r="K15" s="39">
        <f t="shared" si="1"/>
        <v>0</v>
      </c>
      <c r="L15" s="39">
        <v>0</v>
      </c>
      <c r="M15" s="39">
        <f t="shared" si="2"/>
        <v>148606.79999999999</v>
      </c>
      <c r="N15" s="53"/>
    </row>
    <row r="16" spans="1:24" ht="15">
      <c r="A16" s="28">
        <v>13</v>
      </c>
      <c r="B16" s="29">
        <v>45790</v>
      </c>
      <c r="C16" s="124"/>
      <c r="D16" s="138"/>
      <c r="E16" s="38">
        <v>0</v>
      </c>
      <c r="F16" s="38">
        <v>0</v>
      </c>
      <c r="G16" s="38">
        <f t="shared" si="3"/>
        <v>0</v>
      </c>
      <c r="H16" s="139">
        <v>0</v>
      </c>
      <c r="I16" s="139">
        <v>0</v>
      </c>
      <c r="J16" s="38">
        <f t="shared" si="0"/>
        <v>0</v>
      </c>
      <c r="K16" s="39">
        <f t="shared" si="1"/>
        <v>0</v>
      </c>
      <c r="L16" s="39">
        <v>0</v>
      </c>
      <c r="M16" s="39">
        <f t="shared" si="2"/>
        <v>148606.79999999999</v>
      </c>
      <c r="N16" s="53"/>
      <c r="X16" s="35">
        <f>100*104</f>
        <v>10400</v>
      </c>
    </row>
    <row r="17" spans="1:14" ht="15">
      <c r="A17" s="28">
        <v>14</v>
      </c>
      <c r="B17" s="29">
        <v>45791</v>
      </c>
      <c r="C17" s="124"/>
      <c r="D17" s="138"/>
      <c r="E17" s="38">
        <v>1500</v>
      </c>
      <c r="F17" s="38">
        <v>91.64</v>
      </c>
      <c r="G17" s="38">
        <f t="shared" si="3"/>
        <v>137460</v>
      </c>
      <c r="H17" s="139">
        <v>0</v>
      </c>
      <c r="I17" s="139">
        <v>0</v>
      </c>
      <c r="J17" s="38">
        <f t="shared" si="0"/>
        <v>0</v>
      </c>
      <c r="K17" s="39">
        <f t="shared" si="1"/>
        <v>137460</v>
      </c>
      <c r="L17" s="39">
        <v>0</v>
      </c>
      <c r="M17" s="39">
        <f t="shared" si="2"/>
        <v>286066.8</v>
      </c>
      <c r="N17" s="53"/>
    </row>
    <row r="18" spans="1:14" ht="15">
      <c r="A18" s="28">
        <v>15</v>
      </c>
      <c r="B18" s="29">
        <v>45792</v>
      </c>
      <c r="C18" s="124"/>
      <c r="D18" s="138"/>
      <c r="E18" s="38">
        <v>0</v>
      </c>
      <c r="F18" s="38">
        <v>0</v>
      </c>
      <c r="G18" s="38">
        <f t="shared" si="3"/>
        <v>0</v>
      </c>
      <c r="H18" s="139">
        <v>0</v>
      </c>
      <c r="I18" s="139">
        <v>0</v>
      </c>
      <c r="J18" s="38">
        <f t="shared" si="0"/>
        <v>0</v>
      </c>
      <c r="K18" s="39">
        <f t="shared" si="1"/>
        <v>0</v>
      </c>
      <c r="L18" s="39">
        <v>0</v>
      </c>
      <c r="M18" s="39">
        <f t="shared" si="2"/>
        <v>286066.8</v>
      </c>
      <c r="N18" s="53"/>
    </row>
    <row r="19" spans="1:14" ht="15">
      <c r="A19" s="28">
        <v>16</v>
      </c>
      <c r="B19" s="29">
        <v>45793</v>
      </c>
      <c r="C19" s="124"/>
      <c r="D19" s="138"/>
      <c r="E19" s="38">
        <v>0</v>
      </c>
      <c r="F19" s="38">
        <v>0</v>
      </c>
      <c r="G19" s="38">
        <f t="shared" si="3"/>
        <v>0</v>
      </c>
      <c r="H19" s="139">
        <v>35</v>
      </c>
      <c r="I19" s="139">
        <v>103.72</v>
      </c>
      <c r="J19" s="38">
        <f t="shared" si="0"/>
        <v>3630.2</v>
      </c>
      <c r="K19" s="39">
        <f t="shared" si="1"/>
        <v>3630.2</v>
      </c>
      <c r="L19" s="39">
        <v>0</v>
      </c>
      <c r="M19" s="39">
        <f t="shared" si="2"/>
        <v>289697</v>
      </c>
      <c r="N19" s="53"/>
    </row>
    <row r="20" spans="1:14" ht="15">
      <c r="A20" s="28">
        <v>17</v>
      </c>
      <c r="B20" s="29">
        <v>45794</v>
      </c>
      <c r="C20" s="124"/>
      <c r="D20" s="138"/>
      <c r="E20" s="38">
        <v>0</v>
      </c>
      <c r="F20" s="38">
        <v>0</v>
      </c>
      <c r="G20" s="38">
        <f t="shared" si="3"/>
        <v>0</v>
      </c>
      <c r="H20" s="139">
        <v>0</v>
      </c>
      <c r="I20" s="139">
        <v>0</v>
      </c>
      <c r="J20" s="38">
        <f t="shared" si="0"/>
        <v>0</v>
      </c>
      <c r="K20" s="39">
        <f t="shared" si="1"/>
        <v>0</v>
      </c>
      <c r="L20" s="39">
        <v>0</v>
      </c>
      <c r="M20" s="39">
        <f t="shared" si="2"/>
        <v>289697</v>
      </c>
      <c r="N20" s="53"/>
    </row>
    <row r="21" spans="1:14" ht="15">
      <c r="A21" s="28">
        <v>18</v>
      </c>
      <c r="B21" s="29">
        <v>45795</v>
      </c>
      <c r="C21" s="124"/>
      <c r="D21" s="138"/>
      <c r="E21" s="38">
        <v>0</v>
      </c>
      <c r="F21" s="38">
        <v>0</v>
      </c>
      <c r="G21" s="38">
        <f t="shared" si="3"/>
        <v>0</v>
      </c>
      <c r="H21" s="139">
        <v>0</v>
      </c>
      <c r="I21" s="139">
        <v>0</v>
      </c>
      <c r="J21" s="38">
        <f t="shared" si="0"/>
        <v>0</v>
      </c>
      <c r="K21" s="39">
        <f t="shared" si="1"/>
        <v>0</v>
      </c>
      <c r="L21" s="39">
        <v>0</v>
      </c>
      <c r="M21" s="39">
        <f t="shared" si="2"/>
        <v>289697</v>
      </c>
      <c r="N21" s="53"/>
    </row>
    <row r="22" spans="1:14" ht="15">
      <c r="A22" s="28">
        <v>19</v>
      </c>
      <c r="B22" s="29">
        <v>45796</v>
      </c>
      <c r="C22" s="124"/>
      <c r="D22" s="138"/>
      <c r="E22" s="38">
        <v>0</v>
      </c>
      <c r="F22" s="38">
        <v>0</v>
      </c>
      <c r="G22" s="38">
        <f t="shared" si="3"/>
        <v>0</v>
      </c>
      <c r="H22" s="139">
        <v>0</v>
      </c>
      <c r="I22" s="139">
        <v>0</v>
      </c>
      <c r="J22" s="38">
        <f t="shared" si="0"/>
        <v>0</v>
      </c>
      <c r="K22" s="39">
        <f t="shared" si="1"/>
        <v>0</v>
      </c>
      <c r="L22" s="39">
        <v>0</v>
      </c>
      <c r="M22" s="39">
        <f t="shared" si="2"/>
        <v>289697</v>
      </c>
      <c r="N22" s="53"/>
    </row>
    <row r="23" spans="1:14" ht="15">
      <c r="A23" s="28">
        <v>20</v>
      </c>
      <c r="B23" s="29">
        <v>45797</v>
      </c>
      <c r="C23" s="124"/>
      <c r="D23" s="138"/>
      <c r="E23" s="38">
        <v>0</v>
      </c>
      <c r="F23" s="38">
        <v>0</v>
      </c>
      <c r="G23" s="38">
        <f t="shared" si="3"/>
        <v>0</v>
      </c>
      <c r="H23" s="139">
        <v>0</v>
      </c>
      <c r="I23" s="139">
        <v>0</v>
      </c>
      <c r="J23" s="38">
        <f t="shared" si="0"/>
        <v>0</v>
      </c>
      <c r="K23" s="39">
        <f t="shared" si="1"/>
        <v>0</v>
      </c>
      <c r="L23" s="39">
        <v>0</v>
      </c>
      <c r="M23" s="39">
        <f t="shared" si="2"/>
        <v>289697</v>
      </c>
      <c r="N23" s="53"/>
    </row>
    <row r="24" spans="1:14" ht="15">
      <c r="A24" s="28">
        <v>21</v>
      </c>
      <c r="B24" s="29">
        <v>45798</v>
      </c>
      <c r="C24" s="124"/>
      <c r="D24" s="138"/>
      <c r="E24" s="38">
        <v>1500</v>
      </c>
      <c r="F24" s="38">
        <v>91.64</v>
      </c>
      <c r="G24" s="38">
        <f t="shared" si="3"/>
        <v>137460</v>
      </c>
      <c r="H24" s="139">
        <v>0</v>
      </c>
      <c r="I24" s="139">
        <v>0</v>
      </c>
      <c r="J24" s="38">
        <f t="shared" si="0"/>
        <v>0</v>
      </c>
      <c r="K24" s="39">
        <f t="shared" si="1"/>
        <v>137460</v>
      </c>
      <c r="L24" s="39">
        <v>150000</v>
      </c>
      <c r="M24" s="39">
        <f t="shared" si="2"/>
        <v>277157</v>
      </c>
      <c r="N24" s="53"/>
    </row>
    <row r="25" spans="1:14" ht="15">
      <c r="A25" s="28">
        <v>22</v>
      </c>
      <c r="B25" s="29">
        <v>45799</v>
      </c>
      <c r="C25" s="124"/>
      <c r="D25" s="138"/>
      <c r="E25" s="38">
        <v>0</v>
      </c>
      <c r="F25" s="38">
        <v>0</v>
      </c>
      <c r="G25" s="38">
        <v>0</v>
      </c>
      <c r="H25" s="139">
        <v>0</v>
      </c>
      <c r="I25" s="139">
        <v>0</v>
      </c>
      <c r="J25" s="38">
        <f t="shared" si="0"/>
        <v>0</v>
      </c>
      <c r="K25" s="39">
        <f t="shared" si="1"/>
        <v>0</v>
      </c>
      <c r="L25" s="39">
        <v>0</v>
      </c>
      <c r="M25" s="39">
        <f t="shared" si="2"/>
        <v>277157</v>
      </c>
      <c r="N25" s="53"/>
    </row>
    <row r="26" spans="1:14" ht="15">
      <c r="A26" s="28">
        <v>23</v>
      </c>
      <c r="B26" s="29">
        <v>45800</v>
      </c>
      <c r="C26" s="124"/>
      <c r="D26" s="138"/>
      <c r="E26" s="38">
        <v>0</v>
      </c>
      <c r="F26" s="38">
        <v>0</v>
      </c>
      <c r="G26" s="38">
        <v>0</v>
      </c>
      <c r="H26" s="139">
        <v>0</v>
      </c>
      <c r="I26" s="139">
        <v>0</v>
      </c>
      <c r="J26" s="38">
        <f t="shared" si="0"/>
        <v>0</v>
      </c>
      <c r="K26" s="39">
        <f t="shared" si="1"/>
        <v>0</v>
      </c>
      <c r="L26" s="39">
        <v>0</v>
      </c>
      <c r="M26" s="39">
        <f t="shared" si="2"/>
        <v>277157</v>
      </c>
      <c r="N26" s="53"/>
    </row>
    <row r="27" spans="1:14" ht="15">
      <c r="A27" s="28">
        <v>24</v>
      </c>
      <c r="B27" s="29">
        <v>45801</v>
      </c>
      <c r="C27" s="124"/>
      <c r="D27" s="138"/>
      <c r="E27" s="38">
        <v>0</v>
      </c>
      <c r="F27" s="38">
        <v>0</v>
      </c>
      <c r="G27" s="38">
        <v>0</v>
      </c>
      <c r="H27" s="139">
        <v>0</v>
      </c>
      <c r="I27" s="139">
        <v>0</v>
      </c>
      <c r="J27" s="38">
        <f t="shared" si="0"/>
        <v>0</v>
      </c>
      <c r="K27" s="39">
        <f t="shared" si="1"/>
        <v>0</v>
      </c>
      <c r="L27" s="39">
        <v>0</v>
      </c>
      <c r="M27" s="39">
        <f>M26+K27-L27</f>
        <v>277157</v>
      </c>
      <c r="N27" s="53"/>
    </row>
    <row r="28" spans="1:14" ht="15">
      <c r="A28" s="28">
        <v>25</v>
      </c>
      <c r="B28" s="29">
        <v>45802</v>
      </c>
      <c r="C28" s="124"/>
      <c r="D28" s="138"/>
      <c r="E28" s="38">
        <v>0</v>
      </c>
      <c r="F28" s="38">
        <v>0</v>
      </c>
      <c r="G28" s="38">
        <v>0</v>
      </c>
      <c r="H28" s="139">
        <v>0</v>
      </c>
      <c r="I28" s="139">
        <v>0</v>
      </c>
      <c r="J28" s="38">
        <f t="shared" si="0"/>
        <v>0</v>
      </c>
      <c r="K28" s="39">
        <f t="shared" si="1"/>
        <v>0</v>
      </c>
      <c r="L28" s="39">
        <v>0</v>
      </c>
      <c r="M28" s="39">
        <f t="shared" ref="M28:M31" si="4">M27+K28-L28</f>
        <v>277157</v>
      </c>
      <c r="N28" s="53"/>
    </row>
    <row r="29" spans="1:14" ht="15">
      <c r="A29" s="28">
        <v>26</v>
      </c>
      <c r="B29" s="29">
        <v>45803</v>
      </c>
      <c r="C29" s="124"/>
      <c r="D29" s="138"/>
      <c r="E29" s="38">
        <v>0</v>
      </c>
      <c r="F29" s="38">
        <v>0</v>
      </c>
      <c r="G29" s="38">
        <v>0</v>
      </c>
      <c r="H29" s="139">
        <v>0</v>
      </c>
      <c r="I29" s="139">
        <v>0</v>
      </c>
      <c r="J29" s="38">
        <f t="shared" si="0"/>
        <v>0</v>
      </c>
      <c r="K29" s="39">
        <f t="shared" si="1"/>
        <v>0</v>
      </c>
      <c r="L29" s="39">
        <v>275530</v>
      </c>
      <c r="M29" s="39">
        <f t="shared" si="4"/>
        <v>1627</v>
      </c>
      <c r="N29" s="53"/>
    </row>
    <row r="30" spans="1:14" ht="15">
      <c r="A30" s="28">
        <v>27</v>
      </c>
      <c r="B30" s="29">
        <v>45804</v>
      </c>
      <c r="C30" s="124"/>
      <c r="D30" s="138"/>
      <c r="E30" s="38">
        <v>0</v>
      </c>
      <c r="F30" s="38">
        <v>0</v>
      </c>
      <c r="G30" s="38">
        <v>0</v>
      </c>
      <c r="H30" s="139">
        <v>0</v>
      </c>
      <c r="I30" s="139">
        <v>0</v>
      </c>
      <c r="J30" s="38">
        <f t="shared" si="0"/>
        <v>0</v>
      </c>
      <c r="K30" s="39">
        <f t="shared" si="1"/>
        <v>0</v>
      </c>
      <c r="L30" s="39">
        <v>1627</v>
      </c>
      <c r="M30" s="39">
        <f t="shared" si="4"/>
        <v>0</v>
      </c>
      <c r="N30" s="53"/>
    </row>
    <row r="31" spans="1:14" ht="15">
      <c r="A31" s="28">
        <v>28</v>
      </c>
      <c r="B31" s="29">
        <v>45805</v>
      </c>
      <c r="C31" s="124"/>
      <c r="D31" s="138"/>
      <c r="E31" s="38">
        <v>0</v>
      </c>
      <c r="F31" s="38">
        <v>0</v>
      </c>
      <c r="G31" s="38">
        <v>0</v>
      </c>
      <c r="H31" s="139">
        <v>0</v>
      </c>
      <c r="I31" s="139">
        <v>0</v>
      </c>
      <c r="J31" s="38">
        <f t="shared" si="0"/>
        <v>0</v>
      </c>
      <c r="K31" s="39">
        <f t="shared" si="1"/>
        <v>0</v>
      </c>
      <c r="L31" s="39">
        <v>0</v>
      </c>
      <c r="M31" s="39">
        <f t="shared" si="4"/>
        <v>0</v>
      </c>
      <c r="N31" s="53"/>
    </row>
    <row r="32" spans="1:14" ht="15">
      <c r="A32" s="28">
        <v>29</v>
      </c>
      <c r="B32" s="29">
        <v>45806</v>
      </c>
      <c r="C32" s="124"/>
      <c r="D32" s="138"/>
      <c r="E32" s="38">
        <v>0</v>
      </c>
      <c r="F32" s="38">
        <v>0</v>
      </c>
      <c r="G32" s="38">
        <f t="shared" ref="G5:G33" si="5">E32*F32</f>
        <v>0</v>
      </c>
      <c r="H32" s="139">
        <v>0</v>
      </c>
      <c r="I32" s="139">
        <v>0</v>
      </c>
      <c r="J32" s="38">
        <f t="shared" ref="J5:J33" si="6">H32*I32</f>
        <v>0</v>
      </c>
      <c r="K32" s="39">
        <f t="shared" ref="K5:K33" si="7">G32+J32</f>
        <v>0</v>
      </c>
      <c r="L32" s="39">
        <v>0</v>
      </c>
      <c r="M32" s="39"/>
      <c r="N32" s="53"/>
    </row>
    <row r="33" spans="1:14" ht="15">
      <c r="A33" s="28">
        <v>30</v>
      </c>
      <c r="B33" s="29">
        <v>45807</v>
      </c>
      <c r="C33" s="124"/>
      <c r="D33" s="138"/>
      <c r="E33" s="38">
        <v>0</v>
      </c>
      <c r="F33" s="38">
        <v>0</v>
      </c>
      <c r="G33" s="38">
        <f t="shared" si="5"/>
        <v>0</v>
      </c>
      <c r="H33" s="139">
        <v>0</v>
      </c>
      <c r="I33" s="139">
        <v>0</v>
      </c>
      <c r="J33" s="38">
        <f t="shared" si="6"/>
        <v>0</v>
      </c>
      <c r="K33" s="39">
        <f t="shared" si="7"/>
        <v>0</v>
      </c>
      <c r="L33" s="39">
        <v>0</v>
      </c>
      <c r="M33" s="39"/>
      <c r="N33" s="53"/>
    </row>
    <row r="34" spans="1:14" ht="15">
      <c r="A34" s="28">
        <v>31</v>
      </c>
      <c r="B34" s="29">
        <v>45808</v>
      </c>
      <c r="C34" s="124"/>
      <c r="D34" s="138"/>
      <c r="E34" s="38"/>
      <c r="F34" s="38"/>
      <c r="G34" s="38"/>
      <c r="H34" s="139"/>
      <c r="I34" s="139"/>
      <c r="J34" s="38"/>
      <c r="K34" s="39"/>
      <c r="L34" s="39"/>
      <c r="M34" s="39"/>
      <c r="N34" s="53"/>
    </row>
    <row r="35" spans="1:14">
      <c r="A35" s="51"/>
      <c r="B35" s="51"/>
      <c r="C35" s="51"/>
      <c r="D35" s="51"/>
      <c r="E35" s="52">
        <f>SUM(E4:E34)</f>
        <v>4500</v>
      </c>
      <c r="F35" s="52"/>
      <c r="G35" s="52">
        <f>SUM(G4:G34)</f>
        <v>412380</v>
      </c>
      <c r="H35" s="52">
        <f>SUM(H4:H34)</f>
        <v>140</v>
      </c>
      <c r="I35" s="52"/>
      <c r="J35" s="52">
        <f>SUM(J4:J34)</f>
        <v>14777</v>
      </c>
      <c r="K35" s="52">
        <f>SUM(K4:K34)</f>
        <v>427157</v>
      </c>
      <c r="L35" s="52">
        <f>SUM(L4:L34)</f>
        <v>427157</v>
      </c>
      <c r="M35" s="52"/>
      <c r="N35" s="52"/>
    </row>
    <row r="36" spans="1:14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>
      <c r="G37" s="42"/>
    </row>
    <row r="38" spans="1:14">
      <c r="B38" s="454"/>
      <c r="C38" s="454"/>
      <c r="D38" s="454"/>
      <c r="E38" s="454"/>
      <c r="I38" s="454"/>
      <c r="J38" s="454"/>
      <c r="K38" s="454"/>
      <c r="L38" s="454"/>
      <c r="M38" s="454"/>
      <c r="N38" s="454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selection activeCell="R8" sqref="R8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42" t="s">
        <v>38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14" ht="27">
      <c r="A2" s="118" t="s">
        <v>99</v>
      </c>
      <c r="B2" s="123" t="s">
        <v>100</v>
      </c>
      <c r="C2" s="123" t="s">
        <v>101</v>
      </c>
      <c r="D2" s="123" t="s">
        <v>102</v>
      </c>
      <c r="E2" s="123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23" t="s">
        <v>107</v>
      </c>
      <c r="L2" s="123" t="s">
        <v>108</v>
      </c>
      <c r="M2" s="123" t="s">
        <v>115</v>
      </c>
      <c r="N2" s="123" t="s">
        <v>110</v>
      </c>
    </row>
    <row r="3" spans="1:14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51"/>
      <c r="K3" s="174">
        <v>151569.40000000002</v>
      </c>
      <c r="L3" s="173"/>
      <c r="M3" s="173">
        <f>+K3</f>
        <v>151569.40000000002</v>
      </c>
      <c r="N3" s="124"/>
    </row>
    <row r="4" spans="1:14">
      <c r="A4" s="28">
        <v>1</v>
      </c>
      <c r="B4" s="29">
        <v>45778</v>
      </c>
      <c r="C4" s="124" t="s">
        <v>123</v>
      </c>
      <c r="D4" s="138"/>
      <c r="E4" s="39">
        <v>2000</v>
      </c>
      <c r="F4" s="39">
        <v>91.39</v>
      </c>
      <c r="G4" s="39">
        <f>E4*F4</f>
        <v>182780</v>
      </c>
      <c r="H4" s="139">
        <v>35</v>
      </c>
      <c r="I4" s="139">
        <v>103.46</v>
      </c>
      <c r="J4" s="39">
        <f>H4*I4</f>
        <v>3621.1</v>
      </c>
      <c r="K4" s="39">
        <f>G4+J4</f>
        <v>186401.1</v>
      </c>
      <c r="L4" s="39">
        <v>0</v>
      </c>
      <c r="M4" s="39">
        <f>M3+K4-L4</f>
        <v>337970.5</v>
      </c>
      <c r="N4" s="53"/>
    </row>
    <row r="5" spans="1:14">
      <c r="A5" s="28">
        <v>2</v>
      </c>
      <c r="B5" s="29">
        <v>45779</v>
      </c>
      <c r="C5" s="124"/>
      <c r="D5" s="138"/>
      <c r="E5" s="39">
        <v>0</v>
      </c>
      <c r="F5" s="39">
        <v>0</v>
      </c>
      <c r="G5" s="39">
        <f>E5*F5</f>
        <v>0</v>
      </c>
      <c r="H5" s="139">
        <v>0</v>
      </c>
      <c r="I5" s="139">
        <v>0</v>
      </c>
      <c r="J5" s="39">
        <f>H5*I5</f>
        <v>0</v>
      </c>
      <c r="K5" s="39">
        <f>G5+J5</f>
        <v>0</v>
      </c>
      <c r="L5" s="39">
        <v>0</v>
      </c>
      <c r="M5" s="39">
        <f>M4+K5-L5</f>
        <v>337970.5</v>
      </c>
      <c r="N5" s="53"/>
    </row>
    <row r="6" spans="1:14">
      <c r="A6" s="28">
        <v>3</v>
      </c>
      <c r="B6" s="29">
        <v>45780</v>
      </c>
      <c r="C6" s="124"/>
      <c r="D6" s="138"/>
      <c r="E6" s="39">
        <v>0</v>
      </c>
      <c r="F6" s="39">
        <v>0</v>
      </c>
      <c r="G6" s="39">
        <f>E6*F6</f>
        <v>0</v>
      </c>
      <c r="H6" s="139">
        <v>0</v>
      </c>
      <c r="I6" s="139">
        <v>0</v>
      </c>
      <c r="J6" s="39">
        <f>H6*I6</f>
        <v>0</v>
      </c>
      <c r="K6" s="39">
        <f>G6+J6</f>
        <v>0</v>
      </c>
      <c r="L6" s="39">
        <v>0</v>
      </c>
      <c r="M6" s="39">
        <f>M5+K6-L6</f>
        <v>337970.5</v>
      </c>
      <c r="N6" s="53"/>
    </row>
    <row r="7" spans="1:14">
      <c r="A7" s="28">
        <v>4</v>
      </c>
      <c r="B7" s="29">
        <v>45781</v>
      </c>
      <c r="C7" s="124" t="s">
        <v>124</v>
      </c>
      <c r="D7" s="138"/>
      <c r="E7" s="39">
        <v>0</v>
      </c>
      <c r="F7" s="39">
        <v>0</v>
      </c>
      <c r="G7" s="39">
        <f>E7*F7</f>
        <v>0</v>
      </c>
      <c r="H7" s="139">
        <v>0</v>
      </c>
      <c r="I7" s="139">
        <v>0</v>
      </c>
      <c r="J7" s="39">
        <f>H7*I7</f>
        <v>0</v>
      </c>
      <c r="K7" s="39">
        <f>G7+J7</f>
        <v>0</v>
      </c>
      <c r="L7" s="39">
        <v>0</v>
      </c>
      <c r="M7" s="39">
        <f>M6+K7-L7</f>
        <v>337970.5</v>
      </c>
      <c r="N7" s="53"/>
    </row>
    <row r="8" spans="1:14">
      <c r="A8" s="28">
        <v>5</v>
      </c>
      <c r="B8" s="29">
        <v>45782</v>
      </c>
      <c r="C8" s="124"/>
      <c r="D8" s="138"/>
      <c r="E8" s="39">
        <v>0</v>
      </c>
      <c r="F8" s="39">
        <v>0</v>
      </c>
      <c r="G8" s="39">
        <f>E8*F8</f>
        <v>0</v>
      </c>
      <c r="H8" s="139">
        <v>0</v>
      </c>
      <c r="I8" s="139">
        <v>0</v>
      </c>
      <c r="J8" s="39">
        <f>H8*I8</f>
        <v>0</v>
      </c>
      <c r="K8" s="39">
        <f>G8+J8</f>
        <v>0</v>
      </c>
      <c r="L8" s="39">
        <v>0</v>
      </c>
      <c r="M8" s="39">
        <f>M7+K8-L8</f>
        <v>337970.5</v>
      </c>
      <c r="N8" s="53"/>
    </row>
    <row r="9" spans="1:14">
      <c r="A9" s="28">
        <v>6</v>
      </c>
      <c r="B9" s="29">
        <v>45783</v>
      </c>
      <c r="C9" s="124"/>
      <c r="D9" s="138"/>
      <c r="E9" s="39">
        <v>0</v>
      </c>
      <c r="F9" s="39">
        <v>0</v>
      </c>
      <c r="G9" s="39">
        <f>E9*F9</f>
        <v>0</v>
      </c>
      <c r="H9" s="139">
        <v>0</v>
      </c>
      <c r="I9" s="139">
        <v>0</v>
      </c>
      <c r="J9" s="39">
        <f>H9*I9</f>
        <v>0</v>
      </c>
      <c r="K9" s="39">
        <f>G9+J9</f>
        <v>0</v>
      </c>
      <c r="L9" s="39">
        <v>0</v>
      </c>
      <c r="M9" s="39">
        <f>M8+K9-L9</f>
        <v>337970.5</v>
      </c>
      <c r="N9" s="53"/>
    </row>
    <row r="10" spans="1:14">
      <c r="A10" s="28">
        <v>7</v>
      </c>
      <c r="B10" s="29">
        <v>45784</v>
      </c>
      <c r="C10" s="124"/>
      <c r="D10" s="138"/>
      <c r="E10" s="39">
        <v>0</v>
      </c>
      <c r="F10" s="39">
        <v>0</v>
      </c>
      <c r="G10" s="39">
        <f>E10*F10</f>
        <v>0</v>
      </c>
      <c r="H10" s="139">
        <v>0</v>
      </c>
      <c r="I10" s="139">
        <v>0</v>
      </c>
      <c r="J10" s="39">
        <f>H10*I10</f>
        <v>0</v>
      </c>
      <c r="K10" s="39">
        <f>G10+J10</f>
        <v>0</v>
      </c>
      <c r="L10" s="39">
        <v>0</v>
      </c>
      <c r="M10" s="39">
        <f>M9+K10-L10</f>
        <v>337970.5</v>
      </c>
      <c r="N10" s="53"/>
    </row>
    <row r="11" spans="1:14">
      <c r="A11" s="28">
        <v>8</v>
      </c>
      <c r="B11" s="29">
        <v>45785</v>
      </c>
      <c r="C11" s="124"/>
      <c r="D11" s="138"/>
      <c r="E11" s="39">
        <v>0</v>
      </c>
      <c r="F11" s="39">
        <v>0</v>
      </c>
      <c r="G11" s="39">
        <f>E11*F11</f>
        <v>0</v>
      </c>
      <c r="H11" s="139">
        <v>0</v>
      </c>
      <c r="I11" s="139">
        <v>0</v>
      </c>
      <c r="J11" s="39">
        <f>H11*I11</f>
        <v>0</v>
      </c>
      <c r="K11" s="39">
        <f>G11+J11</f>
        <v>0</v>
      </c>
      <c r="L11" s="39">
        <v>150000</v>
      </c>
      <c r="M11" s="39">
        <f>M10+K11-L11</f>
        <v>187970.5</v>
      </c>
      <c r="N11" s="53"/>
    </row>
    <row r="12" spans="1:14">
      <c r="A12" s="28">
        <v>9</v>
      </c>
      <c r="B12" s="29">
        <v>45786</v>
      </c>
      <c r="C12" s="124"/>
      <c r="D12" s="138"/>
      <c r="E12" s="39">
        <v>0</v>
      </c>
      <c r="F12" s="39">
        <v>0</v>
      </c>
      <c r="G12" s="39">
        <f>E12*F12</f>
        <v>0</v>
      </c>
      <c r="H12" s="139">
        <v>0</v>
      </c>
      <c r="I12" s="139">
        <v>0</v>
      </c>
      <c r="J12" s="39">
        <f>H12*I12</f>
        <v>0</v>
      </c>
      <c r="K12" s="39">
        <f>G12+J12</f>
        <v>0</v>
      </c>
      <c r="L12" s="39">
        <v>0</v>
      </c>
      <c r="M12" s="39">
        <f>M11+K12-L12</f>
        <v>187970.5</v>
      </c>
      <c r="N12" s="53"/>
    </row>
    <row r="13" spans="1:14">
      <c r="A13" s="28">
        <v>10</v>
      </c>
      <c r="B13" s="29">
        <v>45787</v>
      </c>
      <c r="C13" s="124"/>
      <c r="D13" s="138"/>
      <c r="E13" s="39">
        <v>0</v>
      </c>
      <c r="F13" s="39">
        <v>0</v>
      </c>
      <c r="G13" s="39">
        <f>E13*F13</f>
        <v>0</v>
      </c>
      <c r="H13" s="139">
        <v>0</v>
      </c>
      <c r="I13" s="139">
        <v>0</v>
      </c>
      <c r="J13" s="39">
        <f>H13*I13</f>
        <v>0</v>
      </c>
      <c r="K13" s="39">
        <f>G13+J13</f>
        <v>0</v>
      </c>
      <c r="L13" s="39">
        <v>0</v>
      </c>
      <c r="M13" s="39">
        <f>M12+K13-L13</f>
        <v>187970.5</v>
      </c>
      <c r="N13" s="53"/>
    </row>
    <row r="14" spans="1:14">
      <c r="A14" s="28">
        <v>11</v>
      </c>
      <c r="B14" s="29">
        <v>45788</v>
      </c>
      <c r="C14" s="124"/>
      <c r="D14" s="138"/>
      <c r="E14" s="39">
        <v>0</v>
      </c>
      <c r="F14" s="39">
        <v>0</v>
      </c>
      <c r="G14" s="39">
        <f>E14*F14</f>
        <v>0</v>
      </c>
      <c r="H14" s="139">
        <v>0</v>
      </c>
      <c r="I14" s="139">
        <v>0</v>
      </c>
      <c r="J14" s="39">
        <f>H14*I14</f>
        <v>0</v>
      </c>
      <c r="K14" s="39">
        <f>G14+J14</f>
        <v>0</v>
      </c>
      <c r="L14" s="39">
        <v>0</v>
      </c>
      <c r="M14" s="39">
        <f>M13+K14-L14</f>
        <v>187970.5</v>
      </c>
      <c r="N14" s="53"/>
    </row>
    <row r="15" spans="1:14">
      <c r="A15" s="28">
        <v>12</v>
      </c>
      <c r="B15" s="29">
        <v>45789</v>
      </c>
      <c r="C15" s="124"/>
      <c r="D15" s="138"/>
      <c r="E15" s="39">
        <v>0</v>
      </c>
      <c r="F15" s="39">
        <v>0</v>
      </c>
      <c r="G15" s="39">
        <f>E15*F15</f>
        <v>0</v>
      </c>
      <c r="H15" s="139">
        <v>0</v>
      </c>
      <c r="I15" s="139">
        <v>0</v>
      </c>
      <c r="J15" s="39">
        <f>H15*I15</f>
        <v>0</v>
      </c>
      <c r="K15" s="39">
        <f>G15+J15</f>
        <v>0</v>
      </c>
      <c r="L15" s="39">
        <v>0</v>
      </c>
      <c r="M15" s="39">
        <f>M14+K15-L15</f>
        <v>187970.5</v>
      </c>
      <c r="N15" s="53"/>
    </row>
    <row r="16" spans="1:14">
      <c r="A16" s="28">
        <v>13</v>
      </c>
      <c r="B16" s="29">
        <v>45790</v>
      </c>
      <c r="C16" s="124"/>
      <c r="D16" s="138"/>
      <c r="E16" s="39">
        <v>0</v>
      </c>
      <c r="F16" s="39">
        <v>0</v>
      </c>
      <c r="G16" s="39">
        <f>E16*F16</f>
        <v>0</v>
      </c>
      <c r="H16" s="139">
        <v>0</v>
      </c>
      <c r="I16" s="139">
        <v>0</v>
      </c>
      <c r="J16" s="39">
        <f>H16*I16</f>
        <v>0</v>
      </c>
      <c r="K16" s="39">
        <f>G16+J16</f>
        <v>0</v>
      </c>
      <c r="L16" s="39">
        <v>0</v>
      </c>
      <c r="M16" s="39">
        <f>M15+K16-L16</f>
        <v>187970.5</v>
      </c>
      <c r="N16" s="53"/>
    </row>
    <row r="17" spans="1:14">
      <c r="A17" s="28">
        <v>14</v>
      </c>
      <c r="B17" s="29">
        <v>45791</v>
      </c>
      <c r="C17" s="124"/>
      <c r="D17" s="138"/>
      <c r="E17" s="39">
        <v>0</v>
      </c>
      <c r="F17" s="39">
        <v>0</v>
      </c>
      <c r="G17" s="39">
        <f>E17*F17</f>
        <v>0</v>
      </c>
      <c r="H17" s="139">
        <v>0</v>
      </c>
      <c r="I17" s="139">
        <v>0</v>
      </c>
      <c r="J17" s="39">
        <f>H17*I17</f>
        <v>0</v>
      </c>
      <c r="K17" s="39">
        <f>G17+J17</f>
        <v>0</v>
      </c>
      <c r="L17" s="39">
        <v>0</v>
      </c>
      <c r="M17" s="39">
        <f>M16+K17-L17</f>
        <v>187970.5</v>
      </c>
      <c r="N17" s="53"/>
    </row>
    <row r="18" spans="1:14">
      <c r="A18" s="28">
        <v>15</v>
      </c>
      <c r="B18" s="29">
        <v>45792</v>
      </c>
      <c r="C18" s="124"/>
      <c r="D18" s="138"/>
      <c r="E18" s="39">
        <v>0</v>
      </c>
      <c r="F18" s="39">
        <v>0</v>
      </c>
      <c r="G18" s="39">
        <f>E18*F18</f>
        <v>0</v>
      </c>
      <c r="H18" s="139">
        <v>0</v>
      </c>
      <c r="I18" s="139">
        <v>0</v>
      </c>
      <c r="J18" s="39">
        <f>H18*I18</f>
        <v>0</v>
      </c>
      <c r="K18" s="39">
        <f>G18+J18</f>
        <v>0</v>
      </c>
      <c r="L18" s="39">
        <v>0</v>
      </c>
      <c r="M18" s="39">
        <f>M17+K18-L18</f>
        <v>187970.5</v>
      </c>
      <c r="N18" s="53"/>
    </row>
    <row r="19" spans="1:14">
      <c r="A19" s="28">
        <v>16</v>
      </c>
      <c r="B19" s="29">
        <v>45793</v>
      </c>
      <c r="C19" s="124"/>
      <c r="D19" s="138"/>
      <c r="E19" s="39">
        <v>0</v>
      </c>
      <c r="F19" s="39">
        <v>0</v>
      </c>
      <c r="G19" s="39">
        <f>E19*F19</f>
        <v>0</v>
      </c>
      <c r="H19" s="139">
        <v>0</v>
      </c>
      <c r="I19" s="139">
        <v>0</v>
      </c>
      <c r="J19" s="39">
        <f>H19*I19</f>
        <v>0</v>
      </c>
      <c r="K19" s="39">
        <f>G19+J19</f>
        <v>0</v>
      </c>
      <c r="L19" s="39">
        <v>0</v>
      </c>
      <c r="M19" s="39">
        <f>M18+K19-L19</f>
        <v>187970.5</v>
      </c>
      <c r="N19" s="53"/>
    </row>
    <row r="20" spans="1:14">
      <c r="A20" s="28">
        <v>17</v>
      </c>
      <c r="B20" s="29">
        <v>45794</v>
      </c>
      <c r="C20" s="124"/>
      <c r="D20" s="138"/>
      <c r="E20" s="39">
        <v>0</v>
      </c>
      <c r="F20" s="39">
        <v>0</v>
      </c>
      <c r="G20" s="39">
        <f t="shared" ref="G20:G32" si="0">E20*F20</f>
        <v>0</v>
      </c>
      <c r="H20" s="139">
        <v>0</v>
      </c>
      <c r="I20" s="139">
        <v>0</v>
      </c>
      <c r="J20" s="39">
        <f t="shared" ref="J20:J32" si="1">H20*I20</f>
        <v>0</v>
      </c>
      <c r="K20" s="39">
        <f t="shared" ref="K20:K32" si="2">G20+J20</f>
        <v>0</v>
      </c>
      <c r="L20" s="39">
        <v>0</v>
      </c>
      <c r="M20" s="39">
        <f>M19+K20-L20</f>
        <v>187970.5</v>
      </c>
      <c r="N20" s="53"/>
    </row>
    <row r="21" spans="1:14">
      <c r="A21" s="28">
        <v>18</v>
      </c>
      <c r="B21" s="29">
        <v>45795</v>
      </c>
      <c r="C21" s="124"/>
      <c r="D21" s="138"/>
      <c r="E21" s="39">
        <v>0</v>
      </c>
      <c r="F21" s="39">
        <v>0</v>
      </c>
      <c r="G21" s="39">
        <f t="shared" si="0"/>
        <v>0</v>
      </c>
      <c r="H21" s="139">
        <v>100</v>
      </c>
      <c r="I21" s="139">
        <v>103.46</v>
      </c>
      <c r="J21" s="39">
        <f t="shared" si="1"/>
        <v>10346</v>
      </c>
      <c r="K21" s="39">
        <f t="shared" si="2"/>
        <v>10346</v>
      </c>
      <c r="L21" s="39">
        <v>0</v>
      </c>
      <c r="M21" s="39">
        <f>M20+K21-L21</f>
        <v>198316.5</v>
      </c>
      <c r="N21" s="53"/>
    </row>
    <row r="22" spans="1:14">
      <c r="A22" s="28">
        <v>19</v>
      </c>
      <c r="B22" s="29">
        <v>45796</v>
      </c>
      <c r="C22" s="124"/>
      <c r="D22" s="138"/>
      <c r="E22" s="39">
        <v>0</v>
      </c>
      <c r="F22" s="39">
        <v>0</v>
      </c>
      <c r="G22" s="39">
        <f t="shared" si="0"/>
        <v>0</v>
      </c>
      <c r="H22" s="139">
        <v>0</v>
      </c>
      <c r="I22" s="139">
        <v>0</v>
      </c>
      <c r="J22" s="39">
        <f t="shared" si="1"/>
        <v>0</v>
      </c>
      <c r="K22" s="39">
        <f t="shared" si="2"/>
        <v>0</v>
      </c>
      <c r="L22" s="39">
        <v>0</v>
      </c>
      <c r="M22" s="39">
        <f>M21+K22-L22</f>
        <v>198316.5</v>
      </c>
      <c r="N22" s="53"/>
    </row>
    <row r="23" spans="1:14">
      <c r="A23" s="28">
        <v>20</v>
      </c>
      <c r="B23" s="29">
        <v>45797</v>
      </c>
      <c r="C23" s="124"/>
      <c r="D23" s="138"/>
      <c r="E23" s="39">
        <v>0</v>
      </c>
      <c r="F23" s="39">
        <v>0</v>
      </c>
      <c r="G23" s="39">
        <f t="shared" si="0"/>
        <v>0</v>
      </c>
      <c r="H23" s="139">
        <v>0</v>
      </c>
      <c r="I23" s="139">
        <v>0</v>
      </c>
      <c r="J23" s="39">
        <f t="shared" si="1"/>
        <v>0</v>
      </c>
      <c r="K23" s="39">
        <f t="shared" si="2"/>
        <v>0</v>
      </c>
      <c r="L23" s="39">
        <v>0</v>
      </c>
      <c r="M23" s="39">
        <f>M22+K23-L23</f>
        <v>198316.5</v>
      </c>
      <c r="N23" s="53"/>
    </row>
    <row r="24" spans="1:14">
      <c r="A24" s="28">
        <v>21</v>
      </c>
      <c r="B24" s="29">
        <v>45798</v>
      </c>
      <c r="C24" s="124"/>
      <c r="D24" s="138"/>
      <c r="E24" s="39">
        <v>0</v>
      </c>
      <c r="F24" s="39">
        <v>0</v>
      </c>
      <c r="G24" s="39">
        <f t="shared" si="0"/>
        <v>0</v>
      </c>
      <c r="H24" s="139">
        <v>0</v>
      </c>
      <c r="I24" s="139">
        <v>0</v>
      </c>
      <c r="J24" s="39">
        <f t="shared" si="1"/>
        <v>0</v>
      </c>
      <c r="K24" s="39">
        <f t="shared" si="2"/>
        <v>0</v>
      </c>
      <c r="L24" s="39">
        <v>0</v>
      </c>
      <c r="M24" s="39">
        <f>M23+K24-L24</f>
        <v>198316.5</v>
      </c>
      <c r="N24" s="53"/>
    </row>
    <row r="25" spans="1:14">
      <c r="A25" s="28">
        <v>22</v>
      </c>
      <c r="B25" s="29">
        <v>45799</v>
      </c>
      <c r="C25" s="124"/>
      <c r="D25" s="138"/>
      <c r="E25" s="39">
        <v>0</v>
      </c>
      <c r="F25" s="39">
        <v>0</v>
      </c>
      <c r="G25" s="39">
        <f t="shared" si="0"/>
        <v>0</v>
      </c>
      <c r="H25" s="139">
        <v>0</v>
      </c>
      <c r="I25" s="139">
        <v>0</v>
      </c>
      <c r="J25" s="39">
        <f t="shared" si="1"/>
        <v>0</v>
      </c>
      <c r="K25" s="39">
        <f t="shared" si="2"/>
        <v>0</v>
      </c>
      <c r="L25" s="39">
        <v>0</v>
      </c>
      <c r="M25" s="39">
        <f>M24+K25-L25</f>
        <v>198316.5</v>
      </c>
      <c r="N25" s="53"/>
    </row>
    <row r="26" spans="1:14">
      <c r="A26" s="28">
        <v>23</v>
      </c>
      <c r="B26" s="29">
        <v>45800</v>
      </c>
      <c r="C26" s="124"/>
      <c r="D26" s="138"/>
      <c r="E26" s="39">
        <v>0</v>
      </c>
      <c r="F26" s="39">
        <v>0</v>
      </c>
      <c r="G26" s="39">
        <f t="shared" si="0"/>
        <v>0</v>
      </c>
      <c r="H26" s="139">
        <v>0</v>
      </c>
      <c r="I26" s="139">
        <v>0</v>
      </c>
      <c r="J26" s="39">
        <f t="shared" si="1"/>
        <v>0</v>
      </c>
      <c r="K26" s="39">
        <f t="shared" si="2"/>
        <v>0</v>
      </c>
      <c r="L26" s="39">
        <v>0</v>
      </c>
      <c r="M26" s="39">
        <f>M25+K26-L26</f>
        <v>198316.5</v>
      </c>
      <c r="N26" s="53"/>
    </row>
    <row r="27" spans="1:14">
      <c r="A27" s="28">
        <v>24</v>
      </c>
      <c r="B27" s="29">
        <v>45801</v>
      </c>
      <c r="C27" s="124"/>
      <c r="D27" s="138"/>
      <c r="E27" s="39">
        <v>0</v>
      </c>
      <c r="F27" s="39">
        <v>0</v>
      </c>
      <c r="G27" s="39">
        <f t="shared" si="0"/>
        <v>0</v>
      </c>
      <c r="H27" s="139">
        <v>0</v>
      </c>
      <c r="I27" s="139">
        <v>0</v>
      </c>
      <c r="J27" s="39">
        <f t="shared" si="1"/>
        <v>0</v>
      </c>
      <c r="K27" s="39">
        <f t="shared" si="2"/>
        <v>0</v>
      </c>
      <c r="L27" s="39">
        <v>0</v>
      </c>
      <c r="M27" s="39">
        <f>M26+K27-L27</f>
        <v>198316.5</v>
      </c>
      <c r="N27" s="53"/>
    </row>
    <row r="28" spans="1:14">
      <c r="A28" s="28">
        <v>25</v>
      </c>
      <c r="B28" s="29">
        <v>45802</v>
      </c>
      <c r="C28" s="124"/>
      <c r="D28" s="138"/>
      <c r="E28" s="39">
        <v>0</v>
      </c>
      <c r="F28" s="39">
        <v>0</v>
      </c>
      <c r="G28" s="39">
        <f t="shared" si="0"/>
        <v>0</v>
      </c>
      <c r="H28" s="139">
        <v>0</v>
      </c>
      <c r="I28" s="139">
        <v>0</v>
      </c>
      <c r="J28" s="39">
        <f t="shared" si="1"/>
        <v>0</v>
      </c>
      <c r="K28" s="39">
        <f t="shared" si="2"/>
        <v>0</v>
      </c>
      <c r="L28" s="39">
        <v>0</v>
      </c>
      <c r="M28" s="39">
        <f>M27+K28-L28</f>
        <v>198316.5</v>
      </c>
      <c r="N28" s="53"/>
    </row>
    <row r="29" spans="1:14">
      <c r="A29" s="28">
        <v>26</v>
      </c>
      <c r="B29" s="29">
        <v>45803</v>
      </c>
      <c r="C29" s="124"/>
      <c r="D29" s="138"/>
      <c r="E29" s="39">
        <v>1999.21</v>
      </c>
      <c r="F29" s="39">
        <v>91.39</v>
      </c>
      <c r="G29" s="39">
        <f t="shared" si="0"/>
        <v>182707.80189999999</v>
      </c>
      <c r="H29" s="139">
        <v>70</v>
      </c>
      <c r="I29" s="139">
        <v>103.46</v>
      </c>
      <c r="J29" s="39">
        <f t="shared" si="1"/>
        <v>7242.2</v>
      </c>
      <c r="K29" s="39">
        <f t="shared" si="2"/>
        <v>189950.0019</v>
      </c>
      <c r="L29" s="39">
        <v>0</v>
      </c>
      <c r="M29" s="39">
        <f>M28+K29-L29</f>
        <v>388266.50190000003</v>
      </c>
      <c r="N29" s="53"/>
    </row>
    <row r="30" spans="1:14">
      <c r="A30" s="28">
        <v>27</v>
      </c>
      <c r="B30" s="29">
        <v>45804</v>
      </c>
      <c r="C30" s="124"/>
      <c r="D30" s="138"/>
      <c r="E30" s="39">
        <v>0</v>
      </c>
      <c r="F30" s="39">
        <v>0</v>
      </c>
      <c r="G30" s="39">
        <f t="shared" si="0"/>
        <v>0</v>
      </c>
      <c r="H30" s="139">
        <v>0</v>
      </c>
      <c r="I30" s="139">
        <v>0</v>
      </c>
      <c r="J30" s="39">
        <f t="shared" si="1"/>
        <v>0</v>
      </c>
      <c r="K30" s="39">
        <f t="shared" si="2"/>
        <v>0</v>
      </c>
      <c r="L30" s="39">
        <v>0</v>
      </c>
      <c r="M30" s="39">
        <f>M29+K30-L30</f>
        <v>388266.50190000003</v>
      </c>
      <c r="N30" s="53"/>
    </row>
    <row r="31" spans="1:14">
      <c r="A31" s="28">
        <v>28</v>
      </c>
      <c r="B31" s="29">
        <v>45805</v>
      </c>
      <c r="C31" s="124"/>
      <c r="D31" s="138"/>
      <c r="E31" s="39">
        <v>0</v>
      </c>
      <c r="F31" s="39">
        <v>0</v>
      </c>
      <c r="G31" s="39">
        <f t="shared" si="0"/>
        <v>0</v>
      </c>
      <c r="H31" s="139">
        <v>0</v>
      </c>
      <c r="I31" s="139">
        <v>0</v>
      </c>
      <c r="J31" s="39">
        <f t="shared" si="1"/>
        <v>0</v>
      </c>
      <c r="K31" s="39">
        <f t="shared" si="2"/>
        <v>0</v>
      </c>
      <c r="L31" s="39">
        <v>0</v>
      </c>
      <c r="M31" s="39">
        <f>M30+K31-L31</f>
        <v>388266.50190000003</v>
      </c>
      <c r="N31" s="53"/>
    </row>
    <row r="32" spans="1:14">
      <c r="A32" s="28">
        <v>29</v>
      </c>
      <c r="B32" s="29">
        <v>45806</v>
      </c>
      <c r="C32" s="124"/>
      <c r="D32" s="138"/>
      <c r="E32" s="39">
        <v>0</v>
      </c>
      <c r="F32" s="39">
        <v>0</v>
      </c>
      <c r="G32" s="39">
        <f t="shared" si="0"/>
        <v>0</v>
      </c>
      <c r="H32" s="139">
        <v>0</v>
      </c>
      <c r="I32" s="139">
        <v>0</v>
      </c>
      <c r="J32" s="39">
        <f t="shared" si="1"/>
        <v>0</v>
      </c>
      <c r="K32" s="39">
        <f t="shared" si="2"/>
        <v>0</v>
      </c>
      <c r="L32" s="39">
        <v>0</v>
      </c>
      <c r="M32" s="39"/>
      <c r="N32" s="53"/>
    </row>
    <row r="33" spans="1:14">
      <c r="A33" s="28">
        <v>30</v>
      </c>
      <c r="B33" s="29">
        <v>45807</v>
      </c>
      <c r="C33" s="124"/>
      <c r="D33" s="138"/>
      <c r="E33" s="39">
        <v>0</v>
      </c>
      <c r="F33" s="39">
        <v>0</v>
      </c>
      <c r="G33" s="39">
        <f>E33*F33</f>
        <v>0</v>
      </c>
      <c r="H33" s="139">
        <v>0</v>
      </c>
      <c r="I33" s="139">
        <v>0</v>
      </c>
      <c r="J33" s="39">
        <f>H33*I33</f>
        <v>0</v>
      </c>
      <c r="K33" s="39">
        <f>G33+J33</f>
        <v>0</v>
      </c>
      <c r="L33" s="39">
        <v>0</v>
      </c>
      <c r="M33" s="39"/>
      <c r="N33" s="53"/>
    </row>
    <row r="34" spans="1:14">
      <c r="A34" s="28">
        <v>31</v>
      </c>
      <c r="B34" s="29">
        <v>45808</v>
      </c>
      <c r="C34" s="124"/>
      <c r="D34" s="138"/>
      <c r="E34" s="39"/>
      <c r="F34" s="39"/>
      <c r="G34" s="39"/>
      <c r="H34" s="139"/>
      <c r="I34" s="139"/>
      <c r="J34" s="39"/>
      <c r="K34" s="39"/>
      <c r="L34" s="39"/>
      <c r="M34" s="39"/>
      <c r="N34" s="53"/>
    </row>
    <row r="35" spans="1:14">
      <c r="A35" s="51"/>
      <c r="B35" s="51"/>
      <c r="C35" s="51"/>
      <c r="D35" s="51"/>
      <c r="E35" s="52">
        <f>SUM(E4:E34)</f>
        <v>3999.21</v>
      </c>
      <c r="F35" s="52"/>
      <c r="G35" s="52">
        <f>SUM(G4:G34)</f>
        <v>365487.80189999996</v>
      </c>
      <c r="H35" s="52">
        <f>SUM(H4:H34)</f>
        <v>205</v>
      </c>
      <c r="I35" s="52"/>
      <c r="J35" s="52">
        <f>SUM(J4:J34)</f>
        <v>21209.3</v>
      </c>
      <c r="K35" s="52">
        <f>SUM(K4:K34)</f>
        <v>386697.10190000001</v>
      </c>
      <c r="L35" s="52">
        <f>SUM(L4:L34)</f>
        <v>150000</v>
      </c>
      <c r="M35" s="52"/>
      <c r="N35" s="52"/>
    </row>
  </sheetData>
  <mergeCells count="2">
    <mergeCell ref="A1:N1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21" activePane="bottomLeft" state="frozen"/>
      <selection pane="bottomLeft" activeCell="R23" sqref="R23"/>
    </sheetView>
  </sheetViews>
  <sheetFormatPr defaultRowHeight="15"/>
  <cols>
    <col min="1" max="1" width="5.140625" bestFit="1" customWidth="1"/>
    <col min="2" max="2" width="11.42578125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50" t="s">
        <v>90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96"/>
    </row>
    <row r="2" spans="1:15" ht="16.5" customHeight="1">
      <c r="A2" s="113" t="s">
        <v>99</v>
      </c>
      <c r="B2" s="114" t="s">
        <v>100</v>
      </c>
      <c r="C2" s="114" t="s">
        <v>101</v>
      </c>
      <c r="D2" s="114" t="s">
        <v>122</v>
      </c>
      <c r="E2" s="114" t="s">
        <v>103</v>
      </c>
      <c r="F2" s="114" t="s">
        <v>104</v>
      </c>
      <c r="G2" s="114" t="s">
        <v>105</v>
      </c>
      <c r="H2" s="114" t="s">
        <v>106</v>
      </c>
      <c r="I2" s="114" t="s">
        <v>104</v>
      </c>
      <c r="J2" s="156" t="s">
        <v>105</v>
      </c>
      <c r="K2" s="115" t="s">
        <v>107</v>
      </c>
      <c r="L2" s="157" t="s">
        <v>108</v>
      </c>
      <c r="M2" s="162" t="s">
        <v>115</v>
      </c>
      <c r="N2" s="116" t="s">
        <v>110</v>
      </c>
      <c r="O2" s="72"/>
    </row>
    <row r="3" spans="1:15" ht="16.5" customHeight="1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51"/>
      <c r="M3" s="171">
        <v>0</v>
      </c>
      <c r="N3" s="180"/>
      <c r="O3" s="72"/>
    </row>
    <row r="4" spans="1:15">
      <c r="A4" s="234">
        <v>1</v>
      </c>
      <c r="B4" s="270">
        <v>45778</v>
      </c>
      <c r="C4" s="80"/>
      <c r="D4" s="183"/>
      <c r="E4" s="78"/>
      <c r="F4" s="78"/>
      <c r="G4" s="8">
        <f>E4*F4</f>
        <v>0</v>
      </c>
      <c r="H4" s="78">
        <v>0</v>
      </c>
      <c r="I4" s="79">
        <v>0</v>
      </c>
      <c r="J4" s="8">
        <f>H4*I4</f>
        <v>0</v>
      </c>
      <c r="K4" s="8">
        <f>G4+J4</f>
        <v>0</v>
      </c>
      <c r="L4" s="81">
        <f>+K4</f>
        <v>0</v>
      </c>
      <c r="M4" s="81">
        <v>0</v>
      </c>
      <c r="N4" s="8"/>
    </row>
    <row r="5" spans="1:15">
      <c r="A5" s="55">
        <v>2</v>
      </c>
      <c r="B5" s="270">
        <v>45779</v>
      </c>
      <c r="C5" s="80"/>
      <c r="D5" s="183"/>
      <c r="E5" s="78"/>
      <c r="F5" s="78"/>
      <c r="G5" s="8">
        <f t="shared" ref="G5:G29" si="0">E5*F5</f>
        <v>0</v>
      </c>
      <c r="H5" s="78">
        <v>0</v>
      </c>
      <c r="I5" s="79">
        <v>0</v>
      </c>
      <c r="J5" s="8">
        <f t="shared" ref="J5:J29" si="1">H5*I5</f>
        <v>0</v>
      </c>
      <c r="K5" s="8">
        <f t="shared" ref="K5:K32" si="2">G5+J5</f>
        <v>0</v>
      </c>
      <c r="L5" s="81">
        <f t="shared" ref="L5:L32" si="3">+K5</f>
        <v>0</v>
      </c>
      <c r="M5" s="81">
        <v>0</v>
      </c>
      <c r="N5" s="8"/>
    </row>
    <row r="6" spans="1:15">
      <c r="A6" s="55">
        <v>3</v>
      </c>
      <c r="B6" s="270">
        <v>45780</v>
      </c>
      <c r="C6" s="80"/>
      <c r="D6" s="183"/>
      <c r="E6" s="78"/>
      <c r="F6" s="78"/>
      <c r="G6" s="8">
        <f t="shared" si="0"/>
        <v>0</v>
      </c>
      <c r="H6" s="78">
        <v>0</v>
      </c>
      <c r="I6" s="79">
        <v>0</v>
      </c>
      <c r="J6" s="8">
        <f t="shared" si="1"/>
        <v>0</v>
      </c>
      <c r="K6" s="8">
        <f t="shared" si="2"/>
        <v>0</v>
      </c>
      <c r="L6" s="81">
        <f t="shared" si="3"/>
        <v>0</v>
      </c>
      <c r="M6" s="81">
        <v>0</v>
      </c>
      <c r="N6" s="8"/>
    </row>
    <row r="7" spans="1:15">
      <c r="A7" s="55">
        <v>4</v>
      </c>
      <c r="B7" s="270">
        <v>45781</v>
      </c>
      <c r="C7" s="80"/>
      <c r="D7" s="183"/>
      <c r="E7" s="78"/>
      <c r="F7" s="78"/>
      <c r="G7" s="8">
        <f t="shared" si="0"/>
        <v>0</v>
      </c>
      <c r="H7" s="78">
        <v>8.3000000000000007</v>
      </c>
      <c r="I7" s="79">
        <v>102.46</v>
      </c>
      <c r="J7" s="8">
        <f t="shared" si="1"/>
        <v>850.41800000000001</v>
      </c>
      <c r="K7" s="8">
        <f t="shared" si="2"/>
        <v>850.41800000000001</v>
      </c>
      <c r="L7" s="81">
        <f t="shared" si="3"/>
        <v>850.41800000000001</v>
      </c>
      <c r="M7" s="81">
        <v>0</v>
      </c>
      <c r="N7" s="8"/>
    </row>
    <row r="8" spans="1:15">
      <c r="A8" s="55">
        <v>5</v>
      </c>
      <c r="B8" s="270">
        <v>45782</v>
      </c>
      <c r="C8" s="80"/>
      <c r="D8" s="183"/>
      <c r="E8" s="78"/>
      <c r="F8" s="78"/>
      <c r="G8" s="8">
        <f t="shared" si="0"/>
        <v>0</v>
      </c>
      <c r="H8" s="78">
        <v>0</v>
      </c>
      <c r="I8" s="79">
        <v>0</v>
      </c>
      <c r="J8" s="8">
        <f t="shared" si="1"/>
        <v>0</v>
      </c>
      <c r="K8" s="8">
        <f t="shared" si="2"/>
        <v>0</v>
      </c>
      <c r="L8" s="81">
        <f t="shared" si="3"/>
        <v>0</v>
      </c>
      <c r="M8" s="81">
        <v>0</v>
      </c>
      <c r="N8" s="8"/>
      <c r="O8" s="82"/>
    </row>
    <row r="9" spans="1:15">
      <c r="A9" s="55">
        <v>6</v>
      </c>
      <c r="B9" s="270">
        <v>45783</v>
      </c>
      <c r="C9" s="80"/>
      <c r="D9" s="183"/>
      <c r="E9" s="78"/>
      <c r="F9" s="78"/>
      <c r="G9" s="8">
        <f t="shared" si="0"/>
        <v>0</v>
      </c>
      <c r="H9" s="78">
        <v>0</v>
      </c>
      <c r="I9" s="79">
        <v>0</v>
      </c>
      <c r="J9" s="8">
        <f t="shared" si="1"/>
        <v>0</v>
      </c>
      <c r="K9" s="8">
        <f t="shared" si="2"/>
        <v>0</v>
      </c>
      <c r="L9" s="81">
        <f t="shared" si="3"/>
        <v>0</v>
      </c>
      <c r="M9" s="81">
        <v>0</v>
      </c>
      <c r="N9" s="8"/>
      <c r="O9" s="82"/>
    </row>
    <row r="10" spans="1:15">
      <c r="A10" s="55">
        <v>7</v>
      </c>
      <c r="B10" s="270">
        <v>45784</v>
      </c>
      <c r="C10" s="80"/>
      <c r="D10" s="183"/>
      <c r="E10" s="78"/>
      <c r="F10" s="78"/>
      <c r="G10" s="8">
        <f t="shared" si="0"/>
        <v>0</v>
      </c>
      <c r="H10" s="78">
        <v>6.05</v>
      </c>
      <c r="I10" s="79">
        <v>102.46</v>
      </c>
      <c r="J10" s="8">
        <f t="shared" si="1"/>
        <v>619.88299999999992</v>
      </c>
      <c r="K10" s="8">
        <f t="shared" si="2"/>
        <v>619.88299999999992</v>
      </c>
      <c r="L10" s="81">
        <f t="shared" si="3"/>
        <v>619.88299999999992</v>
      </c>
      <c r="M10" s="81">
        <v>0</v>
      </c>
      <c r="N10" s="8"/>
      <c r="O10" s="82"/>
    </row>
    <row r="11" spans="1:15">
      <c r="A11" s="55">
        <v>8</v>
      </c>
      <c r="B11" s="270">
        <v>45785</v>
      </c>
      <c r="C11" s="80"/>
      <c r="D11" s="183"/>
      <c r="E11" s="78"/>
      <c r="F11" s="78"/>
      <c r="G11" s="8">
        <f t="shared" si="0"/>
        <v>0</v>
      </c>
      <c r="H11" s="78">
        <v>0</v>
      </c>
      <c r="I11" s="79">
        <v>0</v>
      </c>
      <c r="J11" s="8">
        <f t="shared" si="1"/>
        <v>0</v>
      </c>
      <c r="K11" s="8">
        <f t="shared" si="2"/>
        <v>0</v>
      </c>
      <c r="L11" s="81">
        <f t="shared" si="3"/>
        <v>0</v>
      </c>
      <c r="M11" s="81">
        <v>0</v>
      </c>
      <c r="N11" s="8"/>
      <c r="O11" s="82"/>
    </row>
    <row r="12" spans="1:15">
      <c r="A12" s="55">
        <v>9</v>
      </c>
      <c r="B12" s="270">
        <v>45786</v>
      </c>
      <c r="C12" s="80"/>
      <c r="D12" s="183"/>
      <c r="E12" s="78"/>
      <c r="F12" s="78"/>
      <c r="G12" s="8">
        <f t="shared" si="0"/>
        <v>0</v>
      </c>
      <c r="H12" s="78">
        <v>0</v>
      </c>
      <c r="I12" s="79">
        <v>0</v>
      </c>
      <c r="J12" s="8">
        <f t="shared" si="1"/>
        <v>0</v>
      </c>
      <c r="K12" s="8">
        <f t="shared" si="2"/>
        <v>0</v>
      </c>
      <c r="L12" s="81">
        <f t="shared" si="3"/>
        <v>0</v>
      </c>
      <c r="M12" s="81">
        <v>0</v>
      </c>
      <c r="N12" s="8"/>
      <c r="O12" s="82"/>
    </row>
    <row r="13" spans="1:15">
      <c r="A13" s="55">
        <v>10</v>
      </c>
      <c r="B13" s="270">
        <v>45787</v>
      </c>
      <c r="C13" s="80"/>
      <c r="D13" s="183"/>
      <c r="E13" s="78"/>
      <c r="F13" s="78"/>
      <c r="G13" s="8">
        <f t="shared" si="0"/>
        <v>0</v>
      </c>
      <c r="H13" s="78">
        <v>0</v>
      </c>
      <c r="I13" s="79">
        <v>0</v>
      </c>
      <c r="J13" s="8">
        <f t="shared" si="1"/>
        <v>0</v>
      </c>
      <c r="K13" s="8">
        <f t="shared" si="2"/>
        <v>0</v>
      </c>
      <c r="L13" s="81">
        <f t="shared" si="3"/>
        <v>0</v>
      </c>
      <c r="M13" s="81">
        <v>0</v>
      </c>
      <c r="N13" s="8"/>
      <c r="O13" s="82"/>
    </row>
    <row r="14" spans="1:15">
      <c r="A14" s="55">
        <v>11</v>
      </c>
      <c r="B14" s="270">
        <v>45788</v>
      </c>
      <c r="C14" s="80"/>
      <c r="D14" s="183"/>
      <c r="E14" s="78"/>
      <c r="F14" s="78"/>
      <c r="G14" s="8">
        <f t="shared" si="0"/>
        <v>0</v>
      </c>
      <c r="H14" s="78">
        <v>0</v>
      </c>
      <c r="I14" s="79">
        <v>0</v>
      </c>
      <c r="J14" s="8">
        <f t="shared" si="1"/>
        <v>0</v>
      </c>
      <c r="K14" s="8">
        <f t="shared" si="2"/>
        <v>0</v>
      </c>
      <c r="L14" s="81">
        <f t="shared" si="3"/>
        <v>0</v>
      </c>
      <c r="M14" s="81">
        <v>0</v>
      </c>
      <c r="N14" s="8"/>
      <c r="O14" s="82"/>
    </row>
    <row r="15" spans="1:15">
      <c r="A15" s="55">
        <v>12</v>
      </c>
      <c r="B15" s="270">
        <v>45789</v>
      </c>
      <c r="C15" s="80"/>
      <c r="D15" s="183"/>
      <c r="E15" s="78"/>
      <c r="F15" s="78"/>
      <c r="G15" s="8">
        <f t="shared" si="0"/>
        <v>0</v>
      </c>
      <c r="H15" s="78">
        <v>0</v>
      </c>
      <c r="I15" s="79">
        <v>0</v>
      </c>
      <c r="J15" s="8">
        <f t="shared" si="1"/>
        <v>0</v>
      </c>
      <c r="K15" s="8">
        <f t="shared" si="2"/>
        <v>0</v>
      </c>
      <c r="L15" s="81">
        <f t="shared" si="3"/>
        <v>0</v>
      </c>
      <c r="M15" s="81">
        <v>0</v>
      </c>
      <c r="N15" s="8"/>
      <c r="O15" s="82"/>
    </row>
    <row r="16" spans="1:15">
      <c r="A16" s="55">
        <v>13</v>
      </c>
      <c r="B16" s="270">
        <v>45790</v>
      </c>
      <c r="C16" s="80"/>
      <c r="D16" s="183"/>
      <c r="E16" s="78"/>
      <c r="F16" s="78"/>
      <c r="G16" s="8">
        <f t="shared" si="0"/>
        <v>0</v>
      </c>
      <c r="H16" s="78">
        <v>0</v>
      </c>
      <c r="I16" s="79">
        <v>0</v>
      </c>
      <c r="J16" s="8">
        <f t="shared" si="1"/>
        <v>0</v>
      </c>
      <c r="K16" s="8">
        <f t="shared" si="2"/>
        <v>0</v>
      </c>
      <c r="L16" s="81">
        <f t="shared" si="3"/>
        <v>0</v>
      </c>
      <c r="M16" s="81">
        <v>0</v>
      </c>
      <c r="N16" s="8"/>
      <c r="O16" s="82"/>
    </row>
    <row r="17" spans="1:15">
      <c r="A17" s="55">
        <v>14</v>
      </c>
      <c r="B17" s="270">
        <v>45791</v>
      </c>
      <c r="C17" s="80"/>
      <c r="D17" s="183"/>
      <c r="E17" s="78"/>
      <c r="F17" s="78"/>
      <c r="G17" s="8">
        <f t="shared" si="0"/>
        <v>0</v>
      </c>
      <c r="H17" s="78">
        <v>7.8</v>
      </c>
      <c r="I17" s="79">
        <v>102.46</v>
      </c>
      <c r="J17" s="8">
        <f t="shared" si="1"/>
        <v>799.18799999999999</v>
      </c>
      <c r="K17" s="8">
        <f t="shared" si="2"/>
        <v>799.18799999999999</v>
      </c>
      <c r="L17" s="81">
        <f t="shared" si="3"/>
        <v>799.18799999999999</v>
      </c>
      <c r="M17" s="81">
        <v>0</v>
      </c>
      <c r="N17" s="8"/>
      <c r="O17" s="82"/>
    </row>
    <row r="18" spans="1:15">
      <c r="A18" s="55">
        <v>15</v>
      </c>
      <c r="B18" s="270">
        <v>45792</v>
      </c>
      <c r="C18" s="80"/>
      <c r="D18" s="183"/>
      <c r="E18" s="78"/>
      <c r="F18" s="78"/>
      <c r="G18" s="8">
        <f t="shared" si="0"/>
        <v>0</v>
      </c>
      <c r="H18" s="78">
        <v>0</v>
      </c>
      <c r="I18" s="79">
        <v>0</v>
      </c>
      <c r="J18" s="8">
        <f t="shared" si="1"/>
        <v>0</v>
      </c>
      <c r="K18" s="8">
        <f t="shared" si="2"/>
        <v>0</v>
      </c>
      <c r="L18" s="81">
        <f t="shared" si="3"/>
        <v>0</v>
      </c>
      <c r="M18" s="81">
        <v>0</v>
      </c>
      <c r="N18" s="8"/>
      <c r="O18" s="82"/>
    </row>
    <row r="19" spans="1:15">
      <c r="A19" s="55">
        <v>16</v>
      </c>
      <c r="B19" s="270">
        <v>45793</v>
      </c>
      <c r="C19" s="80"/>
      <c r="D19" s="183"/>
      <c r="E19" s="78"/>
      <c r="F19" s="78"/>
      <c r="G19" s="8">
        <f t="shared" si="0"/>
        <v>0</v>
      </c>
      <c r="H19" s="78">
        <v>3.9</v>
      </c>
      <c r="I19" s="79">
        <v>102.46</v>
      </c>
      <c r="J19" s="8">
        <f t="shared" si="1"/>
        <v>399.59399999999999</v>
      </c>
      <c r="K19" s="8">
        <f t="shared" si="2"/>
        <v>399.59399999999999</v>
      </c>
      <c r="L19" s="81">
        <f t="shared" si="3"/>
        <v>399.59399999999999</v>
      </c>
      <c r="M19" s="81">
        <v>0</v>
      </c>
      <c r="N19" s="8"/>
      <c r="O19" s="82"/>
    </row>
    <row r="20" spans="1:15">
      <c r="A20" s="55">
        <v>17</v>
      </c>
      <c r="B20" s="270">
        <v>45794</v>
      </c>
      <c r="C20" s="80"/>
      <c r="D20" s="183"/>
      <c r="E20" s="78"/>
      <c r="F20" s="78"/>
      <c r="G20" s="8">
        <f t="shared" si="0"/>
        <v>0</v>
      </c>
      <c r="H20" s="78">
        <v>0</v>
      </c>
      <c r="I20" s="79">
        <v>0</v>
      </c>
      <c r="J20" s="8">
        <f t="shared" si="1"/>
        <v>0</v>
      </c>
      <c r="K20" s="8">
        <f t="shared" si="2"/>
        <v>0</v>
      </c>
      <c r="L20" s="81">
        <f t="shared" si="3"/>
        <v>0</v>
      </c>
      <c r="M20" s="81">
        <v>0</v>
      </c>
      <c r="N20" s="8"/>
      <c r="O20" s="82"/>
    </row>
    <row r="21" spans="1:15">
      <c r="A21" s="55">
        <v>18</v>
      </c>
      <c r="B21" s="270">
        <v>45795</v>
      </c>
      <c r="C21" s="80"/>
      <c r="D21" s="183"/>
      <c r="E21" s="78"/>
      <c r="F21" s="78"/>
      <c r="G21" s="8">
        <f t="shared" si="0"/>
        <v>0</v>
      </c>
      <c r="H21" s="78">
        <v>0</v>
      </c>
      <c r="I21" s="79">
        <v>0</v>
      </c>
      <c r="J21" s="8">
        <f t="shared" si="1"/>
        <v>0</v>
      </c>
      <c r="K21" s="8">
        <f t="shared" si="2"/>
        <v>0</v>
      </c>
      <c r="L21" s="81">
        <f t="shared" si="3"/>
        <v>0</v>
      </c>
      <c r="M21" s="81">
        <v>0</v>
      </c>
      <c r="N21" s="8"/>
      <c r="O21" s="82"/>
    </row>
    <row r="22" spans="1:15">
      <c r="A22" s="55">
        <v>19</v>
      </c>
      <c r="B22" s="270">
        <v>45796</v>
      </c>
      <c r="C22" s="80"/>
      <c r="D22" s="183"/>
      <c r="E22" s="78"/>
      <c r="F22" s="78"/>
      <c r="G22" s="8">
        <f t="shared" si="0"/>
        <v>0</v>
      </c>
      <c r="H22" s="78">
        <v>0</v>
      </c>
      <c r="I22" s="79">
        <v>0</v>
      </c>
      <c r="J22" s="8">
        <f t="shared" si="1"/>
        <v>0</v>
      </c>
      <c r="K22" s="8">
        <f t="shared" si="2"/>
        <v>0</v>
      </c>
      <c r="L22" s="81">
        <f t="shared" si="3"/>
        <v>0</v>
      </c>
      <c r="M22" s="81">
        <v>0</v>
      </c>
      <c r="N22" s="8"/>
      <c r="O22" s="82"/>
    </row>
    <row r="23" spans="1:15">
      <c r="A23" s="55">
        <v>20</v>
      </c>
      <c r="B23" s="270">
        <v>45797</v>
      </c>
      <c r="C23" s="80"/>
      <c r="D23" s="183"/>
      <c r="E23" s="78"/>
      <c r="F23" s="78"/>
      <c r="G23" s="8">
        <f t="shared" si="0"/>
        <v>0</v>
      </c>
      <c r="H23" s="78">
        <v>0</v>
      </c>
      <c r="I23" s="79">
        <v>0</v>
      </c>
      <c r="J23" s="8">
        <f t="shared" si="1"/>
        <v>0</v>
      </c>
      <c r="K23" s="8">
        <f t="shared" si="2"/>
        <v>0</v>
      </c>
      <c r="L23" s="81">
        <f t="shared" si="3"/>
        <v>0</v>
      </c>
      <c r="M23" s="81">
        <v>0</v>
      </c>
      <c r="N23" s="8"/>
      <c r="O23" s="82"/>
    </row>
    <row r="24" spans="1:15">
      <c r="A24" s="55">
        <v>21</v>
      </c>
      <c r="B24" s="270">
        <v>45798</v>
      </c>
      <c r="C24" s="80"/>
      <c r="D24" s="183"/>
      <c r="E24" s="78">
        <v>71.77</v>
      </c>
      <c r="F24" s="78">
        <v>90.57</v>
      </c>
      <c r="G24" s="8">
        <f t="shared" si="0"/>
        <v>6500.2088999999987</v>
      </c>
      <c r="H24" s="78">
        <v>9.08</v>
      </c>
      <c r="I24" s="79">
        <v>102.46</v>
      </c>
      <c r="J24" s="8">
        <f t="shared" si="1"/>
        <v>930.33679999999993</v>
      </c>
      <c r="K24" s="8">
        <f t="shared" si="2"/>
        <v>7430.5456999999988</v>
      </c>
      <c r="L24" s="81">
        <f t="shared" si="3"/>
        <v>7430.5456999999988</v>
      </c>
      <c r="M24" s="81">
        <v>0</v>
      </c>
      <c r="N24" s="8"/>
      <c r="O24" s="82"/>
    </row>
    <row r="25" spans="1:15">
      <c r="A25" s="55">
        <v>22</v>
      </c>
      <c r="B25" s="270">
        <v>45799</v>
      </c>
      <c r="C25" s="80"/>
      <c r="D25" s="183"/>
      <c r="E25" s="78"/>
      <c r="F25" s="78"/>
      <c r="G25" s="8">
        <f t="shared" si="0"/>
        <v>0</v>
      </c>
      <c r="H25" s="78">
        <v>0</v>
      </c>
      <c r="I25" s="79">
        <v>0</v>
      </c>
      <c r="J25" s="8">
        <f t="shared" si="1"/>
        <v>0</v>
      </c>
      <c r="K25" s="8">
        <f t="shared" si="2"/>
        <v>0</v>
      </c>
      <c r="L25" s="81">
        <f t="shared" si="3"/>
        <v>0</v>
      </c>
      <c r="M25" s="81">
        <v>0</v>
      </c>
      <c r="N25" s="8"/>
      <c r="O25" s="82"/>
    </row>
    <row r="26" spans="1:15">
      <c r="A26" s="55">
        <v>23</v>
      </c>
      <c r="B26" s="270">
        <v>45800</v>
      </c>
      <c r="C26" s="80"/>
      <c r="D26" s="183"/>
      <c r="E26" s="78"/>
      <c r="F26" s="78"/>
      <c r="G26" s="8">
        <f t="shared" si="0"/>
        <v>0</v>
      </c>
      <c r="H26" s="78">
        <v>0</v>
      </c>
      <c r="I26" s="79">
        <v>0</v>
      </c>
      <c r="J26" s="8">
        <f t="shared" si="1"/>
        <v>0</v>
      </c>
      <c r="K26" s="8">
        <f t="shared" si="2"/>
        <v>0</v>
      </c>
      <c r="L26" s="81">
        <f t="shared" si="3"/>
        <v>0</v>
      </c>
      <c r="M26" s="81">
        <v>0</v>
      </c>
      <c r="N26" s="8"/>
      <c r="O26" s="82"/>
    </row>
    <row r="27" spans="1:15">
      <c r="A27" s="55">
        <v>24</v>
      </c>
      <c r="B27" s="270">
        <v>45801</v>
      </c>
      <c r="C27" s="80"/>
      <c r="D27" s="183"/>
      <c r="E27" s="78"/>
      <c r="F27" s="78"/>
      <c r="G27" s="8">
        <f t="shared" si="0"/>
        <v>0</v>
      </c>
      <c r="H27" s="78">
        <v>0</v>
      </c>
      <c r="I27" s="79">
        <v>0</v>
      </c>
      <c r="J27" s="8">
        <f t="shared" si="1"/>
        <v>0</v>
      </c>
      <c r="K27" s="8">
        <f t="shared" si="2"/>
        <v>0</v>
      </c>
      <c r="L27" s="81">
        <f t="shared" si="3"/>
        <v>0</v>
      </c>
      <c r="M27" s="81">
        <v>0</v>
      </c>
      <c r="N27" s="8"/>
      <c r="O27" s="82"/>
    </row>
    <row r="28" spans="1:15">
      <c r="A28" s="272">
        <v>25</v>
      </c>
      <c r="B28" s="270">
        <v>45802</v>
      </c>
      <c r="C28" s="80"/>
      <c r="D28" s="183"/>
      <c r="E28" s="78"/>
      <c r="F28" s="78"/>
      <c r="G28" s="8">
        <f t="shared" si="0"/>
        <v>0</v>
      </c>
      <c r="H28" s="78">
        <v>0</v>
      </c>
      <c r="I28" s="79">
        <v>0</v>
      </c>
      <c r="J28" s="8">
        <f t="shared" si="1"/>
        <v>0</v>
      </c>
      <c r="K28" s="8">
        <f t="shared" si="2"/>
        <v>0</v>
      </c>
      <c r="L28" s="81">
        <f t="shared" si="3"/>
        <v>0</v>
      </c>
      <c r="M28" s="81">
        <v>0</v>
      </c>
      <c r="N28" s="8"/>
      <c r="O28" s="82"/>
    </row>
    <row r="29" spans="1:15">
      <c r="A29" s="272">
        <v>26</v>
      </c>
      <c r="B29" s="270">
        <v>45803</v>
      </c>
      <c r="C29" s="80"/>
      <c r="D29" s="183"/>
      <c r="E29" s="78"/>
      <c r="F29" s="78"/>
      <c r="G29" s="8">
        <f t="shared" si="0"/>
        <v>0</v>
      </c>
      <c r="H29" s="78">
        <v>0</v>
      </c>
      <c r="I29" s="79">
        <v>0</v>
      </c>
      <c r="J29" s="8">
        <f t="shared" si="1"/>
        <v>0</v>
      </c>
      <c r="K29" s="8">
        <f t="shared" si="2"/>
        <v>0</v>
      </c>
      <c r="L29" s="81">
        <f t="shared" si="3"/>
        <v>0</v>
      </c>
      <c r="M29" s="81">
        <v>0</v>
      </c>
      <c r="N29" s="8"/>
      <c r="O29" s="82"/>
    </row>
    <row r="30" spans="1:15">
      <c r="A30" s="272">
        <v>27</v>
      </c>
      <c r="B30" s="270">
        <v>45804</v>
      </c>
      <c r="C30" s="80"/>
      <c r="D30" s="183"/>
      <c r="E30" s="78">
        <v>0</v>
      </c>
      <c r="F30" s="78">
        <v>0</v>
      </c>
      <c r="G30" s="8">
        <f t="shared" ref="G5:G32" si="4">E30*F30</f>
        <v>0</v>
      </c>
      <c r="H30" s="78">
        <v>4.88</v>
      </c>
      <c r="I30" s="79">
        <v>102.46</v>
      </c>
      <c r="J30" s="8">
        <f t="shared" ref="J5:J32" si="5">H30*I30</f>
        <v>500.00479999999993</v>
      </c>
      <c r="K30" s="8">
        <f t="shared" si="2"/>
        <v>500.00479999999993</v>
      </c>
      <c r="L30" s="81">
        <f t="shared" si="3"/>
        <v>500.00479999999993</v>
      </c>
      <c r="M30" s="81">
        <v>0</v>
      </c>
      <c r="N30" s="8"/>
      <c r="O30" s="82"/>
    </row>
    <row r="31" spans="1:15">
      <c r="A31" s="272">
        <v>28</v>
      </c>
      <c r="B31" s="270">
        <v>45805</v>
      </c>
      <c r="C31" s="80"/>
      <c r="D31" s="183"/>
      <c r="E31" s="78">
        <v>77.290000000000006</v>
      </c>
      <c r="F31" s="78">
        <v>90.57</v>
      </c>
      <c r="G31" s="8">
        <f t="shared" si="4"/>
        <v>7000.1553000000004</v>
      </c>
      <c r="H31" s="78">
        <v>0</v>
      </c>
      <c r="I31" s="79">
        <v>0</v>
      </c>
      <c r="J31" s="8">
        <f t="shared" si="5"/>
        <v>0</v>
      </c>
      <c r="K31" s="8">
        <f t="shared" si="2"/>
        <v>7000.1553000000004</v>
      </c>
      <c r="L31" s="81">
        <f t="shared" si="3"/>
        <v>7000.1553000000004</v>
      </c>
      <c r="M31" s="81">
        <v>0</v>
      </c>
      <c r="N31" s="8"/>
      <c r="O31" s="82"/>
    </row>
    <row r="32" spans="1:15">
      <c r="A32" s="273">
        <v>29</v>
      </c>
      <c r="B32" s="270">
        <v>45806</v>
      </c>
      <c r="C32" s="80"/>
      <c r="D32" s="183"/>
      <c r="E32" s="78"/>
      <c r="F32" s="78"/>
      <c r="G32" s="8">
        <f t="shared" si="4"/>
        <v>0</v>
      </c>
      <c r="H32" s="78">
        <v>9.15</v>
      </c>
      <c r="I32" s="79">
        <v>102.46</v>
      </c>
      <c r="J32" s="8">
        <f t="shared" si="5"/>
        <v>937.50900000000001</v>
      </c>
      <c r="K32" s="8">
        <f t="shared" si="2"/>
        <v>937.50900000000001</v>
      </c>
      <c r="L32" s="81">
        <f t="shared" si="3"/>
        <v>937.50900000000001</v>
      </c>
      <c r="M32" s="81">
        <v>0</v>
      </c>
      <c r="N32" s="8"/>
      <c r="O32" s="82"/>
    </row>
    <row r="33" spans="1:15">
      <c r="A33" s="273">
        <v>30</v>
      </c>
      <c r="B33" s="270">
        <v>45807</v>
      </c>
      <c r="C33" s="80"/>
      <c r="D33" s="183"/>
      <c r="E33" s="78"/>
      <c r="F33" s="78"/>
      <c r="G33" s="8">
        <f t="shared" ref="G5:G34" si="6">E33*F33</f>
        <v>0</v>
      </c>
      <c r="H33" s="78">
        <v>0</v>
      </c>
      <c r="I33" s="79">
        <v>0</v>
      </c>
      <c r="J33" s="8">
        <f t="shared" ref="J5:J34" si="7">H33*I33</f>
        <v>0</v>
      </c>
      <c r="K33" s="8">
        <f t="shared" ref="K5:K34" si="8">G33+J33</f>
        <v>0</v>
      </c>
      <c r="L33" s="81">
        <f t="shared" ref="L5:L34" si="9">+K33</f>
        <v>0</v>
      </c>
      <c r="M33" s="81">
        <v>0</v>
      </c>
      <c r="N33" s="8"/>
      <c r="O33" s="82"/>
    </row>
    <row r="34" spans="1:15">
      <c r="A34" s="273">
        <v>31</v>
      </c>
      <c r="B34" s="270">
        <v>45808</v>
      </c>
      <c r="C34" s="80"/>
      <c r="D34" s="183"/>
      <c r="E34" s="78">
        <v>110.41</v>
      </c>
      <c r="F34" s="78">
        <v>90.57</v>
      </c>
      <c r="G34" s="8">
        <f t="shared" si="6"/>
        <v>9999.8336999999992</v>
      </c>
      <c r="H34" s="78">
        <v>0</v>
      </c>
      <c r="I34" s="79">
        <v>0</v>
      </c>
      <c r="J34" s="8">
        <f t="shared" si="7"/>
        <v>0</v>
      </c>
      <c r="K34" s="8">
        <f t="shared" si="8"/>
        <v>9999.8336999999992</v>
      </c>
      <c r="L34" s="81">
        <f t="shared" si="9"/>
        <v>9999.8336999999992</v>
      </c>
      <c r="M34" s="81">
        <v>0</v>
      </c>
      <c r="N34" s="8"/>
      <c r="O34" s="82"/>
    </row>
    <row r="35" spans="1:15">
      <c r="A35" s="75"/>
      <c r="B35" s="75"/>
      <c r="C35" s="75"/>
      <c r="D35" s="75"/>
      <c r="E35" s="76">
        <f>SUM(E4:E34)</f>
        <v>259.47000000000003</v>
      </c>
      <c r="F35" s="76"/>
      <c r="G35" s="76">
        <f>SUM(G4:G34)</f>
        <v>23500.197899999999</v>
      </c>
      <c r="H35" s="76">
        <f>SUM(H4:H34)</f>
        <v>49.160000000000004</v>
      </c>
      <c r="I35" s="76"/>
      <c r="J35" s="76">
        <f>SUM(J4:J34)</f>
        <v>5036.9336000000003</v>
      </c>
      <c r="K35" s="76">
        <f>SUM(K4:K34)</f>
        <v>28537.1315</v>
      </c>
      <c r="L35" s="76">
        <f>SUM(L4:L34)</f>
        <v>28537.1315</v>
      </c>
      <c r="M35" s="76"/>
      <c r="N35" s="76"/>
      <c r="O35" s="72"/>
    </row>
    <row r="36" spans="1:15">
      <c r="A36" s="86"/>
      <c r="B36" s="87"/>
      <c r="C36" s="86"/>
      <c r="D36" s="86"/>
      <c r="E36" s="88"/>
      <c r="F36" s="88"/>
      <c r="G36" s="88"/>
      <c r="H36" s="88"/>
      <c r="I36" s="88"/>
      <c r="J36" s="89"/>
      <c r="K36" s="89"/>
      <c r="L36" s="89"/>
      <c r="M36" s="89"/>
      <c r="N36" s="88"/>
      <c r="O36" s="82"/>
    </row>
    <row r="37" spans="1:15">
      <c r="O37" s="82"/>
    </row>
    <row r="38" spans="1:15">
      <c r="O38" s="82"/>
    </row>
    <row r="39" spans="1:15">
      <c r="O39" s="82"/>
    </row>
    <row r="40" spans="1:15">
      <c r="O40" s="82"/>
    </row>
    <row r="41" spans="1:15">
      <c r="O41" s="82"/>
    </row>
    <row r="42" spans="1:15">
      <c r="A42" s="82"/>
      <c r="B42" s="72"/>
      <c r="C42" s="82"/>
      <c r="D42" s="82"/>
      <c r="E42" s="82"/>
      <c r="F42" s="82"/>
      <c r="G42" s="90"/>
      <c r="H42" s="82"/>
      <c r="I42" s="82"/>
      <c r="J42" s="72"/>
      <c r="K42" s="72"/>
      <c r="L42" s="72"/>
      <c r="M42" s="72"/>
      <c r="N42" s="82"/>
      <c r="O42" s="88"/>
    </row>
    <row r="43" spans="1:15">
      <c r="A43" s="82"/>
      <c r="B43" s="452"/>
      <c r="C43" s="452"/>
      <c r="D43" s="452"/>
      <c r="E43" s="452"/>
      <c r="F43" s="82"/>
      <c r="G43" s="82"/>
      <c r="H43" s="82"/>
      <c r="I43" s="452"/>
      <c r="J43" s="452"/>
      <c r="K43" s="452"/>
      <c r="L43" s="452"/>
      <c r="M43" s="452"/>
      <c r="N43" s="452"/>
      <c r="O43" s="88"/>
    </row>
    <row r="44" spans="1:15">
      <c r="A44" s="82"/>
      <c r="B44" s="72"/>
      <c r="C44" s="82"/>
      <c r="D44" s="82"/>
      <c r="E44" s="82"/>
      <c r="F44" s="82"/>
      <c r="G44" s="82"/>
      <c r="H44" s="82"/>
      <c r="I44" s="82"/>
      <c r="J44" s="72"/>
      <c r="K44" s="72"/>
      <c r="L44" s="72"/>
      <c r="M44" s="72"/>
      <c r="N44" s="82"/>
      <c r="O44" s="88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19" activePane="bottomLeft" state="frozen"/>
      <selection pane="bottomLeft" activeCell="I39" sqref="I39"/>
    </sheetView>
  </sheetViews>
  <sheetFormatPr defaultRowHeight="15"/>
  <cols>
    <col min="1" max="1" width="4.7109375" style="54" bestFit="1" customWidth="1"/>
    <col min="2" max="2" width="10.42578125" style="54" bestFit="1" customWidth="1"/>
    <col min="3" max="3" width="7.140625" style="54" bestFit="1" customWidth="1"/>
    <col min="4" max="4" width="16" style="54" bestFit="1" customWidth="1"/>
    <col min="5" max="5" width="9.7109375" style="54" bestFit="1" customWidth="1"/>
    <col min="6" max="6" width="11.5703125" style="54" bestFit="1" customWidth="1"/>
    <col min="7" max="7" width="11.85546875" style="54" bestFit="1" customWidth="1"/>
    <col min="8" max="8" width="10.42578125" style="54" bestFit="1" customWidth="1"/>
    <col min="9" max="9" width="7.140625" style="54" bestFit="1" customWidth="1"/>
    <col min="10" max="10" width="10.85546875" style="60" bestFit="1" customWidth="1"/>
    <col min="11" max="11" width="11.85546875" style="54" bestFit="1" customWidth="1"/>
    <col min="12" max="12" width="12.42578125" style="60" bestFit="1" customWidth="1"/>
    <col min="13" max="13" width="12.42578125" style="60" customWidth="1"/>
    <col min="14" max="14" width="17.7109375" style="54" bestFit="1" customWidth="1"/>
    <col min="15" max="15" width="9.140625" style="54"/>
    <col min="16" max="16" width="11.85546875" style="54" bestFit="1" customWidth="1"/>
    <col min="17" max="16384" width="9.140625" style="54"/>
  </cols>
  <sheetData>
    <row r="1" spans="1:16">
      <c r="A1" s="455" t="s">
        <v>34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6">
      <c r="A2" s="102" t="s">
        <v>99</v>
      </c>
      <c r="B2" s="103" t="s">
        <v>100</v>
      </c>
      <c r="C2" s="103" t="s">
        <v>101</v>
      </c>
      <c r="D2" s="103" t="s">
        <v>102</v>
      </c>
      <c r="E2" s="103" t="s">
        <v>103</v>
      </c>
      <c r="F2" s="103" t="s">
        <v>104</v>
      </c>
      <c r="G2" s="103" t="s">
        <v>105</v>
      </c>
      <c r="H2" s="103" t="s">
        <v>106</v>
      </c>
      <c r="I2" s="103" t="s">
        <v>104</v>
      </c>
      <c r="J2" s="129" t="s">
        <v>105</v>
      </c>
      <c r="K2" s="103" t="s">
        <v>107</v>
      </c>
      <c r="L2" s="129" t="s">
        <v>108</v>
      </c>
      <c r="M2" s="128" t="s">
        <v>115</v>
      </c>
      <c r="N2" s="104" t="s">
        <v>110</v>
      </c>
      <c r="O2" s="35"/>
    </row>
    <row r="3" spans="1:16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56"/>
      <c r="K3" s="31">
        <v>244365</v>
      </c>
      <c r="L3" s="55"/>
      <c r="M3" s="130">
        <f>+K3</f>
        <v>244365</v>
      </c>
      <c r="N3" s="55"/>
      <c r="O3" s="35"/>
      <c r="P3" s="58"/>
    </row>
    <row r="4" spans="1:16">
      <c r="A4" s="28">
        <v>1</v>
      </c>
      <c r="B4" s="29">
        <v>45778</v>
      </c>
      <c r="C4" s="56" t="s">
        <v>98</v>
      </c>
      <c r="D4" s="57" t="s">
        <v>98</v>
      </c>
      <c r="E4" s="56">
        <v>0</v>
      </c>
      <c r="F4" s="56"/>
      <c r="G4" s="55">
        <f t="shared" ref="G4:G18" si="0">E4*F4</f>
        <v>0</v>
      </c>
      <c r="H4" s="56">
        <v>0</v>
      </c>
      <c r="I4" s="56"/>
      <c r="J4" s="58">
        <f t="shared" ref="J4:J18" si="1">H4*I4</f>
        <v>0</v>
      </c>
      <c r="K4" s="55">
        <f t="shared" ref="K4:K18" si="2">G4+J4</f>
        <v>0</v>
      </c>
      <c r="L4" s="125"/>
      <c r="M4" s="58">
        <f>M3+K4-L4</f>
        <v>244365</v>
      </c>
      <c r="N4" s="120"/>
    </row>
    <row r="5" spans="1:16">
      <c r="A5" s="28">
        <v>2</v>
      </c>
      <c r="B5" s="29">
        <v>45779</v>
      </c>
      <c r="C5" s="56" t="s">
        <v>98</v>
      </c>
      <c r="D5" s="57" t="s">
        <v>98</v>
      </c>
      <c r="E5" s="56">
        <v>0</v>
      </c>
      <c r="F5" s="56"/>
      <c r="G5" s="55">
        <f t="shared" ref="G5:G35" si="3">E5*F5</f>
        <v>0</v>
      </c>
      <c r="H5" s="56">
        <v>0</v>
      </c>
      <c r="I5" s="56"/>
      <c r="J5" s="58">
        <f t="shared" ref="J5:J35" si="4">H5*I5</f>
        <v>0</v>
      </c>
      <c r="K5" s="55">
        <f t="shared" ref="K5:K35" si="5">G5+J5</f>
        <v>0</v>
      </c>
      <c r="L5" s="125"/>
      <c r="M5" s="58">
        <f t="shared" ref="M5:M35" si="6">M4+K5-L5</f>
        <v>244365</v>
      </c>
      <c r="N5" s="120"/>
    </row>
    <row r="6" spans="1:16">
      <c r="A6" s="28">
        <v>3</v>
      </c>
      <c r="B6" s="29">
        <v>45780</v>
      </c>
      <c r="C6" s="56" t="s">
        <v>98</v>
      </c>
      <c r="D6" s="57" t="s">
        <v>98</v>
      </c>
      <c r="E6" s="56">
        <v>0</v>
      </c>
      <c r="F6" s="56"/>
      <c r="G6" s="55">
        <f t="shared" si="3"/>
        <v>0</v>
      </c>
      <c r="H6" s="56">
        <v>105</v>
      </c>
      <c r="I6" s="56">
        <v>103.24</v>
      </c>
      <c r="J6" s="58">
        <f t="shared" si="4"/>
        <v>10840.199999999999</v>
      </c>
      <c r="K6" s="55">
        <f t="shared" si="5"/>
        <v>10840.199999999999</v>
      </c>
      <c r="L6" s="125"/>
      <c r="M6" s="58">
        <f t="shared" si="6"/>
        <v>255205.2</v>
      </c>
      <c r="N6" s="127"/>
    </row>
    <row r="7" spans="1:16">
      <c r="A7" s="28">
        <v>4</v>
      </c>
      <c r="B7" s="29">
        <v>45781</v>
      </c>
      <c r="C7" s="56" t="s">
        <v>98</v>
      </c>
      <c r="D7" s="57" t="s">
        <v>98</v>
      </c>
      <c r="E7" s="56">
        <v>400</v>
      </c>
      <c r="F7" s="56">
        <v>91.3</v>
      </c>
      <c r="G7" s="55">
        <f t="shared" si="3"/>
        <v>36520</v>
      </c>
      <c r="H7" s="56">
        <v>0</v>
      </c>
      <c r="I7" s="56"/>
      <c r="J7" s="58">
        <f t="shared" si="4"/>
        <v>0</v>
      </c>
      <c r="K7" s="55">
        <f t="shared" si="5"/>
        <v>36520</v>
      </c>
      <c r="L7" s="125"/>
      <c r="M7" s="58">
        <f t="shared" si="6"/>
        <v>291725.2</v>
      </c>
      <c r="N7" s="127"/>
    </row>
    <row r="8" spans="1:16">
      <c r="A8" s="28">
        <v>5</v>
      </c>
      <c r="B8" s="29">
        <v>45782</v>
      </c>
      <c r="C8" s="56" t="s">
        <v>98</v>
      </c>
      <c r="D8" s="57" t="s">
        <v>98</v>
      </c>
      <c r="E8" s="56">
        <v>0</v>
      </c>
      <c r="F8" s="56"/>
      <c r="G8" s="55">
        <f t="shared" si="3"/>
        <v>0</v>
      </c>
      <c r="H8" s="56">
        <v>0</v>
      </c>
      <c r="I8" s="56"/>
      <c r="J8" s="58">
        <f t="shared" si="4"/>
        <v>0</v>
      </c>
      <c r="K8" s="55">
        <f t="shared" si="5"/>
        <v>0</v>
      </c>
      <c r="L8" s="125"/>
      <c r="M8" s="58">
        <f t="shared" si="6"/>
        <v>291725.2</v>
      </c>
      <c r="N8" s="120"/>
    </row>
    <row r="9" spans="1:16">
      <c r="A9" s="28">
        <v>6</v>
      </c>
      <c r="B9" s="29">
        <v>45783</v>
      </c>
      <c r="C9" s="56" t="s">
        <v>98</v>
      </c>
      <c r="D9" s="57" t="s">
        <v>98</v>
      </c>
      <c r="E9" s="56">
        <v>0</v>
      </c>
      <c r="F9" s="56"/>
      <c r="G9" s="55">
        <f t="shared" si="3"/>
        <v>0</v>
      </c>
      <c r="H9" s="56">
        <v>0</v>
      </c>
      <c r="I9" s="56"/>
      <c r="J9" s="58">
        <f t="shared" si="4"/>
        <v>0</v>
      </c>
      <c r="K9" s="55">
        <f t="shared" si="5"/>
        <v>0</v>
      </c>
      <c r="L9" s="125"/>
      <c r="M9" s="58">
        <f t="shared" si="6"/>
        <v>291725.2</v>
      </c>
      <c r="N9" s="127"/>
    </row>
    <row r="10" spans="1:16">
      <c r="A10" s="28">
        <v>7</v>
      </c>
      <c r="B10" s="29">
        <v>45784</v>
      </c>
      <c r="C10" s="56" t="s">
        <v>98</v>
      </c>
      <c r="D10" s="57" t="s">
        <v>98</v>
      </c>
      <c r="E10" s="56">
        <v>2400</v>
      </c>
      <c r="F10" s="56">
        <v>91.3</v>
      </c>
      <c r="G10" s="55">
        <f t="shared" si="3"/>
        <v>219120</v>
      </c>
      <c r="H10" s="56">
        <v>70</v>
      </c>
      <c r="I10" s="56">
        <v>103.24</v>
      </c>
      <c r="J10" s="58">
        <f t="shared" si="4"/>
        <v>7226.7999999999993</v>
      </c>
      <c r="K10" s="55">
        <f t="shared" si="5"/>
        <v>226346.8</v>
      </c>
      <c r="L10" s="125">
        <v>199947</v>
      </c>
      <c r="M10" s="58">
        <f t="shared" si="6"/>
        <v>318125</v>
      </c>
      <c r="N10" s="120"/>
    </row>
    <row r="11" spans="1:16">
      <c r="A11" s="28">
        <v>8</v>
      </c>
      <c r="B11" s="29">
        <v>45785</v>
      </c>
      <c r="C11" s="56" t="s">
        <v>98</v>
      </c>
      <c r="D11" s="57" t="s">
        <v>98</v>
      </c>
      <c r="E11" s="56">
        <v>0</v>
      </c>
      <c r="F11" s="56"/>
      <c r="G11" s="55">
        <f t="shared" si="3"/>
        <v>0</v>
      </c>
      <c r="H11" s="56">
        <v>0</v>
      </c>
      <c r="I11" s="56"/>
      <c r="J11" s="58">
        <f t="shared" si="4"/>
        <v>0</v>
      </c>
      <c r="K11" s="55">
        <f t="shared" si="5"/>
        <v>0</v>
      </c>
      <c r="L11" s="125"/>
      <c r="M11" s="58">
        <f t="shared" si="6"/>
        <v>318125</v>
      </c>
      <c r="N11" s="126"/>
    </row>
    <row r="12" spans="1:16">
      <c r="A12" s="28">
        <v>9</v>
      </c>
      <c r="B12" s="29">
        <v>45786</v>
      </c>
      <c r="C12" s="56" t="s">
        <v>98</v>
      </c>
      <c r="D12" s="57" t="s">
        <v>98</v>
      </c>
      <c r="E12" s="56">
        <v>0</v>
      </c>
      <c r="F12" s="56"/>
      <c r="G12" s="55">
        <f t="shared" si="3"/>
        <v>0</v>
      </c>
      <c r="H12" s="56">
        <v>0</v>
      </c>
      <c r="I12" s="56"/>
      <c r="J12" s="58">
        <f t="shared" si="4"/>
        <v>0</v>
      </c>
      <c r="K12" s="55">
        <f t="shared" si="5"/>
        <v>0</v>
      </c>
      <c r="L12" s="125"/>
      <c r="M12" s="58">
        <f t="shared" si="6"/>
        <v>318125</v>
      </c>
      <c r="N12" s="120"/>
    </row>
    <row r="13" spans="1:16">
      <c r="A13" s="28">
        <v>10</v>
      </c>
      <c r="B13" s="29">
        <v>45787</v>
      </c>
      <c r="C13" s="56" t="s">
        <v>98</v>
      </c>
      <c r="D13" s="57" t="s">
        <v>98</v>
      </c>
      <c r="E13" s="56">
        <v>0</v>
      </c>
      <c r="F13" s="56"/>
      <c r="G13" s="55">
        <f t="shared" si="3"/>
        <v>0</v>
      </c>
      <c r="H13" s="56">
        <v>0</v>
      </c>
      <c r="I13" s="56"/>
      <c r="J13" s="58">
        <f t="shared" si="4"/>
        <v>0</v>
      </c>
      <c r="K13" s="55">
        <f t="shared" si="5"/>
        <v>0</v>
      </c>
      <c r="L13" s="125"/>
      <c r="M13" s="58">
        <f t="shared" si="6"/>
        <v>318125</v>
      </c>
      <c r="N13" s="120"/>
    </row>
    <row r="14" spans="1:16">
      <c r="A14" s="28">
        <v>11</v>
      </c>
      <c r="B14" s="29">
        <v>45788</v>
      </c>
      <c r="C14" s="56" t="s">
        <v>98</v>
      </c>
      <c r="D14" s="57" t="s">
        <v>98</v>
      </c>
      <c r="E14" s="56">
        <v>0</v>
      </c>
      <c r="F14" s="56"/>
      <c r="G14" s="55">
        <f t="shared" si="3"/>
        <v>0</v>
      </c>
      <c r="H14" s="56">
        <v>0</v>
      </c>
      <c r="I14" s="56"/>
      <c r="J14" s="58">
        <f t="shared" si="4"/>
        <v>0</v>
      </c>
      <c r="K14" s="55">
        <f t="shared" si="5"/>
        <v>0</v>
      </c>
      <c r="L14" s="125"/>
      <c r="M14" s="58">
        <f t="shared" si="6"/>
        <v>318125</v>
      </c>
      <c r="N14" s="120"/>
    </row>
    <row r="15" spans="1:16">
      <c r="A15" s="28">
        <v>12</v>
      </c>
      <c r="B15" s="29">
        <v>45789</v>
      </c>
      <c r="C15" s="56" t="s">
        <v>98</v>
      </c>
      <c r="D15" s="57" t="s">
        <v>98</v>
      </c>
      <c r="E15" s="56">
        <v>0</v>
      </c>
      <c r="F15" s="56"/>
      <c r="G15" s="55">
        <f t="shared" si="3"/>
        <v>0</v>
      </c>
      <c r="H15" s="56">
        <v>0</v>
      </c>
      <c r="I15" s="56"/>
      <c r="J15" s="58">
        <f t="shared" si="4"/>
        <v>0</v>
      </c>
      <c r="K15" s="55">
        <f t="shared" si="5"/>
        <v>0</v>
      </c>
      <c r="L15" s="125"/>
      <c r="M15" s="58">
        <f t="shared" si="6"/>
        <v>318125</v>
      </c>
      <c r="N15" s="120"/>
    </row>
    <row r="16" spans="1:16">
      <c r="A16" s="28">
        <v>13</v>
      </c>
      <c r="B16" s="29">
        <v>45790</v>
      </c>
      <c r="C16" s="56" t="s">
        <v>98</v>
      </c>
      <c r="D16" s="57" t="s">
        <v>98</v>
      </c>
      <c r="E16" s="56">
        <v>0</v>
      </c>
      <c r="F16" s="56"/>
      <c r="G16" s="55">
        <f t="shared" si="3"/>
        <v>0</v>
      </c>
      <c r="H16" s="56">
        <v>105</v>
      </c>
      <c r="I16" s="56">
        <v>103.24</v>
      </c>
      <c r="J16" s="58">
        <f t="shared" si="4"/>
        <v>10840.199999999999</v>
      </c>
      <c r="K16" s="55">
        <f t="shared" si="5"/>
        <v>10840.199999999999</v>
      </c>
      <c r="L16" s="125">
        <v>99973</v>
      </c>
      <c r="M16" s="58">
        <f t="shared" si="6"/>
        <v>228992.2</v>
      </c>
      <c r="N16" s="120"/>
    </row>
    <row r="17" spans="1:14">
      <c r="A17" s="28">
        <v>14</v>
      </c>
      <c r="B17" s="29">
        <v>45791</v>
      </c>
      <c r="C17" s="56" t="s">
        <v>98</v>
      </c>
      <c r="D17" s="57" t="s">
        <v>98</v>
      </c>
      <c r="E17" s="56">
        <v>0</v>
      </c>
      <c r="F17" s="56"/>
      <c r="G17" s="55">
        <f t="shared" si="3"/>
        <v>0</v>
      </c>
      <c r="H17" s="56">
        <v>0</v>
      </c>
      <c r="I17" s="56"/>
      <c r="J17" s="58">
        <f t="shared" si="4"/>
        <v>0</v>
      </c>
      <c r="K17" s="55">
        <f t="shared" si="5"/>
        <v>0</v>
      </c>
      <c r="L17" s="125"/>
      <c r="M17" s="58">
        <f t="shared" si="6"/>
        <v>228992.2</v>
      </c>
      <c r="N17" s="120"/>
    </row>
    <row r="18" spans="1:14">
      <c r="A18" s="28">
        <v>15</v>
      </c>
      <c r="B18" s="29">
        <v>45792</v>
      </c>
      <c r="C18" s="56" t="s">
        <v>98</v>
      </c>
      <c r="D18" s="57" t="s">
        <v>98</v>
      </c>
      <c r="E18" s="56">
        <v>0</v>
      </c>
      <c r="F18" s="56"/>
      <c r="G18" s="55">
        <f t="shared" si="3"/>
        <v>0</v>
      </c>
      <c r="H18" s="56">
        <v>0</v>
      </c>
      <c r="I18" s="56"/>
      <c r="J18" s="58">
        <f t="shared" si="4"/>
        <v>0</v>
      </c>
      <c r="K18" s="55">
        <f t="shared" si="5"/>
        <v>0</v>
      </c>
      <c r="L18" s="125"/>
      <c r="M18" s="58">
        <f t="shared" si="6"/>
        <v>228992.2</v>
      </c>
      <c r="N18" s="120"/>
    </row>
    <row r="19" spans="1:14">
      <c r="A19" s="28">
        <v>16</v>
      </c>
      <c r="B19" s="29">
        <v>45793</v>
      </c>
      <c r="C19" s="56" t="s">
        <v>98</v>
      </c>
      <c r="D19" s="57" t="s">
        <v>98</v>
      </c>
      <c r="E19" s="56">
        <v>0</v>
      </c>
      <c r="F19" s="56"/>
      <c r="G19" s="55">
        <f t="shared" si="3"/>
        <v>0</v>
      </c>
      <c r="H19" s="56">
        <v>0</v>
      </c>
      <c r="I19" s="56"/>
      <c r="J19" s="58">
        <f t="shared" si="4"/>
        <v>0</v>
      </c>
      <c r="K19" s="55">
        <f t="shared" si="5"/>
        <v>0</v>
      </c>
      <c r="L19" s="125"/>
      <c r="M19" s="58">
        <f t="shared" si="6"/>
        <v>228992.2</v>
      </c>
      <c r="N19" s="120"/>
    </row>
    <row r="20" spans="1:14">
      <c r="A20" s="28">
        <v>17</v>
      </c>
      <c r="B20" s="29">
        <v>45794</v>
      </c>
      <c r="C20" s="56" t="s">
        <v>98</v>
      </c>
      <c r="D20" s="57" t="s">
        <v>98</v>
      </c>
      <c r="E20" s="56">
        <v>1000</v>
      </c>
      <c r="F20" s="56">
        <v>91.3</v>
      </c>
      <c r="G20" s="55">
        <f t="shared" si="3"/>
        <v>91300</v>
      </c>
      <c r="H20" s="56">
        <v>105</v>
      </c>
      <c r="I20" s="56">
        <v>103.24</v>
      </c>
      <c r="J20" s="58">
        <f t="shared" si="4"/>
        <v>10840.199999999999</v>
      </c>
      <c r="K20" s="55">
        <f t="shared" si="5"/>
        <v>102140.2</v>
      </c>
      <c r="L20" s="125"/>
      <c r="M20" s="58">
        <f t="shared" si="6"/>
        <v>331132.40000000002</v>
      </c>
      <c r="N20" s="120"/>
    </row>
    <row r="21" spans="1:14">
      <c r="A21" s="28">
        <v>18</v>
      </c>
      <c r="B21" s="29">
        <v>45795</v>
      </c>
      <c r="C21" s="56" t="s">
        <v>98</v>
      </c>
      <c r="D21" s="57" t="s">
        <v>98</v>
      </c>
      <c r="E21" s="56">
        <v>0</v>
      </c>
      <c r="F21" s="56"/>
      <c r="G21" s="55">
        <f t="shared" si="3"/>
        <v>0</v>
      </c>
      <c r="H21" s="56">
        <v>0</v>
      </c>
      <c r="I21" s="56"/>
      <c r="J21" s="58">
        <f t="shared" si="4"/>
        <v>0</v>
      </c>
      <c r="K21" s="55">
        <f t="shared" si="5"/>
        <v>0</v>
      </c>
      <c r="L21" s="125"/>
      <c r="M21" s="58">
        <f t="shared" si="6"/>
        <v>331132.40000000002</v>
      </c>
      <c r="N21" s="120"/>
    </row>
    <row r="22" spans="1:14">
      <c r="A22" s="28">
        <v>19</v>
      </c>
      <c r="B22" s="29">
        <v>45796</v>
      </c>
      <c r="C22" s="56" t="s">
        <v>98</v>
      </c>
      <c r="D22" s="57" t="s">
        <v>98</v>
      </c>
      <c r="E22" s="56">
        <v>0</v>
      </c>
      <c r="F22" s="56"/>
      <c r="G22" s="55">
        <f t="shared" si="3"/>
        <v>0</v>
      </c>
      <c r="H22" s="56">
        <v>0</v>
      </c>
      <c r="I22" s="56"/>
      <c r="J22" s="58">
        <f t="shared" si="4"/>
        <v>0</v>
      </c>
      <c r="K22" s="55">
        <f t="shared" si="5"/>
        <v>0</v>
      </c>
      <c r="L22" s="125"/>
      <c r="M22" s="58">
        <f t="shared" si="6"/>
        <v>331132.40000000002</v>
      </c>
      <c r="N22" s="120"/>
    </row>
    <row r="23" spans="1:14">
      <c r="A23" s="28">
        <v>20</v>
      </c>
      <c r="B23" s="29">
        <v>45797</v>
      </c>
      <c r="C23" s="56" t="s">
        <v>98</v>
      </c>
      <c r="D23" s="57" t="s">
        <v>98</v>
      </c>
      <c r="E23" s="56">
        <v>0</v>
      </c>
      <c r="F23" s="56"/>
      <c r="G23" s="55">
        <f t="shared" si="3"/>
        <v>0</v>
      </c>
      <c r="H23" s="56">
        <v>0</v>
      </c>
      <c r="I23" s="56"/>
      <c r="J23" s="58">
        <f t="shared" si="4"/>
        <v>0</v>
      </c>
      <c r="K23" s="55">
        <f t="shared" si="5"/>
        <v>0</v>
      </c>
      <c r="L23" s="125"/>
      <c r="M23" s="58">
        <f t="shared" si="6"/>
        <v>331132.40000000002</v>
      </c>
      <c r="N23" s="120"/>
    </row>
    <row r="24" spans="1:14">
      <c r="A24" s="28">
        <v>21</v>
      </c>
      <c r="B24" s="29">
        <v>45798</v>
      </c>
      <c r="C24" s="56" t="s">
        <v>98</v>
      </c>
      <c r="D24" s="57" t="s">
        <v>98</v>
      </c>
      <c r="E24" s="56">
        <v>0</v>
      </c>
      <c r="F24" s="56"/>
      <c r="G24" s="55">
        <f t="shared" si="3"/>
        <v>0</v>
      </c>
      <c r="H24" s="56">
        <v>0</v>
      </c>
      <c r="I24" s="56"/>
      <c r="J24" s="58">
        <f t="shared" si="4"/>
        <v>0</v>
      </c>
      <c r="K24" s="55">
        <f t="shared" si="5"/>
        <v>0</v>
      </c>
      <c r="L24" s="125"/>
      <c r="M24" s="58">
        <f t="shared" si="6"/>
        <v>331132.40000000002</v>
      </c>
      <c r="N24" s="120"/>
    </row>
    <row r="25" spans="1:14">
      <c r="A25" s="28">
        <v>22</v>
      </c>
      <c r="B25" s="29">
        <v>45799</v>
      </c>
      <c r="C25" s="56" t="s">
        <v>98</v>
      </c>
      <c r="D25" s="57" t="s">
        <v>98</v>
      </c>
      <c r="E25" s="56">
        <v>0</v>
      </c>
      <c r="F25" s="56"/>
      <c r="G25" s="55">
        <f t="shared" si="3"/>
        <v>0</v>
      </c>
      <c r="H25" s="56">
        <v>0</v>
      </c>
      <c r="I25" s="56"/>
      <c r="J25" s="58">
        <f t="shared" si="4"/>
        <v>0</v>
      </c>
      <c r="K25" s="55">
        <f t="shared" si="5"/>
        <v>0</v>
      </c>
      <c r="L25" s="125"/>
      <c r="M25" s="58">
        <f t="shared" si="6"/>
        <v>331132.40000000002</v>
      </c>
      <c r="N25" s="120"/>
    </row>
    <row r="26" spans="1:14">
      <c r="A26" s="28">
        <v>23</v>
      </c>
      <c r="B26" s="29">
        <v>45800</v>
      </c>
      <c r="C26" s="56" t="s">
        <v>98</v>
      </c>
      <c r="D26" s="57" t="s">
        <v>98</v>
      </c>
      <c r="E26" s="56">
        <v>0</v>
      </c>
      <c r="F26" s="56"/>
      <c r="G26" s="55">
        <f t="shared" si="3"/>
        <v>0</v>
      </c>
      <c r="H26" s="56">
        <v>0</v>
      </c>
      <c r="I26" s="56"/>
      <c r="J26" s="58">
        <f t="shared" si="4"/>
        <v>0</v>
      </c>
      <c r="K26" s="55">
        <f t="shared" si="5"/>
        <v>0</v>
      </c>
      <c r="L26" s="125"/>
      <c r="M26" s="58">
        <f t="shared" si="6"/>
        <v>331132.40000000002</v>
      </c>
      <c r="N26" s="120"/>
    </row>
    <row r="27" spans="1:14">
      <c r="A27" s="28">
        <v>24</v>
      </c>
      <c r="B27" s="29">
        <v>45801</v>
      </c>
      <c r="C27" s="56" t="s">
        <v>98</v>
      </c>
      <c r="D27" s="57" t="s">
        <v>98</v>
      </c>
      <c r="E27" s="56">
        <v>328.47</v>
      </c>
      <c r="F27" s="56">
        <v>91.33</v>
      </c>
      <c r="G27" s="55">
        <f t="shared" si="3"/>
        <v>29999.165100000002</v>
      </c>
      <c r="H27" s="56">
        <v>0</v>
      </c>
      <c r="I27" s="56"/>
      <c r="J27" s="58">
        <f t="shared" si="4"/>
        <v>0</v>
      </c>
      <c r="K27" s="55">
        <f t="shared" si="5"/>
        <v>29999.165100000002</v>
      </c>
      <c r="L27" s="125">
        <v>30000</v>
      </c>
      <c r="M27" s="58">
        <f t="shared" si="6"/>
        <v>331131.56510000001</v>
      </c>
      <c r="N27" s="120"/>
    </row>
    <row r="28" spans="1:14">
      <c r="A28" s="28">
        <v>25</v>
      </c>
      <c r="B28" s="29">
        <v>45801</v>
      </c>
      <c r="C28" s="56"/>
      <c r="D28" s="57"/>
      <c r="E28" s="56">
        <v>2400</v>
      </c>
      <c r="F28" s="56">
        <v>91.3</v>
      </c>
      <c r="G28" s="55">
        <f t="shared" si="3"/>
        <v>219120</v>
      </c>
      <c r="H28" s="56">
        <v>105</v>
      </c>
      <c r="I28" s="56">
        <v>103.24</v>
      </c>
      <c r="J28" s="58">
        <f t="shared" si="4"/>
        <v>10840.199999999999</v>
      </c>
      <c r="K28" s="55">
        <f t="shared" si="5"/>
        <v>229960.2</v>
      </c>
      <c r="L28" s="125"/>
      <c r="M28" s="58">
        <f t="shared" si="6"/>
        <v>561091.76509999996</v>
      </c>
      <c r="N28" s="120"/>
    </row>
    <row r="29" spans="1:14">
      <c r="A29" s="28">
        <v>26</v>
      </c>
      <c r="B29" s="29">
        <v>45802</v>
      </c>
      <c r="C29" s="56" t="s">
        <v>98</v>
      </c>
      <c r="D29" s="57" t="s">
        <v>98</v>
      </c>
      <c r="E29" s="56">
        <v>0</v>
      </c>
      <c r="F29" s="56"/>
      <c r="G29" s="55">
        <f t="shared" si="3"/>
        <v>0</v>
      </c>
      <c r="H29" s="56">
        <v>0</v>
      </c>
      <c r="I29" s="56"/>
      <c r="J29" s="58">
        <f t="shared" si="4"/>
        <v>0</v>
      </c>
      <c r="K29" s="55">
        <f t="shared" si="5"/>
        <v>0</v>
      </c>
      <c r="L29" s="125"/>
      <c r="M29" s="58">
        <f t="shared" si="6"/>
        <v>561091.76509999996</v>
      </c>
      <c r="N29" s="120"/>
    </row>
    <row r="30" spans="1:14">
      <c r="A30" s="28">
        <v>27</v>
      </c>
      <c r="B30" s="29">
        <v>45803</v>
      </c>
      <c r="C30" s="56" t="s">
        <v>98</v>
      </c>
      <c r="D30" s="57" t="s">
        <v>98</v>
      </c>
      <c r="E30" s="56">
        <v>0</v>
      </c>
      <c r="F30" s="56"/>
      <c r="G30" s="55">
        <f t="shared" si="3"/>
        <v>0</v>
      </c>
      <c r="H30" s="56">
        <v>0</v>
      </c>
      <c r="I30" s="56"/>
      <c r="J30" s="58">
        <f t="shared" si="4"/>
        <v>0</v>
      </c>
      <c r="K30" s="55">
        <f t="shared" si="5"/>
        <v>0</v>
      </c>
      <c r="L30" s="125">
        <v>250000</v>
      </c>
      <c r="M30" s="58">
        <f t="shared" si="6"/>
        <v>311091.76509999996</v>
      </c>
      <c r="N30" s="120"/>
    </row>
    <row r="31" spans="1:14">
      <c r="A31" s="28">
        <v>28</v>
      </c>
      <c r="B31" s="29">
        <v>45804</v>
      </c>
      <c r="C31" s="56" t="s">
        <v>98</v>
      </c>
      <c r="D31" s="57" t="s">
        <v>98</v>
      </c>
      <c r="E31" s="56">
        <v>0</v>
      </c>
      <c r="F31" s="56"/>
      <c r="G31" s="55">
        <f t="shared" si="3"/>
        <v>0</v>
      </c>
      <c r="H31" s="56">
        <v>105</v>
      </c>
      <c r="I31" s="56">
        <v>103.24</v>
      </c>
      <c r="J31" s="58">
        <f t="shared" si="4"/>
        <v>10840.199999999999</v>
      </c>
      <c r="K31" s="55">
        <f t="shared" si="5"/>
        <v>10840.199999999999</v>
      </c>
      <c r="L31" s="125"/>
      <c r="M31" s="58">
        <f t="shared" si="6"/>
        <v>321931.96509999997</v>
      </c>
      <c r="N31" s="120"/>
    </row>
    <row r="32" spans="1:14">
      <c r="A32" s="28">
        <v>29</v>
      </c>
      <c r="B32" s="29">
        <v>45805</v>
      </c>
      <c r="C32" s="55"/>
      <c r="D32" s="57" t="s">
        <v>98</v>
      </c>
      <c r="E32" s="56">
        <v>0</v>
      </c>
      <c r="F32" s="56"/>
      <c r="G32" s="55">
        <f t="shared" si="3"/>
        <v>0</v>
      </c>
      <c r="H32" s="56">
        <v>0</v>
      </c>
      <c r="I32" s="56"/>
      <c r="J32" s="58">
        <f t="shared" si="4"/>
        <v>0</v>
      </c>
      <c r="K32" s="55">
        <f t="shared" si="5"/>
        <v>0</v>
      </c>
      <c r="L32" s="125"/>
      <c r="M32" s="58">
        <f t="shared" si="6"/>
        <v>321931.96509999997</v>
      </c>
      <c r="N32" s="120"/>
    </row>
    <row r="33" spans="1:34">
      <c r="A33" s="28">
        <v>30</v>
      </c>
      <c r="B33" s="29">
        <v>45806</v>
      </c>
      <c r="C33" s="55"/>
      <c r="D33" s="57" t="s">
        <v>98</v>
      </c>
      <c r="E33" s="56">
        <v>0</v>
      </c>
      <c r="F33" s="56"/>
      <c r="G33" s="55">
        <f t="shared" si="3"/>
        <v>0</v>
      </c>
      <c r="H33" s="56">
        <v>0</v>
      </c>
      <c r="I33" s="56"/>
      <c r="J33" s="58">
        <f t="shared" si="4"/>
        <v>0</v>
      </c>
      <c r="K33" s="55">
        <f t="shared" si="5"/>
        <v>0</v>
      </c>
      <c r="L33" s="125">
        <v>250000</v>
      </c>
      <c r="M33" s="58">
        <f t="shared" si="6"/>
        <v>71931.965099999972</v>
      </c>
      <c r="N33" s="120"/>
    </row>
    <row r="34" spans="1:34">
      <c r="A34" s="28">
        <v>31</v>
      </c>
      <c r="B34" s="29">
        <v>45807</v>
      </c>
      <c r="C34" s="55"/>
      <c r="D34" s="57" t="s">
        <v>98</v>
      </c>
      <c r="E34" s="56">
        <v>0</v>
      </c>
      <c r="F34" s="56"/>
      <c r="G34" s="55">
        <f t="shared" si="3"/>
        <v>0</v>
      </c>
      <c r="H34" s="56">
        <v>0</v>
      </c>
      <c r="I34" s="56"/>
      <c r="J34" s="58">
        <f t="shared" si="4"/>
        <v>0</v>
      </c>
      <c r="K34" s="55">
        <f t="shared" si="5"/>
        <v>0</v>
      </c>
      <c r="L34" s="125"/>
      <c r="M34" s="58">
        <f t="shared" si="6"/>
        <v>71931.965099999972</v>
      </c>
      <c r="N34" s="120"/>
    </row>
    <row r="35" spans="1:34">
      <c r="A35" s="28">
        <v>32</v>
      </c>
      <c r="B35" s="29">
        <v>45808</v>
      </c>
      <c r="C35" s="55"/>
      <c r="D35" s="57" t="s">
        <v>98</v>
      </c>
      <c r="E35" s="56">
        <v>0</v>
      </c>
      <c r="F35" s="56"/>
      <c r="G35" s="55">
        <f t="shared" si="3"/>
        <v>0</v>
      </c>
      <c r="H35" s="56">
        <v>0</v>
      </c>
      <c r="I35" s="56"/>
      <c r="J35" s="58">
        <f t="shared" si="4"/>
        <v>0</v>
      </c>
      <c r="K35" s="55">
        <f t="shared" si="5"/>
        <v>0</v>
      </c>
      <c r="L35" s="125"/>
      <c r="M35" s="58">
        <f t="shared" si="6"/>
        <v>71931.965099999972</v>
      </c>
      <c r="N35" s="120"/>
    </row>
    <row r="36" spans="1:34">
      <c r="A36" s="51"/>
      <c r="B36" s="51"/>
      <c r="C36" s="51"/>
      <c r="D36" s="51"/>
      <c r="E36" s="52">
        <f>SUM(E4:E35)</f>
        <v>6528.47</v>
      </c>
      <c r="F36" s="52"/>
      <c r="G36" s="52">
        <f>SUM(G4:G35)</f>
        <v>596059.16509999998</v>
      </c>
      <c r="H36" s="52">
        <f>SUM(H4:H35)</f>
        <v>595</v>
      </c>
      <c r="I36" s="52"/>
      <c r="J36" s="52">
        <f>SUM(J4:J35)</f>
        <v>61427.799999999988</v>
      </c>
      <c r="K36" s="52">
        <f>SUM(K4:K35)</f>
        <v>657486.96509999991</v>
      </c>
      <c r="L36" s="52">
        <f>SUM(L4:L35)</f>
        <v>829920</v>
      </c>
      <c r="M36" s="52"/>
      <c r="N36" s="52"/>
      <c r="O36" s="35"/>
    </row>
    <row r="37" spans="1:34" s="59" customFormat="1" ht="20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</row>
    <row r="38" spans="1:34">
      <c r="J38" s="54"/>
      <c r="L38" s="54"/>
      <c r="M38" s="54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P39"/>
  <sheetViews>
    <sheetView workbookViewId="0">
      <pane ySplit="2" topLeftCell="A25" activePane="bottomLeft" state="frozen"/>
      <selection pane="bottomLeft" activeCell="K3" sqref="K3"/>
    </sheetView>
  </sheetViews>
  <sheetFormatPr defaultColWidth="12.28515625" defaultRowHeight="12.75"/>
  <cols>
    <col min="1" max="1" width="8.42578125" style="74" customWidth="1"/>
    <col min="2" max="3" width="12.28515625" style="74"/>
    <col min="4" max="4" width="13.5703125" style="74" customWidth="1"/>
    <col min="5" max="5" width="12.28515625" style="74"/>
    <col min="6" max="6" width="13.7109375" style="74" bestFit="1" customWidth="1"/>
    <col min="7" max="16384" width="12.28515625" style="74"/>
  </cols>
  <sheetData>
    <row r="1" spans="1:16" ht="15.75" customHeight="1">
      <c r="A1" s="427" t="s">
        <v>42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73"/>
    </row>
    <row r="2" spans="1:16" ht="15.75" customHeight="1">
      <c r="A2" s="102" t="s">
        <v>99</v>
      </c>
      <c r="B2" s="103" t="s">
        <v>100</v>
      </c>
      <c r="C2" s="103" t="s">
        <v>101</v>
      </c>
      <c r="D2" s="103" t="s">
        <v>102</v>
      </c>
      <c r="E2" s="103" t="s">
        <v>103</v>
      </c>
      <c r="F2" s="103" t="s">
        <v>104</v>
      </c>
      <c r="G2" s="103" t="s">
        <v>105</v>
      </c>
      <c r="H2" s="103" t="s">
        <v>106</v>
      </c>
      <c r="I2" s="103" t="s">
        <v>104</v>
      </c>
      <c r="J2" s="129" t="s">
        <v>105</v>
      </c>
      <c r="K2" s="131" t="s">
        <v>107</v>
      </c>
      <c r="L2" s="132" t="s">
        <v>108</v>
      </c>
      <c r="M2" s="133" t="s">
        <v>115</v>
      </c>
      <c r="N2" s="104" t="s">
        <v>110</v>
      </c>
      <c r="O2" s="35"/>
    </row>
    <row r="3" spans="1:16" ht="15.75" customHeight="1">
      <c r="A3" s="436" t="s">
        <v>111</v>
      </c>
      <c r="B3" s="437"/>
      <c r="C3" s="440"/>
      <c r="D3" s="440"/>
      <c r="E3" s="440"/>
      <c r="F3" s="440"/>
      <c r="G3" s="440"/>
      <c r="H3" s="440"/>
      <c r="I3" s="440"/>
      <c r="J3" s="458"/>
      <c r="K3" s="241">
        <v>776427.64999999991</v>
      </c>
      <c r="L3" s="242"/>
      <c r="M3" s="243">
        <f>+K3</f>
        <v>776427.64999999991</v>
      </c>
      <c r="N3" s="242"/>
      <c r="O3" s="35"/>
      <c r="P3" s="74">
        <v>1142944.1099999999</v>
      </c>
    </row>
    <row r="4" spans="1:16" ht="15">
      <c r="A4" s="28">
        <v>1</v>
      </c>
      <c r="B4" s="29">
        <v>45778</v>
      </c>
      <c r="C4" s="124"/>
      <c r="D4" s="124"/>
      <c r="E4" s="39"/>
      <c r="F4" s="39">
        <v>0</v>
      </c>
      <c r="G4" s="39">
        <f>E4*F4</f>
        <v>0</v>
      </c>
      <c r="H4" s="238">
        <v>0</v>
      </c>
      <c r="I4" s="238">
        <v>0</v>
      </c>
      <c r="J4" s="39">
        <f>H4*I4</f>
        <v>0</v>
      </c>
      <c r="K4" s="39">
        <f>G4+J4</f>
        <v>0</v>
      </c>
      <c r="L4" s="242"/>
      <c r="M4" s="239">
        <f>M3+K4-L4</f>
        <v>776427.64999999991</v>
      </c>
      <c r="N4" s="39"/>
      <c r="O4" s="30"/>
    </row>
    <row r="5" spans="1:16" ht="15">
      <c r="A5" s="28">
        <v>2</v>
      </c>
      <c r="B5" s="29">
        <v>45779</v>
      </c>
      <c r="C5" s="124"/>
      <c r="D5" s="124"/>
      <c r="E5" s="39"/>
      <c r="F5" s="39">
        <v>0</v>
      </c>
      <c r="G5" s="39">
        <f t="shared" ref="G5:G33" si="0">E5*F5</f>
        <v>0</v>
      </c>
      <c r="H5" s="238">
        <v>110</v>
      </c>
      <c r="I5" s="238">
        <v>104.27</v>
      </c>
      <c r="J5" s="39">
        <f t="shared" ref="J5:J33" si="1">H5*I5</f>
        <v>11469.699999999999</v>
      </c>
      <c r="K5" s="39">
        <f t="shared" ref="K5:K33" si="2">G5+J5</f>
        <v>11469.699999999999</v>
      </c>
      <c r="L5" s="242"/>
      <c r="M5" s="239">
        <f>M4+K5-L5</f>
        <v>787897.34999999986</v>
      </c>
      <c r="N5" s="39"/>
      <c r="O5" s="30"/>
    </row>
    <row r="6" spans="1:16" ht="15">
      <c r="A6" s="28">
        <v>3</v>
      </c>
      <c r="B6" s="29">
        <v>45780</v>
      </c>
      <c r="C6" s="124"/>
      <c r="D6" s="124"/>
      <c r="E6" s="39"/>
      <c r="F6" s="39">
        <v>0</v>
      </c>
      <c r="G6" s="39">
        <f t="shared" si="0"/>
        <v>0</v>
      </c>
      <c r="H6" s="238">
        <v>0</v>
      </c>
      <c r="I6" s="238">
        <v>0</v>
      </c>
      <c r="J6" s="39">
        <f t="shared" si="1"/>
        <v>0</v>
      </c>
      <c r="K6" s="39">
        <f t="shared" si="2"/>
        <v>0</v>
      </c>
      <c r="L6" s="242"/>
      <c r="M6" s="239">
        <f>M5+K6-L6</f>
        <v>787897.34999999986</v>
      </c>
      <c r="N6" s="39"/>
      <c r="O6" s="30"/>
    </row>
    <row r="7" spans="1:16" ht="15">
      <c r="A7" s="28">
        <v>4</v>
      </c>
      <c r="B7" s="29">
        <v>45781</v>
      </c>
      <c r="C7" s="124"/>
      <c r="D7" s="124"/>
      <c r="E7" s="39"/>
      <c r="F7" s="39">
        <v>0</v>
      </c>
      <c r="G7" s="39">
        <f t="shared" si="0"/>
        <v>0</v>
      </c>
      <c r="H7" s="238">
        <v>0</v>
      </c>
      <c r="I7" s="238">
        <v>0</v>
      </c>
      <c r="J7" s="39">
        <f t="shared" si="1"/>
        <v>0</v>
      </c>
      <c r="K7" s="39">
        <f t="shared" si="2"/>
        <v>0</v>
      </c>
      <c r="L7" s="242"/>
      <c r="M7" s="239">
        <f>M6+K7-L7</f>
        <v>787897.34999999986</v>
      </c>
      <c r="N7" s="39"/>
      <c r="O7" s="30"/>
    </row>
    <row r="8" spans="1:16" ht="15">
      <c r="A8" s="28">
        <v>5</v>
      </c>
      <c r="B8" s="29">
        <v>45782</v>
      </c>
      <c r="C8" s="124"/>
      <c r="D8" s="124"/>
      <c r="E8" s="39"/>
      <c r="F8" s="39">
        <v>0</v>
      </c>
      <c r="G8" s="39">
        <f t="shared" si="0"/>
        <v>0</v>
      </c>
      <c r="H8" s="238">
        <v>0</v>
      </c>
      <c r="I8" s="238">
        <v>0</v>
      </c>
      <c r="J8" s="39">
        <f t="shared" si="1"/>
        <v>0</v>
      </c>
      <c r="K8" s="39">
        <f t="shared" si="2"/>
        <v>0</v>
      </c>
      <c r="L8" s="242"/>
      <c r="M8" s="239">
        <f>M7+K8-L8</f>
        <v>787897.34999999986</v>
      </c>
      <c r="N8" s="39"/>
      <c r="O8" s="30"/>
    </row>
    <row r="9" spans="1:16" ht="15">
      <c r="A9" s="28">
        <v>6</v>
      </c>
      <c r="B9" s="29">
        <v>45783</v>
      </c>
      <c r="C9" s="124"/>
      <c r="D9" s="124"/>
      <c r="E9" s="39"/>
      <c r="F9" s="39">
        <v>0</v>
      </c>
      <c r="G9" s="39">
        <f t="shared" si="0"/>
        <v>0</v>
      </c>
      <c r="H9" s="238">
        <v>0</v>
      </c>
      <c r="I9" s="238">
        <v>0</v>
      </c>
      <c r="J9" s="39">
        <f t="shared" si="1"/>
        <v>0</v>
      </c>
      <c r="K9" s="39">
        <f t="shared" si="2"/>
        <v>0</v>
      </c>
      <c r="L9" s="242"/>
      <c r="M9" s="239">
        <f t="shared" ref="M9:M33" si="3">M8+K9-L9</f>
        <v>787897.34999999986</v>
      </c>
      <c r="N9" s="39"/>
      <c r="O9" s="30"/>
    </row>
    <row r="10" spans="1:16" ht="15">
      <c r="A10" s="28">
        <v>7</v>
      </c>
      <c r="B10" s="29">
        <v>45784</v>
      </c>
      <c r="C10" s="124"/>
      <c r="D10" s="124"/>
      <c r="E10" s="39"/>
      <c r="F10" s="39">
        <v>0</v>
      </c>
      <c r="G10" s="39">
        <f t="shared" si="0"/>
        <v>0</v>
      </c>
      <c r="H10" s="238">
        <v>0</v>
      </c>
      <c r="I10" s="238">
        <v>0</v>
      </c>
      <c r="J10" s="39">
        <f t="shared" si="1"/>
        <v>0</v>
      </c>
      <c r="K10" s="39">
        <f t="shared" si="2"/>
        <v>0</v>
      </c>
      <c r="L10" s="242"/>
      <c r="M10" s="239">
        <f t="shared" si="3"/>
        <v>787897.34999999986</v>
      </c>
      <c r="N10" s="39"/>
      <c r="O10" s="30"/>
    </row>
    <row r="11" spans="1:16" ht="15">
      <c r="A11" s="28">
        <v>8</v>
      </c>
      <c r="B11" s="29">
        <v>45785</v>
      </c>
      <c r="C11" s="124"/>
      <c r="D11" s="124"/>
      <c r="E11" s="39"/>
      <c r="F11" s="39">
        <v>0</v>
      </c>
      <c r="G11" s="39">
        <f t="shared" si="0"/>
        <v>0</v>
      </c>
      <c r="H11" s="238">
        <v>0</v>
      </c>
      <c r="I11" s="238">
        <v>0</v>
      </c>
      <c r="J11" s="39">
        <f t="shared" si="1"/>
        <v>0</v>
      </c>
      <c r="K11" s="39">
        <f t="shared" si="2"/>
        <v>0</v>
      </c>
      <c r="L11" s="242"/>
      <c r="M11" s="239">
        <f t="shared" si="3"/>
        <v>787897.34999999986</v>
      </c>
      <c r="N11" s="39"/>
      <c r="O11" s="30"/>
    </row>
    <row r="12" spans="1:16" ht="15">
      <c r="A12" s="28">
        <v>9</v>
      </c>
      <c r="B12" s="29">
        <v>45786</v>
      </c>
      <c r="C12" s="124"/>
      <c r="D12" s="124"/>
      <c r="E12" s="39">
        <v>2000</v>
      </c>
      <c r="F12" s="39">
        <v>91.15</v>
      </c>
      <c r="G12" s="39">
        <f t="shared" si="0"/>
        <v>182300</v>
      </c>
      <c r="H12" s="238">
        <v>35</v>
      </c>
      <c r="I12" s="238">
        <v>104.27</v>
      </c>
      <c r="J12" s="39">
        <f t="shared" si="1"/>
        <v>3649.45</v>
      </c>
      <c r="K12" s="39">
        <f t="shared" si="2"/>
        <v>185949.45</v>
      </c>
      <c r="L12" s="242"/>
      <c r="M12" s="239">
        <f t="shared" si="3"/>
        <v>973846.79999999981</v>
      </c>
      <c r="N12" s="39"/>
      <c r="O12" s="30"/>
    </row>
    <row r="13" spans="1:16" ht="15">
      <c r="A13" s="28">
        <v>10</v>
      </c>
      <c r="B13" s="29">
        <v>45787</v>
      </c>
      <c r="C13" s="124"/>
      <c r="D13" s="124"/>
      <c r="E13" s="39"/>
      <c r="F13" s="39">
        <v>0</v>
      </c>
      <c r="G13" s="39">
        <f t="shared" si="0"/>
        <v>0</v>
      </c>
      <c r="H13" s="238">
        <v>0</v>
      </c>
      <c r="I13" s="238">
        <v>0</v>
      </c>
      <c r="J13" s="39">
        <f t="shared" si="1"/>
        <v>0</v>
      </c>
      <c r="K13" s="39">
        <f t="shared" si="2"/>
        <v>0</v>
      </c>
      <c r="L13" s="242"/>
      <c r="M13" s="239">
        <f t="shared" si="3"/>
        <v>973846.79999999981</v>
      </c>
      <c r="N13" s="39"/>
      <c r="O13" s="30"/>
    </row>
    <row r="14" spans="1:16" ht="15">
      <c r="A14" s="28">
        <v>11</v>
      </c>
      <c r="B14" s="29">
        <v>45788</v>
      </c>
      <c r="C14" s="124"/>
      <c r="D14" s="124"/>
      <c r="E14" s="39"/>
      <c r="F14" s="39">
        <v>0</v>
      </c>
      <c r="G14" s="39">
        <f t="shared" si="0"/>
        <v>0</v>
      </c>
      <c r="H14" s="238">
        <v>0</v>
      </c>
      <c r="I14" s="238">
        <v>0</v>
      </c>
      <c r="J14" s="39">
        <f t="shared" si="1"/>
        <v>0</v>
      </c>
      <c r="K14" s="39">
        <f t="shared" si="2"/>
        <v>0</v>
      </c>
      <c r="L14" s="242"/>
      <c r="M14" s="239">
        <f t="shared" si="3"/>
        <v>973846.79999999981</v>
      </c>
      <c r="N14" s="39"/>
      <c r="O14" s="30"/>
    </row>
    <row r="15" spans="1:16" ht="15">
      <c r="A15" s="28">
        <v>12</v>
      </c>
      <c r="B15" s="29">
        <v>45789</v>
      </c>
      <c r="C15" s="124"/>
      <c r="D15" s="124"/>
      <c r="E15" s="39"/>
      <c r="F15" s="39">
        <v>0</v>
      </c>
      <c r="G15" s="39">
        <f t="shared" si="0"/>
        <v>0</v>
      </c>
      <c r="H15" s="238">
        <v>0</v>
      </c>
      <c r="I15" s="238">
        <v>0</v>
      </c>
      <c r="J15" s="39">
        <f t="shared" si="1"/>
        <v>0</v>
      </c>
      <c r="K15" s="39">
        <f t="shared" si="2"/>
        <v>0</v>
      </c>
      <c r="L15" s="242"/>
      <c r="M15" s="239">
        <f t="shared" si="3"/>
        <v>973846.79999999981</v>
      </c>
      <c r="N15" s="39"/>
      <c r="O15" s="30"/>
    </row>
    <row r="16" spans="1:16" ht="15">
      <c r="A16" s="28">
        <v>13</v>
      </c>
      <c r="B16" s="29">
        <v>45790</v>
      </c>
      <c r="C16" s="124"/>
      <c r="D16" s="124"/>
      <c r="E16" s="39"/>
      <c r="F16" s="39">
        <v>0</v>
      </c>
      <c r="G16" s="39">
        <f t="shared" si="0"/>
        <v>0</v>
      </c>
      <c r="H16" s="238">
        <v>0</v>
      </c>
      <c r="I16" s="238">
        <v>0</v>
      </c>
      <c r="J16" s="39">
        <f t="shared" si="1"/>
        <v>0</v>
      </c>
      <c r="K16" s="39">
        <f t="shared" si="2"/>
        <v>0</v>
      </c>
      <c r="L16" s="242"/>
      <c r="M16" s="239">
        <f t="shared" si="3"/>
        <v>973846.79999999981</v>
      </c>
      <c r="N16" s="39"/>
      <c r="O16" s="30"/>
    </row>
    <row r="17" spans="1:15" ht="15">
      <c r="A17" s="28">
        <v>14</v>
      </c>
      <c r="B17" s="29">
        <v>45791</v>
      </c>
      <c r="C17" s="124"/>
      <c r="D17" s="124"/>
      <c r="E17" s="39"/>
      <c r="F17" s="39">
        <v>0</v>
      </c>
      <c r="G17" s="39">
        <f t="shared" si="0"/>
        <v>0</v>
      </c>
      <c r="H17" s="238">
        <v>0</v>
      </c>
      <c r="I17" s="238">
        <v>0</v>
      </c>
      <c r="J17" s="39">
        <f t="shared" si="1"/>
        <v>0</v>
      </c>
      <c r="K17" s="39">
        <f t="shared" si="2"/>
        <v>0</v>
      </c>
      <c r="L17" s="242"/>
      <c r="M17" s="239">
        <f t="shared" si="3"/>
        <v>973846.79999999981</v>
      </c>
      <c r="N17" s="39"/>
      <c r="O17" s="30"/>
    </row>
    <row r="18" spans="1:15" ht="15">
      <c r="A18" s="28">
        <v>15</v>
      </c>
      <c r="B18" s="29">
        <v>45792</v>
      </c>
      <c r="C18" s="124"/>
      <c r="D18" s="124"/>
      <c r="E18" s="39"/>
      <c r="F18" s="39">
        <v>0</v>
      </c>
      <c r="G18" s="39">
        <f t="shared" si="0"/>
        <v>0</v>
      </c>
      <c r="H18" s="238">
        <v>0</v>
      </c>
      <c r="I18" s="238">
        <v>0</v>
      </c>
      <c r="J18" s="39">
        <f t="shared" si="1"/>
        <v>0</v>
      </c>
      <c r="K18" s="39">
        <f t="shared" si="2"/>
        <v>0</v>
      </c>
      <c r="L18" s="242"/>
      <c r="M18" s="239">
        <f t="shared" si="3"/>
        <v>973846.79999999981</v>
      </c>
      <c r="N18" s="39"/>
      <c r="O18" s="30"/>
    </row>
    <row r="19" spans="1:15" ht="15">
      <c r="A19" s="28">
        <v>16</v>
      </c>
      <c r="B19" s="29">
        <v>45793</v>
      </c>
      <c r="C19" s="124"/>
      <c r="D19" s="124"/>
      <c r="E19" s="39"/>
      <c r="F19" s="39">
        <v>0</v>
      </c>
      <c r="G19" s="39">
        <f t="shared" si="0"/>
        <v>0</v>
      </c>
      <c r="H19" s="238">
        <v>0</v>
      </c>
      <c r="I19" s="238">
        <v>0</v>
      </c>
      <c r="J19" s="39">
        <f t="shared" si="1"/>
        <v>0</v>
      </c>
      <c r="K19" s="39">
        <f t="shared" si="2"/>
        <v>0</v>
      </c>
      <c r="L19" s="242"/>
      <c r="M19" s="239">
        <f t="shared" si="3"/>
        <v>973846.79999999981</v>
      </c>
      <c r="N19" s="39"/>
      <c r="O19" s="30"/>
    </row>
    <row r="20" spans="1:15" ht="15">
      <c r="A20" s="28">
        <v>17</v>
      </c>
      <c r="B20" s="29">
        <v>45794</v>
      </c>
      <c r="C20" s="124"/>
      <c r="D20" s="124"/>
      <c r="E20" s="39"/>
      <c r="F20" s="39">
        <v>0</v>
      </c>
      <c r="G20" s="39">
        <f t="shared" si="0"/>
        <v>0</v>
      </c>
      <c r="H20" s="238">
        <v>0</v>
      </c>
      <c r="I20" s="238">
        <v>0</v>
      </c>
      <c r="J20" s="39">
        <f t="shared" si="1"/>
        <v>0</v>
      </c>
      <c r="K20" s="39">
        <f t="shared" si="2"/>
        <v>0</v>
      </c>
      <c r="L20" s="242"/>
      <c r="M20" s="239">
        <f t="shared" si="3"/>
        <v>973846.79999999981</v>
      </c>
      <c r="N20" s="39"/>
      <c r="O20" s="30"/>
    </row>
    <row r="21" spans="1:15" ht="15">
      <c r="A21" s="28">
        <v>18</v>
      </c>
      <c r="B21" s="29">
        <v>45795</v>
      </c>
      <c r="C21" s="124"/>
      <c r="D21" s="124"/>
      <c r="E21" s="39"/>
      <c r="F21" s="39">
        <v>0</v>
      </c>
      <c r="G21" s="39">
        <f t="shared" si="0"/>
        <v>0</v>
      </c>
      <c r="H21" s="238">
        <v>0</v>
      </c>
      <c r="I21" s="238">
        <v>0</v>
      </c>
      <c r="J21" s="39">
        <f t="shared" si="1"/>
        <v>0</v>
      </c>
      <c r="K21" s="39">
        <f t="shared" si="2"/>
        <v>0</v>
      </c>
      <c r="L21" s="242"/>
      <c r="M21" s="239">
        <f t="shared" si="3"/>
        <v>973846.79999999981</v>
      </c>
      <c r="N21" s="39"/>
      <c r="O21" s="30"/>
    </row>
    <row r="22" spans="1:15" ht="15">
      <c r="A22" s="28">
        <v>19</v>
      </c>
      <c r="B22" s="29">
        <v>45796</v>
      </c>
      <c r="C22" s="124"/>
      <c r="D22" s="124"/>
      <c r="E22" s="39"/>
      <c r="F22" s="39">
        <v>0</v>
      </c>
      <c r="G22" s="39">
        <f t="shared" si="0"/>
        <v>0</v>
      </c>
      <c r="H22" s="238">
        <v>0</v>
      </c>
      <c r="I22" s="238">
        <v>0</v>
      </c>
      <c r="J22" s="39">
        <f t="shared" si="1"/>
        <v>0</v>
      </c>
      <c r="K22" s="39">
        <f t="shared" si="2"/>
        <v>0</v>
      </c>
      <c r="L22" s="242"/>
      <c r="M22" s="239">
        <f t="shared" si="3"/>
        <v>973846.79999999981</v>
      </c>
      <c r="N22" s="39"/>
      <c r="O22" s="30"/>
    </row>
    <row r="23" spans="1:15" ht="15">
      <c r="A23" s="28">
        <v>20</v>
      </c>
      <c r="B23" s="29">
        <v>45797</v>
      </c>
      <c r="C23" s="124"/>
      <c r="D23" s="124"/>
      <c r="E23" s="39"/>
      <c r="F23" s="39">
        <v>0</v>
      </c>
      <c r="G23" s="39">
        <f t="shared" si="0"/>
        <v>0</v>
      </c>
      <c r="H23" s="238">
        <v>0</v>
      </c>
      <c r="I23" s="238">
        <v>0</v>
      </c>
      <c r="J23" s="39">
        <f t="shared" si="1"/>
        <v>0</v>
      </c>
      <c r="K23" s="39">
        <f t="shared" si="2"/>
        <v>0</v>
      </c>
      <c r="L23" s="242"/>
      <c r="M23" s="239">
        <f t="shared" si="3"/>
        <v>973846.79999999981</v>
      </c>
      <c r="N23" s="39"/>
      <c r="O23" s="30"/>
    </row>
    <row r="24" spans="1:15" ht="15">
      <c r="A24" s="28">
        <v>21</v>
      </c>
      <c r="B24" s="29">
        <v>45798</v>
      </c>
      <c r="C24" s="124"/>
      <c r="D24" s="124"/>
      <c r="E24" s="39"/>
      <c r="F24" s="39">
        <v>0</v>
      </c>
      <c r="G24" s="39">
        <f t="shared" si="0"/>
        <v>0</v>
      </c>
      <c r="H24" s="238">
        <v>0</v>
      </c>
      <c r="I24" s="238">
        <v>0</v>
      </c>
      <c r="J24" s="39">
        <f t="shared" si="1"/>
        <v>0</v>
      </c>
      <c r="K24" s="39">
        <f t="shared" si="2"/>
        <v>0</v>
      </c>
      <c r="L24" s="242"/>
      <c r="M24" s="239">
        <f t="shared" si="3"/>
        <v>973846.79999999981</v>
      </c>
      <c r="N24" s="39"/>
      <c r="O24" s="30"/>
    </row>
    <row r="25" spans="1:15" ht="15">
      <c r="A25" s="28">
        <v>22</v>
      </c>
      <c r="B25" s="29">
        <v>45799</v>
      </c>
      <c r="C25" s="124"/>
      <c r="D25" s="124"/>
      <c r="E25" s="39"/>
      <c r="F25" s="39">
        <v>0</v>
      </c>
      <c r="G25" s="39">
        <f t="shared" si="0"/>
        <v>0</v>
      </c>
      <c r="H25" s="238">
        <v>0</v>
      </c>
      <c r="I25" s="238">
        <v>0</v>
      </c>
      <c r="J25" s="39">
        <f t="shared" si="1"/>
        <v>0</v>
      </c>
      <c r="K25" s="39">
        <f t="shared" si="2"/>
        <v>0</v>
      </c>
      <c r="L25" s="242"/>
      <c r="M25" s="239">
        <f t="shared" si="3"/>
        <v>973846.79999999981</v>
      </c>
      <c r="N25" s="39"/>
      <c r="O25" s="30"/>
    </row>
    <row r="26" spans="1:15" ht="15">
      <c r="A26" s="28">
        <v>23</v>
      </c>
      <c r="B26" s="29">
        <v>45800</v>
      </c>
      <c r="C26" s="124"/>
      <c r="D26" s="124"/>
      <c r="E26" s="39"/>
      <c r="F26" s="39">
        <v>0</v>
      </c>
      <c r="G26" s="39">
        <f t="shared" si="0"/>
        <v>0</v>
      </c>
      <c r="H26" s="238">
        <v>0</v>
      </c>
      <c r="I26" s="238">
        <v>0</v>
      </c>
      <c r="J26" s="39">
        <f t="shared" si="1"/>
        <v>0</v>
      </c>
      <c r="K26" s="39">
        <f t="shared" si="2"/>
        <v>0</v>
      </c>
      <c r="L26" s="242"/>
      <c r="M26" s="239">
        <f t="shared" si="3"/>
        <v>973846.79999999981</v>
      </c>
      <c r="N26" s="39"/>
      <c r="O26" s="30"/>
    </row>
    <row r="27" spans="1:15" ht="15">
      <c r="A27" s="28">
        <v>24</v>
      </c>
      <c r="B27" s="29">
        <v>45801</v>
      </c>
      <c r="C27" s="124"/>
      <c r="D27" s="124"/>
      <c r="E27" s="39"/>
      <c r="F27" s="39">
        <v>0</v>
      </c>
      <c r="G27" s="39">
        <f t="shared" si="0"/>
        <v>0</v>
      </c>
      <c r="H27" s="238">
        <v>0</v>
      </c>
      <c r="I27" s="238">
        <v>0</v>
      </c>
      <c r="J27" s="39">
        <f t="shared" si="1"/>
        <v>0</v>
      </c>
      <c r="K27" s="39">
        <f t="shared" si="2"/>
        <v>0</v>
      </c>
      <c r="L27" s="242"/>
      <c r="M27" s="239">
        <f t="shared" si="3"/>
        <v>973846.79999999981</v>
      </c>
      <c r="N27" s="39"/>
      <c r="O27" s="30"/>
    </row>
    <row r="28" spans="1:15" ht="15">
      <c r="A28" s="28">
        <v>25</v>
      </c>
      <c r="B28" s="29">
        <v>45802</v>
      </c>
      <c r="C28" s="124"/>
      <c r="D28" s="124"/>
      <c r="E28" s="39"/>
      <c r="F28" s="39">
        <v>0</v>
      </c>
      <c r="G28" s="39">
        <f t="shared" si="0"/>
        <v>0</v>
      </c>
      <c r="H28" s="238">
        <v>0</v>
      </c>
      <c r="I28" s="238">
        <v>0</v>
      </c>
      <c r="J28" s="39">
        <f t="shared" si="1"/>
        <v>0</v>
      </c>
      <c r="K28" s="39">
        <f t="shared" si="2"/>
        <v>0</v>
      </c>
      <c r="L28" s="242"/>
      <c r="M28" s="239">
        <f t="shared" si="3"/>
        <v>973846.79999999981</v>
      </c>
      <c r="N28" s="39"/>
      <c r="O28" s="30"/>
    </row>
    <row r="29" spans="1:15" ht="15">
      <c r="A29" s="28">
        <v>26</v>
      </c>
      <c r="B29" s="29">
        <v>45803</v>
      </c>
      <c r="C29" s="124"/>
      <c r="D29" s="124"/>
      <c r="E29" s="39">
        <v>11.04</v>
      </c>
      <c r="F29" s="39">
        <v>91.15</v>
      </c>
      <c r="G29" s="39">
        <f t="shared" si="0"/>
        <v>1006.2959999999999</v>
      </c>
      <c r="H29" s="238">
        <v>0</v>
      </c>
      <c r="I29" s="238">
        <v>0</v>
      </c>
      <c r="J29" s="39">
        <f t="shared" si="1"/>
        <v>0</v>
      </c>
      <c r="K29" s="39">
        <f t="shared" si="2"/>
        <v>1006.2959999999999</v>
      </c>
      <c r="L29" s="242">
        <v>1006.3</v>
      </c>
      <c r="M29" s="239">
        <f t="shared" si="3"/>
        <v>973846.79599999974</v>
      </c>
      <c r="N29" s="39"/>
      <c r="O29" s="30"/>
    </row>
    <row r="30" spans="1:15" ht="15">
      <c r="A30" s="28">
        <v>27</v>
      </c>
      <c r="B30" s="29">
        <v>45804</v>
      </c>
      <c r="C30" s="124"/>
      <c r="D30" s="124"/>
      <c r="E30" s="39"/>
      <c r="F30" s="39">
        <v>0</v>
      </c>
      <c r="G30" s="39">
        <f t="shared" si="0"/>
        <v>0</v>
      </c>
      <c r="H30" s="238">
        <v>0</v>
      </c>
      <c r="I30" s="238">
        <v>0</v>
      </c>
      <c r="J30" s="39">
        <f t="shared" si="1"/>
        <v>0</v>
      </c>
      <c r="K30" s="39">
        <f t="shared" si="2"/>
        <v>0</v>
      </c>
      <c r="L30" s="242"/>
      <c r="M30" s="239">
        <f t="shared" si="3"/>
        <v>973846.79599999974</v>
      </c>
      <c r="N30" s="39"/>
      <c r="O30" s="30"/>
    </row>
    <row r="31" spans="1:15" ht="15">
      <c r="A31" s="28">
        <v>28</v>
      </c>
      <c r="B31" s="29">
        <v>45805</v>
      </c>
      <c r="C31" s="124"/>
      <c r="D31" s="124"/>
      <c r="E31" s="39"/>
      <c r="F31" s="39">
        <v>0</v>
      </c>
      <c r="G31" s="39">
        <f t="shared" si="0"/>
        <v>0</v>
      </c>
      <c r="H31" s="238">
        <v>0</v>
      </c>
      <c r="I31" s="238">
        <v>0</v>
      </c>
      <c r="J31" s="39">
        <f t="shared" si="1"/>
        <v>0</v>
      </c>
      <c r="K31" s="39">
        <f t="shared" si="2"/>
        <v>0</v>
      </c>
      <c r="L31" s="242"/>
      <c r="M31" s="239">
        <f t="shared" si="3"/>
        <v>973846.79599999974</v>
      </c>
      <c r="N31" s="39"/>
      <c r="O31" s="30"/>
    </row>
    <row r="32" spans="1:15" ht="15">
      <c r="A32" s="28">
        <v>29</v>
      </c>
      <c r="B32" s="29">
        <v>45806</v>
      </c>
      <c r="C32" s="124"/>
      <c r="D32" s="124"/>
      <c r="E32" s="39">
        <v>2000</v>
      </c>
      <c r="F32" s="39">
        <v>91.15</v>
      </c>
      <c r="G32" s="39">
        <f t="shared" si="0"/>
        <v>182300</v>
      </c>
      <c r="H32" s="238">
        <v>105</v>
      </c>
      <c r="I32" s="238">
        <v>104.27</v>
      </c>
      <c r="J32" s="39">
        <f t="shared" si="1"/>
        <v>10948.35</v>
      </c>
      <c r="K32" s="39">
        <f t="shared" si="2"/>
        <v>193248.35</v>
      </c>
      <c r="L32" s="242"/>
      <c r="M32" s="239">
        <f t="shared" si="3"/>
        <v>1167095.1459999997</v>
      </c>
      <c r="N32" s="265"/>
      <c r="O32" s="30"/>
    </row>
    <row r="33" spans="1:15" ht="15">
      <c r="A33" s="28">
        <v>30</v>
      </c>
      <c r="B33" s="29">
        <v>45807</v>
      </c>
      <c r="C33" s="124"/>
      <c r="D33" s="124"/>
      <c r="E33" s="39"/>
      <c r="F33" s="39">
        <v>0</v>
      </c>
      <c r="G33" s="39">
        <f t="shared" si="0"/>
        <v>0</v>
      </c>
      <c r="H33" s="238">
        <v>0</v>
      </c>
      <c r="I33" s="238">
        <v>0</v>
      </c>
      <c r="J33" s="39">
        <f t="shared" si="1"/>
        <v>0</v>
      </c>
      <c r="K33" s="39">
        <f t="shared" si="2"/>
        <v>0</v>
      </c>
      <c r="L33" s="242"/>
      <c r="M33" s="239">
        <f t="shared" si="3"/>
        <v>1167095.1459999997</v>
      </c>
      <c r="N33" s="265"/>
      <c r="O33" s="30"/>
    </row>
    <row r="34" spans="1:15" ht="15">
      <c r="A34" s="28">
        <v>31</v>
      </c>
      <c r="B34" s="29">
        <v>45808</v>
      </c>
      <c r="C34" s="124"/>
      <c r="D34" s="124"/>
      <c r="E34" s="39"/>
      <c r="F34" s="39">
        <v>0</v>
      </c>
      <c r="G34" s="39">
        <f t="shared" ref="G5:G34" si="4">E34*F34</f>
        <v>0</v>
      </c>
      <c r="H34" s="238"/>
      <c r="I34" s="238"/>
      <c r="J34" s="39">
        <f t="shared" ref="J5:J34" si="5">H34*I34</f>
        <v>0</v>
      </c>
      <c r="K34" s="39">
        <f t="shared" ref="K5:K34" si="6">G34+J34</f>
        <v>0</v>
      </c>
      <c r="L34" s="242"/>
      <c r="M34" s="265"/>
      <c r="N34" s="265"/>
      <c r="O34" s="30"/>
    </row>
    <row r="35" spans="1:15">
      <c r="A35" s="51"/>
      <c r="B35" s="51"/>
      <c r="C35" s="244"/>
      <c r="D35" s="244"/>
      <c r="E35" s="245">
        <f>SUM(E4:E34)</f>
        <v>4011.04</v>
      </c>
      <c r="F35" s="245"/>
      <c r="G35" s="245">
        <f>SUM(G4:G34)</f>
        <v>365606.29599999997</v>
      </c>
      <c r="H35" s="245">
        <f>SUM(H4:H34)</f>
        <v>250</v>
      </c>
      <c r="I35" s="245"/>
      <c r="J35" s="245">
        <f>SUM(J4:J34)</f>
        <v>26067.5</v>
      </c>
      <c r="K35" s="245">
        <f>SUM(K4:K34)</f>
        <v>391673.79600000003</v>
      </c>
      <c r="L35" s="245">
        <f>SUM(L4:L31)</f>
        <v>1006.3</v>
      </c>
      <c r="M35" s="245"/>
      <c r="N35" s="245"/>
      <c r="O35" s="35"/>
    </row>
    <row r="36" spans="1:15">
      <c r="A36" s="32"/>
      <c r="B36" s="32"/>
      <c r="C36" s="32"/>
      <c r="D36" s="32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0"/>
    </row>
    <row r="37" spans="1:15">
      <c r="A37" s="30"/>
      <c r="B37" s="30"/>
      <c r="C37" s="30"/>
      <c r="D37" s="30"/>
      <c r="E37" s="30"/>
      <c r="F37" s="30"/>
      <c r="G37" s="33"/>
      <c r="H37" s="30"/>
      <c r="I37" s="30"/>
      <c r="J37" s="30"/>
      <c r="K37" s="30"/>
      <c r="L37" s="30"/>
      <c r="M37" s="30"/>
      <c r="N37" s="30"/>
      <c r="O37" s="34"/>
    </row>
    <row r="38" spans="1:15">
      <c r="A38" s="30"/>
      <c r="B38" s="457"/>
      <c r="C38" s="457"/>
      <c r="D38" s="457"/>
      <c r="E38" s="457"/>
      <c r="F38" s="30"/>
      <c r="G38" s="30"/>
      <c r="H38" s="30"/>
      <c r="I38" s="457"/>
      <c r="J38" s="457"/>
      <c r="K38" s="457"/>
      <c r="L38" s="457"/>
      <c r="M38" s="457"/>
      <c r="N38" s="457"/>
      <c r="O38" s="34"/>
    </row>
    <row r="39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4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3" activePane="bottomLeft" state="frozen"/>
      <selection pane="bottomLeft" activeCell="O39" sqref="O39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59" t="s">
        <v>40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96"/>
    </row>
    <row r="2" spans="1:15">
      <c r="A2" s="141" t="s">
        <v>99</v>
      </c>
      <c r="B2" s="142" t="s">
        <v>100</v>
      </c>
      <c r="C2" s="142" t="s">
        <v>101</v>
      </c>
      <c r="D2" s="142" t="s">
        <v>102</v>
      </c>
      <c r="E2" s="142" t="s">
        <v>103</v>
      </c>
      <c r="F2" s="142" t="s">
        <v>104</v>
      </c>
      <c r="G2" s="142" t="s">
        <v>105</v>
      </c>
      <c r="H2" s="142" t="s">
        <v>106</v>
      </c>
      <c r="I2" s="142" t="s">
        <v>104</v>
      </c>
      <c r="J2" s="143" t="s">
        <v>105</v>
      </c>
      <c r="K2" s="141" t="s">
        <v>107</v>
      </c>
      <c r="L2" s="144" t="s">
        <v>108</v>
      </c>
      <c r="M2" s="144" t="s">
        <v>115</v>
      </c>
      <c r="N2" s="142" t="s">
        <v>110</v>
      </c>
      <c r="O2" s="72"/>
    </row>
    <row r="3" spans="1:15">
      <c r="A3" s="436" t="s">
        <v>111</v>
      </c>
      <c r="B3" s="436"/>
      <c r="C3" s="436"/>
      <c r="D3" s="436"/>
      <c r="E3" s="436"/>
      <c r="F3" s="436"/>
      <c r="G3" s="436"/>
      <c r="H3" s="436"/>
      <c r="I3" s="436"/>
      <c r="J3" s="436"/>
      <c r="K3" s="111">
        <v>0</v>
      </c>
      <c r="L3" s="46"/>
      <c r="M3" s="46">
        <v>96655</v>
      </c>
      <c r="N3" s="19"/>
      <c r="O3" s="72"/>
    </row>
    <row r="4" spans="1:15">
      <c r="A4" s="28">
        <v>1</v>
      </c>
      <c r="B4" s="29">
        <v>45778</v>
      </c>
      <c r="C4" s="145"/>
      <c r="D4" s="146"/>
      <c r="E4" s="108">
        <v>0</v>
      </c>
      <c r="F4" s="108">
        <v>0</v>
      </c>
      <c r="G4" s="21">
        <f>E4*F4</f>
        <v>0</v>
      </c>
      <c r="H4" s="108">
        <v>0</v>
      </c>
      <c r="I4" s="108"/>
      <c r="J4" s="21">
        <f>H4*I4</f>
        <v>0</v>
      </c>
      <c r="K4" s="21">
        <f>G4+J4</f>
        <v>0</v>
      </c>
      <c r="L4" s="147">
        <v>0</v>
      </c>
      <c r="M4" s="147">
        <f>M3+K4-L4</f>
        <v>96655</v>
      </c>
      <c r="N4" s="53"/>
    </row>
    <row r="5" spans="1:15">
      <c r="A5" s="28">
        <v>2</v>
      </c>
      <c r="B5" s="29">
        <v>45779</v>
      </c>
      <c r="C5" s="80"/>
      <c r="D5" s="146"/>
      <c r="E5" s="108">
        <v>0</v>
      </c>
      <c r="F5" s="108">
        <v>0</v>
      </c>
      <c r="G5" s="21">
        <f t="shared" ref="G5:G33" si="0">E5*F5</f>
        <v>0</v>
      </c>
      <c r="H5" s="108">
        <v>0</v>
      </c>
      <c r="I5" s="108"/>
      <c r="J5" s="21">
        <f t="shared" ref="J5:J33" si="1">H5*I5</f>
        <v>0</v>
      </c>
      <c r="K5" s="21">
        <f t="shared" ref="K5:K33" si="2">G5+J5</f>
        <v>0</v>
      </c>
      <c r="L5" s="147">
        <v>0</v>
      </c>
      <c r="M5" s="147">
        <f>M4+K5-L5</f>
        <v>96655</v>
      </c>
      <c r="N5" s="53"/>
    </row>
    <row r="6" spans="1:15">
      <c r="A6" s="28">
        <v>3</v>
      </c>
      <c r="B6" s="29">
        <v>45780</v>
      </c>
      <c r="C6" s="80"/>
      <c r="D6" s="146"/>
      <c r="E6" s="108">
        <v>434.31</v>
      </c>
      <c r="F6" s="108">
        <v>92.1</v>
      </c>
      <c r="G6" s="21">
        <f t="shared" si="0"/>
        <v>39999.951000000001</v>
      </c>
      <c r="H6" s="108">
        <v>0</v>
      </c>
      <c r="I6" s="108"/>
      <c r="J6" s="21">
        <f t="shared" si="1"/>
        <v>0</v>
      </c>
      <c r="K6" s="21">
        <f t="shared" si="2"/>
        <v>39999.951000000001</v>
      </c>
      <c r="L6" s="147">
        <v>39999.949999999997</v>
      </c>
      <c r="M6" s="147">
        <f>M5+K6-L6</f>
        <v>96655.001000000004</v>
      </c>
      <c r="N6" s="53"/>
    </row>
    <row r="7" spans="1:15">
      <c r="A7" s="28">
        <v>4</v>
      </c>
      <c r="B7" s="29">
        <v>45781</v>
      </c>
      <c r="C7" s="80"/>
      <c r="D7" s="146"/>
      <c r="E7" s="108">
        <v>0</v>
      </c>
      <c r="F7" s="108">
        <v>0</v>
      </c>
      <c r="G7" s="21">
        <f t="shared" si="0"/>
        <v>0</v>
      </c>
      <c r="H7" s="108">
        <v>0</v>
      </c>
      <c r="I7" s="108"/>
      <c r="J7" s="21">
        <f t="shared" si="1"/>
        <v>0</v>
      </c>
      <c r="K7" s="21">
        <f t="shared" si="2"/>
        <v>0</v>
      </c>
      <c r="L7" s="147">
        <v>0</v>
      </c>
      <c r="M7" s="147">
        <f>M6+K7-L7</f>
        <v>96655.001000000004</v>
      </c>
      <c r="N7" s="53"/>
    </row>
    <row r="8" spans="1:15">
      <c r="A8" s="28">
        <v>5</v>
      </c>
      <c r="B8" s="29">
        <v>45782</v>
      </c>
      <c r="C8" s="80"/>
      <c r="D8" s="146"/>
      <c r="E8" s="108">
        <v>0</v>
      </c>
      <c r="F8" s="108">
        <v>0</v>
      </c>
      <c r="G8" s="21">
        <v>0</v>
      </c>
      <c r="H8" s="108">
        <v>0</v>
      </c>
      <c r="I8" s="108">
        <v>0</v>
      </c>
      <c r="J8" s="21">
        <f t="shared" si="1"/>
        <v>0</v>
      </c>
      <c r="K8" s="21">
        <f t="shared" si="2"/>
        <v>0</v>
      </c>
      <c r="L8" s="147">
        <v>0</v>
      </c>
      <c r="M8" s="147">
        <f t="shared" ref="M8:M33" si="3">M7+K8-L8</f>
        <v>96655.001000000004</v>
      </c>
      <c r="N8" s="53"/>
      <c r="O8" s="82"/>
    </row>
    <row r="9" spans="1:15">
      <c r="A9" s="28">
        <v>6</v>
      </c>
      <c r="B9" s="29">
        <v>45783</v>
      </c>
      <c r="C9" s="80"/>
      <c r="D9" s="146"/>
      <c r="E9" s="108">
        <v>0</v>
      </c>
      <c r="F9" s="108">
        <v>0</v>
      </c>
      <c r="G9" s="21">
        <f t="shared" si="0"/>
        <v>0</v>
      </c>
      <c r="H9" s="108">
        <v>0</v>
      </c>
      <c r="I9" s="108"/>
      <c r="J9" s="21">
        <f t="shared" si="1"/>
        <v>0</v>
      </c>
      <c r="K9" s="21">
        <f t="shared" si="2"/>
        <v>0</v>
      </c>
      <c r="L9" s="147">
        <v>0</v>
      </c>
      <c r="M9" s="147">
        <f t="shared" si="3"/>
        <v>96655.001000000004</v>
      </c>
      <c r="N9" s="53"/>
      <c r="O9" s="82"/>
    </row>
    <row r="10" spans="1:15">
      <c r="A10" s="28">
        <v>7</v>
      </c>
      <c r="B10" s="29">
        <v>45784</v>
      </c>
      <c r="C10" s="80"/>
      <c r="D10" s="146"/>
      <c r="E10" s="108">
        <v>460.53</v>
      </c>
      <c r="F10" s="108">
        <v>92.1</v>
      </c>
      <c r="G10" s="21">
        <f t="shared" si="0"/>
        <v>42414.812999999995</v>
      </c>
      <c r="H10" s="108">
        <v>35</v>
      </c>
      <c r="I10" s="108">
        <v>103.86</v>
      </c>
      <c r="J10" s="21">
        <f t="shared" si="1"/>
        <v>3635.1</v>
      </c>
      <c r="K10" s="21">
        <f t="shared" si="2"/>
        <v>46049.912999999993</v>
      </c>
      <c r="L10" s="147">
        <v>96656</v>
      </c>
      <c r="M10" s="147">
        <f t="shared" si="3"/>
        <v>46048.91399999999</v>
      </c>
      <c r="N10" s="53"/>
      <c r="O10" s="82"/>
    </row>
    <row r="11" spans="1:15">
      <c r="A11" s="28">
        <v>8</v>
      </c>
      <c r="B11" s="29">
        <v>45785</v>
      </c>
      <c r="C11" s="80"/>
      <c r="D11" s="146"/>
      <c r="E11" s="108">
        <v>0</v>
      </c>
      <c r="F11" s="108">
        <v>0</v>
      </c>
      <c r="G11" s="21">
        <f t="shared" si="0"/>
        <v>0</v>
      </c>
      <c r="H11" s="108">
        <v>0</v>
      </c>
      <c r="I11" s="108"/>
      <c r="J11" s="21">
        <f t="shared" si="1"/>
        <v>0</v>
      </c>
      <c r="K11" s="21">
        <f t="shared" si="2"/>
        <v>0</v>
      </c>
      <c r="L11" s="147">
        <v>0</v>
      </c>
      <c r="M11" s="147">
        <f t="shared" si="3"/>
        <v>46048.91399999999</v>
      </c>
      <c r="N11" s="53"/>
      <c r="O11" s="82"/>
    </row>
    <row r="12" spans="1:15">
      <c r="A12" s="28">
        <v>9</v>
      </c>
      <c r="B12" s="29">
        <v>45786</v>
      </c>
      <c r="C12" s="80"/>
      <c r="D12" s="146"/>
      <c r="E12" s="108">
        <v>0</v>
      </c>
      <c r="F12" s="108">
        <v>0</v>
      </c>
      <c r="G12" s="21">
        <f t="shared" si="0"/>
        <v>0</v>
      </c>
      <c r="H12" s="108">
        <v>0</v>
      </c>
      <c r="I12" s="108"/>
      <c r="J12" s="21">
        <f t="shared" si="1"/>
        <v>0</v>
      </c>
      <c r="K12" s="21">
        <f t="shared" si="2"/>
        <v>0</v>
      </c>
      <c r="L12" s="147">
        <v>0</v>
      </c>
      <c r="M12" s="147">
        <f t="shared" si="3"/>
        <v>46048.91399999999</v>
      </c>
      <c r="N12" s="53"/>
      <c r="O12" s="82"/>
    </row>
    <row r="13" spans="1:15">
      <c r="A13" s="28">
        <v>10</v>
      </c>
      <c r="B13" s="29">
        <v>45787</v>
      </c>
      <c r="C13" s="80"/>
      <c r="D13" s="146"/>
      <c r="E13" s="108">
        <v>0</v>
      </c>
      <c r="F13" s="108">
        <v>0</v>
      </c>
      <c r="G13" s="21">
        <f t="shared" si="0"/>
        <v>0</v>
      </c>
      <c r="H13" s="108">
        <v>0</v>
      </c>
      <c r="I13" s="108"/>
      <c r="J13" s="21">
        <f t="shared" si="1"/>
        <v>0</v>
      </c>
      <c r="K13" s="21">
        <f t="shared" si="2"/>
        <v>0</v>
      </c>
      <c r="L13" s="147">
        <v>0</v>
      </c>
      <c r="M13" s="147">
        <f t="shared" si="3"/>
        <v>46048.91399999999</v>
      </c>
      <c r="N13" s="53"/>
      <c r="O13" s="82"/>
    </row>
    <row r="14" spans="1:15">
      <c r="A14" s="28">
        <v>11</v>
      </c>
      <c r="B14" s="29">
        <v>45788</v>
      </c>
      <c r="C14" s="80"/>
      <c r="D14" s="146"/>
      <c r="E14" s="108">
        <v>0</v>
      </c>
      <c r="F14" s="108">
        <v>0</v>
      </c>
      <c r="G14" s="21">
        <f t="shared" si="0"/>
        <v>0</v>
      </c>
      <c r="H14" s="108">
        <v>0</v>
      </c>
      <c r="I14" s="108"/>
      <c r="J14" s="21">
        <f t="shared" si="1"/>
        <v>0</v>
      </c>
      <c r="K14" s="21">
        <f t="shared" si="2"/>
        <v>0</v>
      </c>
      <c r="L14" s="147">
        <v>0</v>
      </c>
      <c r="M14" s="147">
        <f t="shared" si="3"/>
        <v>46048.91399999999</v>
      </c>
      <c r="N14" s="53"/>
      <c r="O14" s="82"/>
    </row>
    <row r="15" spans="1:15">
      <c r="A15" s="28">
        <v>12</v>
      </c>
      <c r="B15" s="29">
        <v>45789</v>
      </c>
      <c r="C15" s="80"/>
      <c r="D15" s="146"/>
      <c r="E15" s="108">
        <v>400</v>
      </c>
      <c r="F15" s="108">
        <v>92.1</v>
      </c>
      <c r="G15" s="21">
        <f t="shared" si="0"/>
        <v>36840</v>
      </c>
      <c r="H15" s="108">
        <v>35</v>
      </c>
      <c r="I15" s="108">
        <v>103.86</v>
      </c>
      <c r="J15" s="21">
        <f t="shared" si="1"/>
        <v>3635.1</v>
      </c>
      <c r="K15" s="21">
        <f t="shared" si="2"/>
        <v>40475.1</v>
      </c>
      <c r="L15" s="147">
        <v>0</v>
      </c>
      <c r="M15" s="147">
        <f t="shared" si="3"/>
        <v>86524.013999999996</v>
      </c>
      <c r="N15" s="53"/>
      <c r="O15" s="82"/>
    </row>
    <row r="16" spans="1:15">
      <c r="A16" s="28">
        <v>13</v>
      </c>
      <c r="B16" s="29">
        <v>45790</v>
      </c>
      <c r="C16" s="80"/>
      <c r="D16" s="146"/>
      <c r="E16" s="108">
        <v>0</v>
      </c>
      <c r="F16" s="108">
        <v>0</v>
      </c>
      <c r="G16" s="21">
        <f t="shared" si="0"/>
        <v>0</v>
      </c>
      <c r="H16" s="108">
        <v>0</v>
      </c>
      <c r="I16" s="108"/>
      <c r="J16" s="21">
        <f t="shared" si="1"/>
        <v>0</v>
      </c>
      <c r="K16" s="21">
        <f t="shared" si="2"/>
        <v>0</v>
      </c>
      <c r="L16" s="147">
        <v>0</v>
      </c>
      <c r="M16" s="147">
        <f t="shared" si="3"/>
        <v>86524.013999999996</v>
      </c>
      <c r="N16" s="53"/>
      <c r="O16" s="82"/>
    </row>
    <row r="17" spans="1:22">
      <c r="A17" s="28">
        <v>14</v>
      </c>
      <c r="B17" s="29">
        <v>45791</v>
      </c>
      <c r="C17" s="80"/>
      <c r="D17" s="146"/>
      <c r="E17" s="108">
        <v>0</v>
      </c>
      <c r="F17" s="108">
        <v>0</v>
      </c>
      <c r="G17" s="21">
        <f t="shared" si="0"/>
        <v>0</v>
      </c>
      <c r="H17" s="108">
        <v>0</v>
      </c>
      <c r="I17" s="108"/>
      <c r="J17" s="21">
        <f t="shared" si="1"/>
        <v>0</v>
      </c>
      <c r="K17" s="21">
        <f t="shared" si="2"/>
        <v>0</v>
      </c>
      <c r="L17" s="147">
        <v>0</v>
      </c>
      <c r="M17" s="147">
        <f t="shared" si="3"/>
        <v>86524.013999999996</v>
      </c>
      <c r="N17" s="53"/>
      <c r="O17" s="82"/>
    </row>
    <row r="18" spans="1:22">
      <c r="A18" s="28">
        <v>15</v>
      </c>
      <c r="B18" s="29">
        <v>45792</v>
      </c>
      <c r="C18" s="80"/>
      <c r="D18" s="146"/>
      <c r="E18" s="108">
        <v>550</v>
      </c>
      <c r="F18" s="108">
        <v>92.1</v>
      </c>
      <c r="G18" s="21">
        <f t="shared" si="0"/>
        <v>50655</v>
      </c>
      <c r="H18" s="108">
        <v>20</v>
      </c>
      <c r="I18" s="108">
        <v>103.86</v>
      </c>
      <c r="J18" s="21">
        <f t="shared" si="1"/>
        <v>2077.1999999999998</v>
      </c>
      <c r="K18" s="21">
        <f t="shared" si="2"/>
        <v>52732.2</v>
      </c>
      <c r="L18" s="147">
        <v>0</v>
      </c>
      <c r="M18" s="147">
        <f t="shared" si="3"/>
        <v>139256.21399999998</v>
      </c>
      <c r="N18" s="53"/>
      <c r="O18" s="82"/>
    </row>
    <row r="19" spans="1:22">
      <c r="A19" s="28">
        <v>16</v>
      </c>
      <c r="B19" s="29">
        <v>45793</v>
      </c>
      <c r="C19" s="80"/>
      <c r="D19" s="146"/>
      <c r="E19" s="108">
        <v>0</v>
      </c>
      <c r="F19" s="108">
        <v>0</v>
      </c>
      <c r="G19" s="21">
        <f t="shared" si="0"/>
        <v>0</v>
      </c>
      <c r="H19" s="108">
        <v>0</v>
      </c>
      <c r="I19" s="108"/>
      <c r="J19" s="21">
        <f t="shared" si="1"/>
        <v>0</v>
      </c>
      <c r="K19" s="21">
        <f t="shared" si="2"/>
        <v>0</v>
      </c>
      <c r="L19" s="147">
        <v>0</v>
      </c>
      <c r="M19" s="147">
        <f t="shared" si="3"/>
        <v>139256.21399999998</v>
      </c>
      <c r="N19" s="53"/>
      <c r="O19" s="82"/>
    </row>
    <row r="20" spans="1:22">
      <c r="A20" s="28">
        <v>17</v>
      </c>
      <c r="B20" s="29">
        <v>45794</v>
      </c>
      <c r="C20" s="80"/>
      <c r="D20" s="146"/>
      <c r="E20" s="108">
        <v>0</v>
      </c>
      <c r="F20" s="108">
        <v>0</v>
      </c>
      <c r="G20" s="21">
        <f t="shared" si="0"/>
        <v>0</v>
      </c>
      <c r="H20" s="108">
        <v>0</v>
      </c>
      <c r="I20" s="108"/>
      <c r="J20" s="21">
        <f t="shared" si="1"/>
        <v>0</v>
      </c>
      <c r="K20" s="21">
        <f t="shared" si="2"/>
        <v>0</v>
      </c>
      <c r="L20" s="147">
        <v>0</v>
      </c>
      <c r="M20" s="147">
        <f t="shared" si="3"/>
        <v>139256.21399999998</v>
      </c>
      <c r="N20" s="53"/>
      <c r="O20" s="82"/>
      <c r="V20">
        <f>400*90.23</f>
        <v>36092</v>
      </c>
    </row>
    <row r="21" spans="1:22">
      <c r="A21" s="28">
        <v>18</v>
      </c>
      <c r="B21" s="29">
        <v>45795</v>
      </c>
      <c r="C21" s="80"/>
      <c r="D21" s="146"/>
      <c r="E21" s="108">
        <v>0</v>
      </c>
      <c r="F21" s="108">
        <v>0</v>
      </c>
      <c r="G21" s="21">
        <f t="shared" si="0"/>
        <v>0</v>
      </c>
      <c r="H21" s="108">
        <v>0</v>
      </c>
      <c r="I21" s="108"/>
      <c r="J21" s="21">
        <f t="shared" si="1"/>
        <v>0</v>
      </c>
      <c r="K21" s="21">
        <f t="shared" si="2"/>
        <v>0</v>
      </c>
      <c r="L21" s="147">
        <v>0</v>
      </c>
      <c r="M21" s="147">
        <f t="shared" si="3"/>
        <v>139256.21399999998</v>
      </c>
      <c r="N21" s="53"/>
      <c r="O21" s="82"/>
      <c r="V21">
        <f>35*104.14</f>
        <v>3644.9</v>
      </c>
    </row>
    <row r="22" spans="1:22">
      <c r="A22" s="28">
        <v>19</v>
      </c>
      <c r="B22" s="29">
        <v>45796</v>
      </c>
      <c r="C22" s="80"/>
      <c r="D22" s="146"/>
      <c r="E22" s="108">
        <v>0</v>
      </c>
      <c r="F22" s="108">
        <v>0</v>
      </c>
      <c r="G22" s="21">
        <f t="shared" si="0"/>
        <v>0</v>
      </c>
      <c r="H22" s="108">
        <v>0</v>
      </c>
      <c r="I22" s="108"/>
      <c r="J22" s="21">
        <f t="shared" si="1"/>
        <v>0</v>
      </c>
      <c r="K22" s="21">
        <f t="shared" si="2"/>
        <v>0</v>
      </c>
      <c r="L22" s="147">
        <v>0</v>
      </c>
      <c r="M22" s="147">
        <f t="shared" si="3"/>
        <v>139256.21399999998</v>
      </c>
      <c r="N22" s="53"/>
      <c r="O22" s="82"/>
    </row>
    <row r="23" spans="1:22">
      <c r="A23" s="28">
        <v>20</v>
      </c>
      <c r="B23" s="29">
        <v>45797</v>
      </c>
      <c r="C23" s="80"/>
      <c r="D23" s="146"/>
      <c r="E23" s="108">
        <v>300</v>
      </c>
      <c r="F23" s="108">
        <v>92.1</v>
      </c>
      <c r="G23" s="21">
        <f t="shared" si="0"/>
        <v>27630</v>
      </c>
      <c r="H23" s="108">
        <v>20</v>
      </c>
      <c r="I23" s="108">
        <v>103.86</v>
      </c>
      <c r="J23" s="21">
        <f t="shared" si="1"/>
        <v>2077.1999999999998</v>
      </c>
      <c r="K23" s="21">
        <f t="shared" si="2"/>
        <v>29707.200000000001</v>
      </c>
      <c r="L23" s="147">
        <v>29707.200000000001</v>
      </c>
      <c r="M23" s="147">
        <f t="shared" si="3"/>
        <v>139256.21399999998</v>
      </c>
      <c r="N23" s="368"/>
      <c r="O23" s="305"/>
    </row>
    <row r="24" spans="1:22">
      <c r="A24" s="28">
        <v>21</v>
      </c>
      <c r="B24" s="29">
        <v>45798</v>
      </c>
      <c r="C24" s="80"/>
      <c r="D24" s="146"/>
      <c r="E24" s="108">
        <v>300</v>
      </c>
      <c r="F24" s="108">
        <v>92.1</v>
      </c>
      <c r="G24" s="21">
        <f t="shared" si="0"/>
        <v>27630</v>
      </c>
      <c r="H24" s="108">
        <v>0</v>
      </c>
      <c r="I24" s="108"/>
      <c r="J24" s="21">
        <f t="shared" si="1"/>
        <v>0</v>
      </c>
      <c r="K24" s="21">
        <f t="shared" si="2"/>
        <v>27630</v>
      </c>
      <c r="L24" s="147">
        <v>139500</v>
      </c>
      <c r="M24" s="147">
        <f t="shared" si="3"/>
        <v>27386.213999999978</v>
      </c>
      <c r="N24" s="53"/>
      <c r="O24" s="82"/>
    </row>
    <row r="25" spans="1:22">
      <c r="A25" s="28">
        <v>22</v>
      </c>
      <c r="B25" s="29">
        <v>45799</v>
      </c>
      <c r="C25" s="80"/>
      <c r="D25" s="146"/>
      <c r="E25" s="108">
        <v>0</v>
      </c>
      <c r="F25" s="108">
        <v>0</v>
      </c>
      <c r="G25" s="21">
        <f t="shared" si="0"/>
        <v>0</v>
      </c>
      <c r="H25" s="108">
        <v>0</v>
      </c>
      <c r="I25" s="108"/>
      <c r="J25" s="21">
        <f t="shared" si="1"/>
        <v>0</v>
      </c>
      <c r="K25" s="21">
        <f t="shared" si="2"/>
        <v>0</v>
      </c>
      <c r="L25" s="147">
        <v>0</v>
      </c>
      <c r="M25" s="147">
        <f t="shared" si="3"/>
        <v>27386.213999999978</v>
      </c>
      <c r="N25" s="53"/>
      <c r="O25" s="82"/>
    </row>
    <row r="26" spans="1:22">
      <c r="A26" s="28">
        <v>23</v>
      </c>
      <c r="B26" s="29">
        <v>45800</v>
      </c>
      <c r="C26" s="80"/>
      <c r="D26" s="146"/>
      <c r="E26" s="108">
        <v>600</v>
      </c>
      <c r="F26" s="108">
        <v>92.1</v>
      </c>
      <c r="G26" s="21">
        <f t="shared" si="0"/>
        <v>55260</v>
      </c>
      <c r="H26" s="108">
        <v>35</v>
      </c>
      <c r="I26" s="108">
        <v>103.86</v>
      </c>
      <c r="J26" s="21">
        <f t="shared" si="1"/>
        <v>3635.1</v>
      </c>
      <c r="K26" s="21">
        <f t="shared" si="2"/>
        <v>58895.1</v>
      </c>
      <c r="L26" s="147">
        <v>0</v>
      </c>
      <c r="M26" s="147">
        <f t="shared" si="3"/>
        <v>86281.313999999984</v>
      </c>
      <c r="N26" s="53"/>
      <c r="O26" s="82"/>
    </row>
    <row r="27" spans="1:22">
      <c r="A27" s="28">
        <v>24</v>
      </c>
      <c r="B27" s="29">
        <v>45801</v>
      </c>
      <c r="C27" s="80"/>
      <c r="D27" s="146"/>
      <c r="E27" s="108">
        <v>0</v>
      </c>
      <c r="F27" s="108">
        <v>0</v>
      </c>
      <c r="G27" s="21">
        <f t="shared" si="0"/>
        <v>0</v>
      </c>
      <c r="H27" s="108">
        <v>0</v>
      </c>
      <c r="I27" s="108"/>
      <c r="J27" s="21">
        <f t="shared" si="1"/>
        <v>0</v>
      </c>
      <c r="K27" s="21">
        <f t="shared" si="2"/>
        <v>0</v>
      </c>
      <c r="L27" s="147">
        <v>0</v>
      </c>
      <c r="M27" s="147">
        <f t="shared" si="3"/>
        <v>86281.313999999984</v>
      </c>
      <c r="N27" s="53"/>
      <c r="O27" s="82"/>
    </row>
    <row r="28" spans="1:22">
      <c r="A28" s="28">
        <v>25</v>
      </c>
      <c r="B28" s="29">
        <v>45802</v>
      </c>
      <c r="C28" s="80"/>
      <c r="D28" s="146"/>
      <c r="E28" s="108">
        <v>500</v>
      </c>
      <c r="F28" s="108">
        <v>92.1</v>
      </c>
      <c r="G28" s="21">
        <f t="shared" si="0"/>
        <v>46050</v>
      </c>
      <c r="H28" s="108">
        <v>0</v>
      </c>
      <c r="I28" s="108"/>
      <c r="J28" s="21">
        <f t="shared" si="1"/>
        <v>0</v>
      </c>
      <c r="K28" s="21">
        <f t="shared" si="2"/>
        <v>46050</v>
      </c>
      <c r="L28" s="147">
        <v>0</v>
      </c>
      <c r="M28" s="147">
        <f t="shared" si="3"/>
        <v>132331.31399999998</v>
      </c>
      <c r="N28" s="53"/>
      <c r="O28" s="82"/>
    </row>
    <row r="29" spans="1:22">
      <c r="A29" s="28">
        <v>26</v>
      </c>
      <c r="B29" s="29">
        <v>45803</v>
      </c>
      <c r="C29" s="80"/>
      <c r="D29" s="146"/>
      <c r="E29" s="108">
        <v>0</v>
      </c>
      <c r="F29" s="108">
        <v>0</v>
      </c>
      <c r="G29" s="21">
        <f t="shared" si="0"/>
        <v>0</v>
      </c>
      <c r="H29" s="108">
        <v>0</v>
      </c>
      <c r="I29" s="108"/>
      <c r="J29" s="21">
        <f t="shared" si="1"/>
        <v>0</v>
      </c>
      <c r="K29" s="21">
        <f t="shared" si="2"/>
        <v>0</v>
      </c>
      <c r="L29" s="147">
        <v>0</v>
      </c>
      <c r="M29" s="147">
        <f t="shared" si="3"/>
        <v>132331.31399999998</v>
      </c>
      <c r="N29" s="53"/>
      <c r="O29" s="82"/>
    </row>
    <row r="30" spans="1:22">
      <c r="A30" s="28">
        <v>27</v>
      </c>
      <c r="B30" s="29">
        <v>45804</v>
      </c>
      <c r="C30" s="80"/>
      <c r="D30" s="146"/>
      <c r="E30" s="108">
        <v>0</v>
      </c>
      <c r="F30" s="108">
        <v>0</v>
      </c>
      <c r="G30" s="21">
        <f t="shared" si="0"/>
        <v>0</v>
      </c>
      <c r="H30" s="108">
        <v>0</v>
      </c>
      <c r="I30" s="108"/>
      <c r="J30" s="21">
        <f t="shared" si="1"/>
        <v>0</v>
      </c>
      <c r="K30" s="21">
        <f t="shared" si="2"/>
        <v>0</v>
      </c>
      <c r="L30" s="147">
        <v>27630</v>
      </c>
      <c r="M30" s="147">
        <f t="shared" si="3"/>
        <v>104701.31399999998</v>
      </c>
      <c r="N30" s="53"/>
      <c r="O30" s="82"/>
    </row>
    <row r="31" spans="1:22">
      <c r="A31" s="28">
        <v>28</v>
      </c>
      <c r="B31" s="29">
        <v>45805</v>
      </c>
      <c r="C31" s="80"/>
      <c r="D31" s="146"/>
      <c r="E31" s="108">
        <v>0</v>
      </c>
      <c r="F31" s="108">
        <v>0</v>
      </c>
      <c r="G31" s="21">
        <f t="shared" si="0"/>
        <v>0</v>
      </c>
      <c r="H31" s="108">
        <v>0</v>
      </c>
      <c r="I31" s="108"/>
      <c r="J31" s="21">
        <f t="shared" si="1"/>
        <v>0</v>
      </c>
      <c r="K31" s="21">
        <f t="shared" si="2"/>
        <v>0</v>
      </c>
      <c r="L31" s="147">
        <v>0</v>
      </c>
      <c r="M31" s="147">
        <f t="shared" si="3"/>
        <v>104701.31399999998</v>
      </c>
      <c r="N31" s="53"/>
      <c r="O31" s="82"/>
    </row>
    <row r="32" spans="1:22">
      <c r="A32" s="28">
        <v>29</v>
      </c>
      <c r="B32" s="29">
        <v>45806</v>
      </c>
      <c r="C32" s="80"/>
      <c r="D32" s="146"/>
      <c r="E32" s="108">
        <v>0</v>
      </c>
      <c r="F32" s="108">
        <v>0</v>
      </c>
      <c r="G32" s="21">
        <f t="shared" si="0"/>
        <v>0</v>
      </c>
      <c r="H32" s="108">
        <v>0</v>
      </c>
      <c r="I32" s="108"/>
      <c r="J32" s="21">
        <f t="shared" si="1"/>
        <v>0</v>
      </c>
      <c r="K32" s="21">
        <f t="shared" si="2"/>
        <v>0</v>
      </c>
      <c r="L32" s="147">
        <v>104700</v>
      </c>
      <c r="M32" s="147">
        <f t="shared" si="3"/>
        <v>1.3139999999839347</v>
      </c>
      <c r="N32" s="53"/>
      <c r="O32" s="82"/>
    </row>
    <row r="33" spans="1:19">
      <c r="A33" s="28">
        <v>30</v>
      </c>
      <c r="B33" s="29">
        <v>45807</v>
      </c>
      <c r="C33" s="80"/>
      <c r="D33" s="146"/>
      <c r="E33" s="108">
        <v>375</v>
      </c>
      <c r="F33" s="108">
        <v>92.1</v>
      </c>
      <c r="G33" s="21">
        <f t="shared" si="0"/>
        <v>34537.5</v>
      </c>
      <c r="H33" s="108">
        <v>20</v>
      </c>
      <c r="I33" s="108">
        <v>103.86</v>
      </c>
      <c r="J33" s="21">
        <f t="shared" si="1"/>
        <v>2077.1999999999998</v>
      </c>
      <c r="K33" s="21">
        <f t="shared" si="2"/>
        <v>36614.699999999997</v>
      </c>
      <c r="L33" s="147">
        <v>0</v>
      </c>
      <c r="M33" s="147">
        <f t="shared" si="3"/>
        <v>36616.013999999981</v>
      </c>
      <c r="N33" s="53"/>
      <c r="O33" s="82"/>
    </row>
    <row r="34" spans="1:19">
      <c r="A34" s="28">
        <v>31</v>
      </c>
      <c r="B34" s="29">
        <v>0</v>
      </c>
      <c r="C34" s="80"/>
      <c r="D34" s="146"/>
      <c r="E34" s="108">
        <v>0</v>
      </c>
      <c r="F34" s="108">
        <v>0</v>
      </c>
      <c r="G34" s="21">
        <f>E34*F34</f>
        <v>0</v>
      </c>
      <c r="H34" s="108">
        <v>0</v>
      </c>
      <c r="I34" s="108">
        <v>0</v>
      </c>
      <c r="J34" s="21">
        <f>H34*I34</f>
        <v>0</v>
      </c>
      <c r="K34" s="21">
        <f>G34+J34</f>
        <v>0</v>
      </c>
      <c r="L34" s="147">
        <v>0</v>
      </c>
      <c r="M34" s="147">
        <f>M33+K34-L34</f>
        <v>36616.013999999981</v>
      </c>
      <c r="N34" s="53"/>
      <c r="O34" s="82"/>
    </row>
    <row r="35" spans="1:19">
      <c r="A35" s="28"/>
      <c r="B35" s="29"/>
      <c r="C35" s="80"/>
      <c r="D35" s="146"/>
      <c r="E35" s="108">
        <v>0</v>
      </c>
      <c r="F35" s="108">
        <v>0</v>
      </c>
      <c r="G35" s="21">
        <f t="shared" ref="G35" si="4">E35*F35</f>
        <v>0</v>
      </c>
      <c r="H35" s="108">
        <v>0</v>
      </c>
      <c r="I35" s="108"/>
      <c r="J35" s="21">
        <f t="shared" ref="J35" si="5">H35*I35</f>
        <v>0</v>
      </c>
      <c r="K35" s="21">
        <f t="shared" ref="K35" si="6">G35+J35</f>
        <v>0</v>
      </c>
      <c r="L35" s="147">
        <v>0</v>
      </c>
      <c r="M35" s="147">
        <f>M34+K35-L35</f>
        <v>36616.013999999981</v>
      </c>
      <c r="N35" s="53"/>
      <c r="O35" s="82">
        <v>34539</v>
      </c>
      <c r="P35" s="201">
        <f>M35-O35</f>
        <v>2077.013999999981</v>
      </c>
    </row>
    <row r="36" spans="1:19">
      <c r="A36" s="51"/>
      <c r="B36" s="51"/>
      <c r="C36" s="51"/>
      <c r="D36" s="51"/>
      <c r="E36" s="52">
        <f>SUM(E4:E34)</f>
        <v>3919.84</v>
      </c>
      <c r="F36" s="52"/>
      <c r="G36" s="52">
        <f>SUM(G4:G34)</f>
        <v>361017.26399999997</v>
      </c>
      <c r="H36" s="52">
        <f>SUM(H4:H34)</f>
        <v>165</v>
      </c>
      <c r="I36" s="52"/>
      <c r="J36" s="52">
        <f>SUM(J4:J34)</f>
        <v>17136.899999999998</v>
      </c>
      <c r="K36" s="52">
        <f>SUM(K4:K34)</f>
        <v>378154.16399999999</v>
      </c>
      <c r="L36" s="52">
        <f>SUM(L4:L34)</f>
        <v>438193.15</v>
      </c>
      <c r="M36" s="52"/>
      <c r="N36" s="52"/>
      <c r="O36" s="35"/>
    </row>
    <row r="37" spans="1:19">
      <c r="A37" s="86"/>
      <c r="B37" s="87"/>
      <c r="C37" s="86"/>
      <c r="D37" s="86"/>
      <c r="E37" s="88">
        <v>833</v>
      </c>
      <c r="F37" s="88"/>
      <c r="G37" s="88">
        <v>76719</v>
      </c>
      <c r="H37" s="88">
        <v>28</v>
      </c>
      <c r="I37" s="88"/>
      <c r="J37" s="89">
        <v>2908</v>
      </c>
      <c r="K37" s="89">
        <f>G37+J37</f>
        <v>79627</v>
      </c>
      <c r="L37" s="89">
        <v>79627</v>
      </c>
      <c r="M37" s="89"/>
      <c r="N37" s="88"/>
      <c r="O37" s="82"/>
    </row>
    <row r="38" spans="1:19">
      <c r="E38" s="152">
        <f>SUM(E36:E37)</f>
        <v>4752.84</v>
      </c>
      <c r="F38" s="152">
        <f>SUM(F36:F37)</f>
        <v>0</v>
      </c>
      <c r="G38" s="152">
        <f>SUM(G36:G37)</f>
        <v>437736.26399999997</v>
      </c>
      <c r="H38" s="152">
        <f>SUM(H36:H37)</f>
        <v>193</v>
      </c>
      <c r="I38" s="152">
        <f>SUM(I36:I37)</f>
        <v>0</v>
      </c>
      <c r="J38" s="152">
        <f>SUM(J36:J37)</f>
        <v>20044.899999999998</v>
      </c>
      <c r="K38" s="152">
        <f>SUM(K36:K37)</f>
        <v>457781.16399999999</v>
      </c>
      <c r="L38" s="152">
        <f>SUM(L36:L37)</f>
        <v>517820.15</v>
      </c>
      <c r="O38" s="82"/>
    </row>
    <row r="39" spans="1:19">
      <c r="O39" s="82"/>
    </row>
    <row r="40" spans="1:19">
      <c r="O40" s="82"/>
    </row>
    <row r="41" spans="1:19">
      <c r="O41" s="82"/>
    </row>
    <row r="42" spans="1:19">
      <c r="O42" s="82"/>
      <c r="S42">
        <v>9052944708</v>
      </c>
    </row>
    <row r="43" spans="1:19">
      <c r="A43" s="82"/>
      <c r="B43" s="72"/>
      <c r="C43" s="82"/>
      <c r="D43" s="82"/>
      <c r="E43" s="82"/>
      <c r="F43" s="82"/>
      <c r="G43" s="90"/>
      <c r="H43" s="82"/>
      <c r="I43" s="82"/>
      <c r="J43" s="72"/>
      <c r="K43" s="72"/>
      <c r="L43" s="72"/>
      <c r="M43" s="72"/>
      <c r="N43" s="82"/>
      <c r="O43" s="88"/>
    </row>
    <row r="44" spans="1:19">
      <c r="A44" s="82"/>
      <c r="B44" s="452"/>
      <c r="C44" s="452"/>
      <c r="D44" s="452"/>
      <c r="E44" s="452"/>
      <c r="F44" s="82"/>
      <c r="G44" s="82"/>
      <c r="H44" s="82"/>
      <c r="I44" s="452"/>
      <c r="J44" s="452"/>
      <c r="K44" s="452"/>
      <c r="L44" s="452"/>
      <c r="M44" s="452"/>
      <c r="N44" s="452"/>
      <c r="O44" s="88"/>
    </row>
    <row r="45" spans="1:19">
      <c r="A45" s="82"/>
      <c r="B45" s="72"/>
      <c r="C45" s="82"/>
      <c r="D45" s="82"/>
      <c r="E45" s="82"/>
      <c r="F45" s="82"/>
      <c r="G45" s="82"/>
      <c r="H45" s="82"/>
      <c r="I45" s="82"/>
      <c r="J45" s="72"/>
      <c r="K45" s="72"/>
      <c r="L45" s="72"/>
      <c r="M45" s="72"/>
      <c r="N45" s="82"/>
      <c r="O45" s="88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945-7278-4A2D-A0B9-0B43E354BFF7}">
  <dimension ref="A1:N8"/>
  <sheetViews>
    <sheetView workbookViewId="0">
      <selection activeCell="M21" sqref="M21"/>
    </sheetView>
  </sheetViews>
  <sheetFormatPr defaultRowHeight="15"/>
  <cols>
    <col min="4" max="4" width="14.85546875" customWidth="1"/>
    <col min="5" max="5" width="19.42578125" customWidth="1"/>
    <col min="8" max="8" width="13.85546875" customWidth="1"/>
    <col min="12" max="12" width="12" customWidth="1"/>
    <col min="13" max="13" width="16.5703125" customWidth="1"/>
    <col min="14" max="14" width="12.28515625" customWidth="1"/>
  </cols>
  <sheetData>
    <row r="1" spans="1:14">
      <c r="A1" s="460" t="s">
        <v>125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</row>
    <row r="2" spans="1:14" ht="23.25" customHeight="1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77" t="s">
        <v>107</v>
      </c>
      <c r="L2" s="77" t="s">
        <v>126</v>
      </c>
      <c r="M2" s="99" t="s">
        <v>108</v>
      </c>
      <c r="N2" s="97" t="s">
        <v>110</v>
      </c>
    </row>
    <row r="3" spans="1:14">
      <c r="A3" s="19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19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>
      <c r="A5" s="19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</sheetData>
  <mergeCells count="1">
    <mergeCell ref="A1:N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workbookViewId="0">
      <selection activeCell="N37" sqref="N37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442" t="s">
        <v>46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14">
      <c r="A2" s="118" t="s">
        <v>99</v>
      </c>
      <c r="B2" s="123" t="s">
        <v>100</v>
      </c>
      <c r="C2" s="123" t="s">
        <v>101</v>
      </c>
      <c r="D2" s="123" t="s">
        <v>102</v>
      </c>
      <c r="E2" s="123" t="s">
        <v>103</v>
      </c>
      <c r="F2" s="123" t="s">
        <v>104</v>
      </c>
      <c r="G2" s="123" t="s">
        <v>105</v>
      </c>
      <c r="H2" s="123" t="s">
        <v>106</v>
      </c>
      <c r="I2" s="123" t="s">
        <v>104</v>
      </c>
      <c r="J2" s="123" t="s">
        <v>105</v>
      </c>
      <c r="K2" s="123" t="s">
        <v>107</v>
      </c>
      <c r="L2" s="123" t="s">
        <v>108</v>
      </c>
      <c r="M2" s="123" t="s">
        <v>115</v>
      </c>
      <c r="N2" s="123" t="s">
        <v>110</v>
      </c>
    </row>
    <row r="3" spans="1:14">
      <c r="A3" s="461" t="s">
        <v>111</v>
      </c>
      <c r="B3" s="461"/>
      <c r="C3" s="461"/>
      <c r="D3" s="461"/>
      <c r="E3" s="461"/>
      <c r="F3" s="461"/>
      <c r="G3" s="461"/>
      <c r="H3" s="461"/>
      <c r="I3" s="461"/>
      <c r="J3" s="461"/>
      <c r="K3" s="110">
        <v>0</v>
      </c>
      <c r="L3" s="110">
        <v>0</v>
      </c>
      <c r="M3" s="110">
        <f>+K3</f>
        <v>0</v>
      </c>
      <c r="N3" s="19"/>
    </row>
    <row r="4" spans="1:14">
      <c r="A4" s="28">
        <v>1</v>
      </c>
      <c r="B4" s="29">
        <v>45778</v>
      </c>
      <c r="C4" s="19"/>
      <c r="D4" s="19"/>
      <c r="E4" s="101"/>
      <c r="F4" s="101"/>
      <c r="G4" s="19">
        <f>E4*F4</f>
        <v>0</v>
      </c>
      <c r="H4" s="101"/>
      <c r="I4" s="101"/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53"/>
    </row>
    <row r="5" spans="1:14">
      <c r="A5" s="28">
        <v>2</v>
      </c>
      <c r="B5" s="29">
        <v>45779</v>
      </c>
      <c r="C5" s="19"/>
      <c r="D5" s="19"/>
      <c r="E5" s="101"/>
      <c r="F5" s="101"/>
      <c r="G5" s="19">
        <f t="shared" ref="G5:G33" si="0">E5*F5</f>
        <v>0</v>
      </c>
      <c r="H5" s="101"/>
      <c r="I5" s="101"/>
      <c r="J5" s="19">
        <f t="shared" ref="J5:J33" si="1">H5*I5</f>
        <v>0</v>
      </c>
      <c r="K5" s="19">
        <f t="shared" ref="K5:K33" si="2">G5+J5</f>
        <v>0</v>
      </c>
      <c r="L5" s="19">
        <f t="shared" ref="L5:L33" si="3">K5</f>
        <v>0</v>
      </c>
      <c r="M5" s="19">
        <f t="shared" ref="M5:M27" si="4">M4+K5-L5</f>
        <v>0</v>
      </c>
      <c r="N5" s="53"/>
    </row>
    <row r="6" spans="1:14">
      <c r="A6" s="28">
        <v>3</v>
      </c>
      <c r="B6" s="29">
        <v>45780</v>
      </c>
      <c r="C6" s="19"/>
      <c r="D6" s="19"/>
      <c r="E6" s="101">
        <v>140</v>
      </c>
      <c r="F6" s="101">
        <v>92.09</v>
      </c>
      <c r="G6" s="19">
        <f t="shared" si="0"/>
        <v>12892.6</v>
      </c>
      <c r="H6" s="101"/>
      <c r="I6" s="101"/>
      <c r="J6" s="19">
        <f t="shared" si="1"/>
        <v>0</v>
      </c>
      <c r="K6" s="19">
        <f t="shared" si="2"/>
        <v>12892.6</v>
      </c>
      <c r="L6" s="19">
        <f t="shared" si="3"/>
        <v>12892.6</v>
      </c>
      <c r="M6" s="19">
        <f t="shared" si="4"/>
        <v>0</v>
      </c>
      <c r="N6" s="53"/>
    </row>
    <row r="7" spans="1:14">
      <c r="A7" s="28">
        <v>4</v>
      </c>
      <c r="B7" s="29">
        <v>45781</v>
      </c>
      <c r="C7" s="19"/>
      <c r="D7" s="19"/>
      <c r="E7" s="101"/>
      <c r="F7" s="101"/>
      <c r="G7" s="19">
        <f t="shared" si="0"/>
        <v>0</v>
      </c>
      <c r="H7" s="101"/>
      <c r="I7" s="101"/>
      <c r="J7" s="19">
        <f t="shared" si="1"/>
        <v>0</v>
      </c>
      <c r="K7" s="19">
        <f t="shared" si="2"/>
        <v>0</v>
      </c>
      <c r="L7" s="19">
        <f t="shared" si="3"/>
        <v>0</v>
      </c>
      <c r="M7" s="19">
        <f t="shared" si="4"/>
        <v>0</v>
      </c>
      <c r="N7" s="53"/>
    </row>
    <row r="8" spans="1:14">
      <c r="A8" s="28">
        <v>5</v>
      </c>
      <c r="B8" s="29">
        <v>45782</v>
      </c>
      <c r="C8" s="19"/>
      <c r="D8" s="19"/>
      <c r="E8" s="101">
        <v>280</v>
      </c>
      <c r="F8" s="101">
        <v>92.09</v>
      </c>
      <c r="G8" s="19">
        <f t="shared" si="0"/>
        <v>25785.200000000001</v>
      </c>
      <c r="H8" s="101">
        <v>35</v>
      </c>
      <c r="I8" s="101">
        <v>103.86</v>
      </c>
      <c r="J8" s="19">
        <f t="shared" si="1"/>
        <v>3635.1</v>
      </c>
      <c r="K8" s="19">
        <f t="shared" si="2"/>
        <v>29420.3</v>
      </c>
      <c r="L8" s="19">
        <f t="shared" si="3"/>
        <v>29420.3</v>
      </c>
      <c r="M8" s="19">
        <f t="shared" si="4"/>
        <v>0</v>
      </c>
      <c r="N8" s="53"/>
    </row>
    <row r="9" spans="1:14">
      <c r="A9" s="28">
        <v>6</v>
      </c>
      <c r="B9" s="29">
        <v>45783</v>
      </c>
      <c r="C9" s="19"/>
      <c r="D9" s="19"/>
      <c r="E9" s="101"/>
      <c r="F9" s="101"/>
      <c r="G9" s="19">
        <f t="shared" si="0"/>
        <v>0</v>
      </c>
      <c r="H9" s="101"/>
      <c r="I9" s="101"/>
      <c r="J9" s="19">
        <f t="shared" si="1"/>
        <v>0</v>
      </c>
      <c r="K9" s="19">
        <f t="shared" si="2"/>
        <v>0</v>
      </c>
      <c r="L9" s="19">
        <f t="shared" si="3"/>
        <v>0</v>
      </c>
      <c r="M9" s="19">
        <f t="shared" si="4"/>
        <v>0</v>
      </c>
      <c r="N9" s="53"/>
    </row>
    <row r="10" spans="1:14">
      <c r="A10" s="28">
        <v>7</v>
      </c>
      <c r="B10" s="29">
        <v>45784</v>
      </c>
      <c r="C10" s="19"/>
      <c r="D10" s="19"/>
      <c r="E10" s="101">
        <v>325</v>
      </c>
      <c r="F10" s="101">
        <v>92.09</v>
      </c>
      <c r="G10" s="19">
        <f t="shared" si="0"/>
        <v>29929.25</v>
      </c>
      <c r="H10" s="101"/>
      <c r="I10" s="101"/>
      <c r="J10" s="19">
        <f t="shared" si="1"/>
        <v>0</v>
      </c>
      <c r="K10" s="19">
        <f t="shared" si="2"/>
        <v>29929.25</v>
      </c>
      <c r="L10" s="19">
        <f t="shared" si="3"/>
        <v>29929.25</v>
      </c>
      <c r="M10" s="19">
        <f t="shared" si="4"/>
        <v>0</v>
      </c>
      <c r="N10" s="53"/>
    </row>
    <row r="11" spans="1:14">
      <c r="A11" s="28">
        <v>8</v>
      </c>
      <c r="B11" s="29">
        <v>45785</v>
      </c>
      <c r="C11" s="19"/>
      <c r="D11" s="19"/>
      <c r="E11" s="101"/>
      <c r="F11" s="101"/>
      <c r="G11" s="19">
        <f t="shared" si="0"/>
        <v>0</v>
      </c>
      <c r="H11" s="101"/>
      <c r="I11" s="101"/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53"/>
    </row>
    <row r="12" spans="1:14">
      <c r="A12" s="28">
        <v>9</v>
      </c>
      <c r="B12" s="29">
        <v>45786</v>
      </c>
      <c r="C12" s="19"/>
      <c r="D12" s="19"/>
      <c r="E12" s="101">
        <v>200</v>
      </c>
      <c r="F12" s="101">
        <v>92.09</v>
      </c>
      <c r="G12" s="19">
        <f t="shared" si="0"/>
        <v>18418</v>
      </c>
      <c r="H12" s="101">
        <v>15</v>
      </c>
      <c r="I12" s="101">
        <v>103.86</v>
      </c>
      <c r="J12" s="19">
        <f t="shared" si="1"/>
        <v>1557.9</v>
      </c>
      <c r="K12" s="19">
        <f t="shared" si="2"/>
        <v>19975.900000000001</v>
      </c>
      <c r="L12" s="19">
        <f t="shared" si="3"/>
        <v>19975.900000000001</v>
      </c>
      <c r="M12" s="19">
        <f t="shared" si="4"/>
        <v>0</v>
      </c>
      <c r="N12" s="53"/>
    </row>
    <row r="13" spans="1:14">
      <c r="A13" s="28">
        <v>10</v>
      </c>
      <c r="B13" s="29">
        <v>45787</v>
      </c>
      <c r="C13" s="19"/>
      <c r="D13" s="19"/>
      <c r="E13" s="101"/>
      <c r="F13" s="101"/>
      <c r="G13" s="19">
        <f t="shared" si="0"/>
        <v>0</v>
      </c>
      <c r="H13" s="101"/>
      <c r="I13" s="101"/>
      <c r="J13" s="19">
        <f t="shared" si="1"/>
        <v>0</v>
      </c>
      <c r="K13" s="19">
        <f t="shared" si="2"/>
        <v>0</v>
      </c>
      <c r="L13" s="19">
        <f t="shared" si="3"/>
        <v>0</v>
      </c>
      <c r="M13" s="19">
        <f t="shared" si="4"/>
        <v>0</v>
      </c>
      <c r="N13" s="53"/>
    </row>
    <row r="14" spans="1:14">
      <c r="A14" s="28">
        <v>11</v>
      </c>
      <c r="B14" s="29">
        <v>45788</v>
      </c>
      <c r="C14" s="19"/>
      <c r="D14" s="19"/>
      <c r="E14" s="101"/>
      <c r="F14" s="101"/>
      <c r="G14" s="19">
        <f t="shared" si="0"/>
        <v>0</v>
      </c>
      <c r="H14" s="101"/>
      <c r="I14" s="101"/>
      <c r="J14" s="19">
        <f t="shared" si="1"/>
        <v>0</v>
      </c>
      <c r="K14" s="19">
        <f t="shared" si="2"/>
        <v>0</v>
      </c>
      <c r="L14" s="19">
        <f t="shared" si="3"/>
        <v>0</v>
      </c>
      <c r="M14" s="19">
        <f t="shared" si="4"/>
        <v>0</v>
      </c>
      <c r="N14" s="53"/>
    </row>
    <row r="15" spans="1:14">
      <c r="A15" s="28">
        <v>12</v>
      </c>
      <c r="B15" s="29">
        <v>45789</v>
      </c>
      <c r="C15" s="19"/>
      <c r="D15" s="19"/>
      <c r="E15" s="101">
        <v>300</v>
      </c>
      <c r="F15" s="101">
        <v>92.09</v>
      </c>
      <c r="G15" s="19">
        <f t="shared" si="0"/>
        <v>27627</v>
      </c>
      <c r="H15" s="101">
        <v>20</v>
      </c>
      <c r="I15" s="101">
        <v>103.86</v>
      </c>
      <c r="J15" s="19">
        <f t="shared" si="1"/>
        <v>2077.1999999999998</v>
      </c>
      <c r="K15" s="19">
        <f t="shared" si="2"/>
        <v>29704.2</v>
      </c>
      <c r="L15" s="19">
        <f t="shared" si="3"/>
        <v>29704.2</v>
      </c>
      <c r="M15" s="19">
        <f t="shared" si="4"/>
        <v>0</v>
      </c>
      <c r="N15" s="53"/>
    </row>
    <row r="16" spans="1:14">
      <c r="A16" s="28">
        <v>13</v>
      </c>
      <c r="B16" s="29">
        <v>45790</v>
      </c>
      <c r="C16" s="19"/>
      <c r="D16" s="19"/>
      <c r="E16" s="101"/>
      <c r="F16" s="101"/>
      <c r="G16" s="19">
        <f t="shared" si="0"/>
        <v>0</v>
      </c>
      <c r="H16" s="101"/>
      <c r="I16" s="101"/>
      <c r="J16" s="19">
        <f t="shared" si="1"/>
        <v>0</v>
      </c>
      <c r="K16" s="19">
        <f t="shared" si="2"/>
        <v>0</v>
      </c>
      <c r="L16" s="19">
        <f t="shared" si="3"/>
        <v>0</v>
      </c>
      <c r="M16" s="19">
        <f t="shared" si="4"/>
        <v>0</v>
      </c>
      <c r="N16" s="53"/>
    </row>
    <row r="17" spans="1:14">
      <c r="A17" s="28">
        <v>14</v>
      </c>
      <c r="B17" s="29">
        <v>45791</v>
      </c>
      <c r="C17" s="19"/>
      <c r="D17" s="19"/>
      <c r="E17" s="101"/>
      <c r="F17" s="101"/>
      <c r="G17" s="19">
        <f t="shared" si="0"/>
        <v>0</v>
      </c>
      <c r="H17" s="101"/>
      <c r="I17" s="101"/>
      <c r="J17" s="19">
        <f t="shared" si="1"/>
        <v>0</v>
      </c>
      <c r="K17" s="19">
        <f t="shared" si="2"/>
        <v>0</v>
      </c>
      <c r="L17" s="19">
        <f t="shared" si="3"/>
        <v>0</v>
      </c>
      <c r="M17" s="19">
        <f t="shared" si="4"/>
        <v>0</v>
      </c>
      <c r="N17" s="53"/>
    </row>
    <row r="18" spans="1:14">
      <c r="A18" s="28">
        <v>15</v>
      </c>
      <c r="B18" s="29">
        <v>45792</v>
      </c>
      <c r="C18" s="19"/>
      <c r="D18" s="19"/>
      <c r="E18" s="101">
        <v>300</v>
      </c>
      <c r="F18" s="101">
        <v>92.09</v>
      </c>
      <c r="G18" s="19">
        <f t="shared" si="0"/>
        <v>27627</v>
      </c>
      <c r="H18" s="101">
        <v>20</v>
      </c>
      <c r="I18" s="101">
        <v>103.86</v>
      </c>
      <c r="J18" s="19">
        <f t="shared" si="1"/>
        <v>2077.1999999999998</v>
      </c>
      <c r="K18" s="19">
        <f t="shared" si="2"/>
        <v>29704.2</v>
      </c>
      <c r="L18" s="19">
        <f t="shared" si="3"/>
        <v>29704.2</v>
      </c>
      <c r="M18" s="19">
        <f t="shared" si="4"/>
        <v>0</v>
      </c>
      <c r="N18" s="53"/>
    </row>
    <row r="19" spans="1:14">
      <c r="A19" s="28">
        <v>16</v>
      </c>
      <c r="B19" s="29">
        <v>45793</v>
      </c>
      <c r="C19" s="19"/>
      <c r="D19" s="19"/>
      <c r="E19" s="101"/>
      <c r="F19" s="101"/>
      <c r="G19" s="19">
        <f t="shared" si="0"/>
        <v>0</v>
      </c>
      <c r="H19" s="101"/>
      <c r="I19" s="101"/>
      <c r="J19" s="19">
        <f t="shared" si="1"/>
        <v>0</v>
      </c>
      <c r="K19" s="19">
        <f t="shared" si="2"/>
        <v>0</v>
      </c>
      <c r="L19" s="19">
        <f t="shared" si="3"/>
        <v>0</v>
      </c>
      <c r="M19" s="19">
        <f t="shared" si="4"/>
        <v>0</v>
      </c>
      <c r="N19" s="53"/>
    </row>
    <row r="20" spans="1:14">
      <c r="A20" s="28">
        <v>17</v>
      </c>
      <c r="B20" s="29">
        <v>45794</v>
      </c>
      <c r="C20" s="19"/>
      <c r="D20" s="19"/>
      <c r="E20" s="101"/>
      <c r="F20" s="101"/>
      <c r="G20" s="19">
        <f t="shared" si="0"/>
        <v>0</v>
      </c>
      <c r="H20" s="101"/>
      <c r="I20" s="101"/>
      <c r="J20" s="19">
        <f t="shared" si="1"/>
        <v>0</v>
      </c>
      <c r="K20" s="19">
        <f t="shared" si="2"/>
        <v>0</v>
      </c>
      <c r="L20" s="19">
        <f t="shared" si="3"/>
        <v>0</v>
      </c>
      <c r="M20" s="19">
        <f t="shared" si="4"/>
        <v>0</v>
      </c>
      <c r="N20" s="53"/>
    </row>
    <row r="21" spans="1:14">
      <c r="A21" s="28">
        <v>18</v>
      </c>
      <c r="B21" s="29">
        <v>45795</v>
      </c>
      <c r="C21" s="19"/>
      <c r="D21" s="19"/>
      <c r="E21" s="101"/>
      <c r="F21" s="101"/>
      <c r="G21" s="19">
        <f t="shared" si="0"/>
        <v>0</v>
      </c>
      <c r="H21" s="101"/>
      <c r="I21" s="101"/>
      <c r="J21" s="19">
        <f t="shared" si="1"/>
        <v>0</v>
      </c>
      <c r="K21" s="19">
        <f t="shared" si="2"/>
        <v>0</v>
      </c>
      <c r="L21" s="19">
        <f t="shared" si="3"/>
        <v>0</v>
      </c>
      <c r="M21" s="19">
        <f t="shared" si="4"/>
        <v>0</v>
      </c>
      <c r="N21" s="53"/>
    </row>
    <row r="22" spans="1:14">
      <c r="A22" s="28">
        <v>19</v>
      </c>
      <c r="B22" s="29">
        <v>45796</v>
      </c>
      <c r="C22" s="19"/>
      <c r="D22" s="19"/>
      <c r="E22" s="101">
        <v>200</v>
      </c>
      <c r="F22" s="101">
        <v>92.09</v>
      </c>
      <c r="G22" s="19">
        <f t="shared" si="0"/>
        <v>18418</v>
      </c>
      <c r="H22" s="101">
        <v>15</v>
      </c>
      <c r="I22" s="101">
        <v>103.86</v>
      </c>
      <c r="J22" s="19">
        <f t="shared" si="1"/>
        <v>1557.9</v>
      </c>
      <c r="K22" s="19">
        <f t="shared" si="2"/>
        <v>19975.900000000001</v>
      </c>
      <c r="L22" s="19">
        <f t="shared" si="3"/>
        <v>19975.900000000001</v>
      </c>
      <c r="M22" s="19">
        <f t="shared" si="4"/>
        <v>0</v>
      </c>
      <c r="N22" s="53"/>
    </row>
    <row r="23" spans="1:14">
      <c r="A23" s="28">
        <v>20</v>
      </c>
      <c r="B23" s="29">
        <v>45797</v>
      </c>
      <c r="C23" s="19"/>
      <c r="D23" s="19"/>
      <c r="E23" s="101"/>
      <c r="F23" s="101"/>
      <c r="G23" s="19">
        <f t="shared" si="0"/>
        <v>0</v>
      </c>
      <c r="H23" s="101"/>
      <c r="I23" s="101"/>
      <c r="J23" s="19">
        <f t="shared" si="1"/>
        <v>0</v>
      </c>
      <c r="K23" s="19">
        <f t="shared" si="2"/>
        <v>0</v>
      </c>
      <c r="L23" s="19">
        <f t="shared" si="3"/>
        <v>0</v>
      </c>
      <c r="M23" s="19">
        <f t="shared" si="4"/>
        <v>0</v>
      </c>
      <c r="N23" s="53"/>
    </row>
    <row r="24" spans="1:14">
      <c r="A24" s="28">
        <v>21</v>
      </c>
      <c r="B24" s="29">
        <v>45798</v>
      </c>
      <c r="C24" s="19"/>
      <c r="D24" s="19"/>
      <c r="E24" s="101">
        <v>300</v>
      </c>
      <c r="F24" s="101">
        <v>92.09</v>
      </c>
      <c r="G24" s="19">
        <f t="shared" si="0"/>
        <v>27627</v>
      </c>
      <c r="H24" s="101">
        <v>20</v>
      </c>
      <c r="I24" s="101">
        <v>103.86</v>
      </c>
      <c r="J24" s="19">
        <f t="shared" si="1"/>
        <v>2077.1999999999998</v>
      </c>
      <c r="K24" s="19">
        <f t="shared" si="2"/>
        <v>29704.2</v>
      </c>
      <c r="L24" s="19">
        <f t="shared" si="3"/>
        <v>29704.2</v>
      </c>
      <c r="M24" s="19">
        <f t="shared" si="4"/>
        <v>0</v>
      </c>
      <c r="N24" s="53"/>
    </row>
    <row r="25" spans="1:14">
      <c r="A25" s="28">
        <v>22</v>
      </c>
      <c r="B25" s="29">
        <v>45799</v>
      </c>
      <c r="C25" s="19"/>
      <c r="D25" s="19"/>
      <c r="E25" s="101">
        <v>325</v>
      </c>
      <c r="F25" s="101">
        <v>92.09</v>
      </c>
      <c r="G25" s="19">
        <f t="shared" si="0"/>
        <v>29929.25</v>
      </c>
      <c r="H25" s="101"/>
      <c r="I25" s="101"/>
      <c r="J25" s="19">
        <f t="shared" si="1"/>
        <v>0</v>
      </c>
      <c r="K25" s="19">
        <f t="shared" si="2"/>
        <v>29929.25</v>
      </c>
      <c r="L25" s="19">
        <f t="shared" si="3"/>
        <v>29929.25</v>
      </c>
      <c r="M25" s="19">
        <f t="shared" si="4"/>
        <v>0</v>
      </c>
      <c r="N25" s="53"/>
    </row>
    <row r="26" spans="1:14">
      <c r="A26" s="28">
        <v>23</v>
      </c>
      <c r="B26" s="29">
        <v>45800</v>
      </c>
      <c r="C26" s="19"/>
      <c r="D26" s="19"/>
      <c r="E26" s="101"/>
      <c r="F26" s="101"/>
      <c r="G26" s="19">
        <f t="shared" si="0"/>
        <v>0</v>
      </c>
      <c r="H26" s="101"/>
      <c r="I26" s="101"/>
      <c r="J26" s="19">
        <f t="shared" si="1"/>
        <v>0</v>
      </c>
      <c r="K26" s="19">
        <f t="shared" si="2"/>
        <v>0</v>
      </c>
      <c r="L26" s="19">
        <f t="shared" si="3"/>
        <v>0</v>
      </c>
      <c r="M26" s="19">
        <f t="shared" si="4"/>
        <v>0</v>
      </c>
      <c r="N26" s="53"/>
    </row>
    <row r="27" spans="1:14">
      <c r="A27" s="28">
        <v>24</v>
      </c>
      <c r="B27" s="29">
        <v>45801</v>
      </c>
      <c r="C27" s="19"/>
      <c r="D27" s="19"/>
      <c r="E27" s="101"/>
      <c r="F27" s="101"/>
      <c r="G27" s="19">
        <f t="shared" si="0"/>
        <v>0</v>
      </c>
      <c r="H27" s="101"/>
      <c r="I27" s="101"/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53"/>
    </row>
    <row r="28" spans="1:14">
      <c r="A28" s="28">
        <v>25</v>
      </c>
      <c r="B28" s="29">
        <v>45802</v>
      </c>
      <c r="C28" s="19"/>
      <c r="D28" s="19"/>
      <c r="E28" s="101"/>
      <c r="F28" s="101"/>
      <c r="G28" s="19">
        <f t="shared" si="0"/>
        <v>0</v>
      </c>
      <c r="H28" s="101"/>
      <c r="I28" s="101"/>
      <c r="J28" s="19">
        <f t="shared" si="1"/>
        <v>0</v>
      </c>
      <c r="K28" s="19">
        <f t="shared" si="2"/>
        <v>0</v>
      </c>
      <c r="L28" s="19">
        <f t="shared" si="3"/>
        <v>0</v>
      </c>
      <c r="M28" s="19">
        <v>0</v>
      </c>
      <c r="N28" s="53"/>
    </row>
    <row r="29" spans="1:14">
      <c r="A29" s="28">
        <v>26</v>
      </c>
      <c r="B29" s="29">
        <v>45803</v>
      </c>
      <c r="C29" s="19"/>
      <c r="D29" s="19"/>
      <c r="E29" s="101"/>
      <c r="F29" s="101"/>
      <c r="G29" s="19">
        <f t="shared" si="0"/>
        <v>0</v>
      </c>
      <c r="H29" s="101"/>
      <c r="I29" s="101"/>
      <c r="J29" s="19">
        <f t="shared" si="1"/>
        <v>0</v>
      </c>
      <c r="K29" s="19">
        <f t="shared" si="2"/>
        <v>0</v>
      </c>
      <c r="L29" s="19">
        <f t="shared" si="3"/>
        <v>0</v>
      </c>
      <c r="M29" s="19">
        <v>0</v>
      </c>
      <c r="N29" s="53"/>
    </row>
    <row r="30" spans="1:14">
      <c r="A30" s="28">
        <v>27</v>
      </c>
      <c r="B30" s="29">
        <v>45804</v>
      </c>
      <c r="C30" s="19"/>
      <c r="D30" s="19"/>
      <c r="E30" s="101">
        <v>300</v>
      </c>
      <c r="F30" s="101">
        <v>92.09</v>
      </c>
      <c r="G30" s="19">
        <f t="shared" si="0"/>
        <v>27627</v>
      </c>
      <c r="H30" s="101">
        <v>20</v>
      </c>
      <c r="I30" s="101">
        <v>103.86</v>
      </c>
      <c r="J30" s="19">
        <f t="shared" si="1"/>
        <v>2077.1999999999998</v>
      </c>
      <c r="K30" s="19">
        <f t="shared" si="2"/>
        <v>29704.2</v>
      </c>
      <c r="L30" s="19">
        <f t="shared" si="3"/>
        <v>29704.2</v>
      </c>
      <c r="M30" s="19">
        <v>0</v>
      </c>
      <c r="N30" s="53"/>
    </row>
    <row r="31" spans="1:14">
      <c r="A31" s="28">
        <v>28</v>
      </c>
      <c r="B31" s="29">
        <v>45805</v>
      </c>
      <c r="C31" s="19"/>
      <c r="D31" s="19"/>
      <c r="E31" s="101">
        <v>300</v>
      </c>
      <c r="F31" s="101">
        <v>92.09</v>
      </c>
      <c r="G31" s="19">
        <f t="shared" si="0"/>
        <v>27627</v>
      </c>
      <c r="H31" s="101">
        <v>20</v>
      </c>
      <c r="I31" s="101">
        <v>103.86</v>
      </c>
      <c r="J31" s="19">
        <f t="shared" si="1"/>
        <v>2077.1999999999998</v>
      </c>
      <c r="K31" s="19">
        <f t="shared" si="2"/>
        <v>29704.2</v>
      </c>
      <c r="L31" s="19">
        <f t="shared" si="3"/>
        <v>29704.2</v>
      </c>
      <c r="M31" s="19">
        <v>0</v>
      </c>
      <c r="N31" s="53"/>
    </row>
    <row r="32" spans="1:14">
      <c r="A32" s="28">
        <v>29</v>
      </c>
      <c r="B32" s="29">
        <v>45806</v>
      </c>
      <c r="C32" s="19"/>
      <c r="D32" s="19"/>
      <c r="E32" s="101"/>
      <c r="F32" s="101"/>
      <c r="G32" s="19">
        <f t="shared" si="0"/>
        <v>0</v>
      </c>
      <c r="H32" s="101"/>
      <c r="I32" s="101"/>
      <c r="J32" s="19">
        <f t="shared" si="1"/>
        <v>0</v>
      </c>
      <c r="K32" s="19">
        <f t="shared" si="2"/>
        <v>0</v>
      </c>
      <c r="L32" s="19">
        <f t="shared" si="3"/>
        <v>0</v>
      </c>
      <c r="M32" s="19"/>
      <c r="N32" s="53"/>
    </row>
    <row r="33" spans="1:14">
      <c r="A33" s="28">
        <v>30</v>
      </c>
      <c r="B33" s="29">
        <v>45807</v>
      </c>
      <c r="C33" s="19"/>
      <c r="D33" s="19"/>
      <c r="E33" s="101"/>
      <c r="F33" s="101"/>
      <c r="G33" s="19">
        <f t="shared" si="0"/>
        <v>0</v>
      </c>
      <c r="H33" s="101"/>
      <c r="I33" s="101"/>
      <c r="J33" s="19">
        <f t="shared" si="1"/>
        <v>0</v>
      </c>
      <c r="K33" s="19">
        <f t="shared" si="2"/>
        <v>0</v>
      </c>
      <c r="L33" s="19">
        <f t="shared" si="3"/>
        <v>0</v>
      </c>
      <c r="M33" s="19"/>
      <c r="N33" s="53"/>
    </row>
    <row r="34" spans="1:14">
      <c r="A34" s="28">
        <v>31</v>
      </c>
      <c r="B34" s="29">
        <v>45808</v>
      </c>
      <c r="C34" s="19"/>
      <c r="D34" s="19"/>
      <c r="E34" s="101"/>
      <c r="F34" s="101"/>
      <c r="G34" s="19"/>
      <c r="H34" s="101"/>
      <c r="I34" s="101"/>
      <c r="J34" s="19"/>
      <c r="K34" s="19"/>
      <c r="L34" s="19"/>
      <c r="M34" s="19"/>
      <c r="N34" s="53"/>
    </row>
    <row r="35" spans="1:14">
      <c r="A35" s="51"/>
      <c r="B35" s="51"/>
      <c r="C35" s="51"/>
      <c r="D35" s="51"/>
      <c r="E35" s="51">
        <f>SUM(E4:E34)</f>
        <v>2970</v>
      </c>
      <c r="F35" s="51"/>
      <c r="G35" s="51">
        <f>SUM(G4:G34)</f>
        <v>273507.3</v>
      </c>
      <c r="H35" s="51">
        <f>SUM(H4:H34)</f>
        <v>165</v>
      </c>
      <c r="I35" s="51"/>
      <c r="J35" s="51">
        <f>SUM(J4:J34)</f>
        <v>17136.900000000001</v>
      </c>
      <c r="K35" s="51">
        <f>SUM(K4:K34)</f>
        <v>290644.2</v>
      </c>
      <c r="L35" s="51">
        <f>SUM(L4:L34)</f>
        <v>290644.2</v>
      </c>
      <c r="M35" s="51"/>
      <c r="N35" s="51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39"/>
  <sheetViews>
    <sheetView workbookViewId="0">
      <pane ySplit="2" topLeftCell="A3" activePane="bottomLeft" state="frozen"/>
      <selection pane="bottomLeft" activeCell="I46" sqref="I46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62" t="s">
        <v>60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</row>
    <row r="2" spans="1:16">
      <c r="A2" s="77" t="s">
        <v>99</v>
      </c>
      <c r="B2" s="97" t="s">
        <v>100</v>
      </c>
      <c r="C2" s="97" t="s">
        <v>101</v>
      </c>
      <c r="D2" s="97" t="s">
        <v>102</v>
      </c>
      <c r="E2" s="105" t="s">
        <v>103</v>
      </c>
      <c r="F2" s="105" t="s">
        <v>104</v>
      </c>
      <c r="G2" s="105" t="s">
        <v>105</v>
      </c>
      <c r="H2" s="105" t="s">
        <v>106</v>
      </c>
      <c r="I2" s="105" t="s">
        <v>104</v>
      </c>
      <c r="J2" s="105" t="s">
        <v>105</v>
      </c>
      <c r="K2" s="106" t="s">
        <v>107</v>
      </c>
      <c r="L2" s="99" t="s">
        <v>108</v>
      </c>
      <c r="M2" s="99" t="s">
        <v>115</v>
      </c>
      <c r="N2" s="142" t="s">
        <v>110</v>
      </c>
    </row>
    <row r="3" spans="1:16">
      <c r="A3" s="440" t="s">
        <v>111</v>
      </c>
      <c r="B3" s="440"/>
      <c r="C3" s="440"/>
      <c r="D3" s="440"/>
      <c r="E3" s="440"/>
      <c r="F3" s="440"/>
      <c r="G3" s="440"/>
      <c r="H3" s="440"/>
      <c r="I3" s="440"/>
      <c r="J3" s="458"/>
      <c r="K3" s="241">
        <v>4528.49</v>
      </c>
      <c r="M3" s="152">
        <f>+K3</f>
        <v>4528.49</v>
      </c>
      <c r="N3" s="109"/>
    </row>
    <row r="4" spans="1:16">
      <c r="A4" s="28">
        <v>1</v>
      </c>
      <c r="B4" s="29">
        <v>45778</v>
      </c>
      <c r="C4" s="19"/>
      <c r="D4" s="19"/>
      <c r="E4" s="46">
        <v>74.34</v>
      </c>
      <c r="F4" s="46">
        <v>91.47</v>
      </c>
      <c r="G4" s="46">
        <f>E4*F4</f>
        <v>6799.8798000000006</v>
      </c>
      <c r="H4" s="46">
        <v>0</v>
      </c>
      <c r="I4" s="46">
        <v>0</v>
      </c>
      <c r="J4" s="46">
        <f>H4*I4</f>
        <v>0</v>
      </c>
      <c r="K4" s="46">
        <f>G4+J4</f>
        <v>6799.8798000000006</v>
      </c>
      <c r="L4" s="46">
        <v>0</v>
      </c>
      <c r="M4" s="153">
        <f>M3+K4-L4</f>
        <v>11328.3698</v>
      </c>
      <c r="N4" s="19"/>
    </row>
    <row r="5" spans="1:16">
      <c r="A5" s="28">
        <v>2</v>
      </c>
      <c r="B5" s="29">
        <v>45779</v>
      </c>
      <c r="C5" s="19"/>
      <c r="D5" s="19"/>
      <c r="E5" s="46">
        <v>86.36</v>
      </c>
      <c r="F5" s="46">
        <v>91.47</v>
      </c>
      <c r="G5" s="46">
        <f t="shared" ref="G5:G37" si="0">E5*F5</f>
        <v>7899.3491999999997</v>
      </c>
      <c r="H5" s="46">
        <v>0</v>
      </c>
      <c r="I5" s="46">
        <v>0</v>
      </c>
      <c r="J5" s="46">
        <f t="shared" ref="J5:J37" si="1">H5*I5</f>
        <v>0</v>
      </c>
      <c r="K5" s="46">
        <f t="shared" ref="K5:K38" si="2">G5+J5</f>
        <v>7899.3491999999997</v>
      </c>
      <c r="L5" s="46">
        <v>0</v>
      </c>
      <c r="M5" s="153">
        <f t="shared" ref="M5:M38" si="3">M4+K5-L5</f>
        <v>19227.719000000001</v>
      </c>
      <c r="N5" s="19"/>
    </row>
    <row r="6" spans="1:16">
      <c r="A6" s="28">
        <v>3</v>
      </c>
      <c r="B6" s="29">
        <v>45780</v>
      </c>
      <c r="C6" s="19"/>
      <c r="D6" s="19"/>
      <c r="E6" s="46">
        <v>43.95</v>
      </c>
      <c r="F6" s="46">
        <v>91.08</v>
      </c>
      <c r="G6" s="46">
        <f t="shared" si="0"/>
        <v>4002.9660000000003</v>
      </c>
      <c r="H6" s="46">
        <v>0</v>
      </c>
      <c r="I6" s="46">
        <v>0</v>
      </c>
      <c r="J6" s="46">
        <f t="shared" si="1"/>
        <v>0</v>
      </c>
      <c r="K6" s="46">
        <f t="shared" si="2"/>
        <v>4002.9660000000003</v>
      </c>
      <c r="L6" s="46">
        <f t="shared" ref="L6:L37" si="4">+K6</f>
        <v>4002.9660000000003</v>
      </c>
      <c r="M6" s="153">
        <f t="shared" si="3"/>
        <v>19227.719000000001</v>
      </c>
      <c r="N6" s="19"/>
    </row>
    <row r="7" spans="1:16">
      <c r="A7" s="28">
        <v>4</v>
      </c>
      <c r="B7" s="29">
        <v>45781</v>
      </c>
      <c r="C7" s="19"/>
      <c r="D7" s="19"/>
      <c r="E7" s="46">
        <v>38.93</v>
      </c>
      <c r="F7" s="46">
        <v>91.47</v>
      </c>
      <c r="G7" s="46">
        <f t="shared" si="0"/>
        <v>3560.9270999999999</v>
      </c>
      <c r="H7" s="46">
        <v>0</v>
      </c>
      <c r="I7" s="46">
        <v>0</v>
      </c>
      <c r="J7" s="46">
        <f t="shared" si="1"/>
        <v>0</v>
      </c>
      <c r="K7" s="46">
        <f t="shared" si="2"/>
        <v>3560.9270999999999</v>
      </c>
      <c r="L7" s="46">
        <v>0</v>
      </c>
      <c r="M7" s="153">
        <f t="shared" si="3"/>
        <v>22788.646100000002</v>
      </c>
      <c r="N7" s="19"/>
    </row>
    <row r="8" spans="1:16">
      <c r="A8" s="28">
        <v>5</v>
      </c>
      <c r="B8" s="29">
        <v>45782</v>
      </c>
      <c r="C8" s="19"/>
      <c r="D8" s="19"/>
      <c r="E8" s="46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1"/>
        <v>0</v>
      </c>
      <c r="K8" s="46">
        <f t="shared" si="2"/>
        <v>0</v>
      </c>
      <c r="L8" s="46">
        <f t="shared" si="4"/>
        <v>0</v>
      </c>
      <c r="M8" s="153">
        <f t="shared" si="3"/>
        <v>22788.646100000002</v>
      </c>
      <c r="N8" s="53"/>
    </row>
    <row r="9" spans="1:16">
      <c r="A9" s="28">
        <v>6</v>
      </c>
      <c r="B9" s="29">
        <v>45783</v>
      </c>
      <c r="C9" s="19"/>
      <c r="D9" s="19"/>
      <c r="E9" s="46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>
        <f t="shared" si="4"/>
        <v>0</v>
      </c>
      <c r="M9" s="153">
        <f t="shared" si="3"/>
        <v>22788.646100000002</v>
      </c>
      <c r="N9" s="53"/>
    </row>
    <row r="10" spans="1:16">
      <c r="A10" s="28">
        <v>7</v>
      </c>
      <c r="B10" s="29">
        <v>45784</v>
      </c>
      <c r="C10" s="19"/>
      <c r="D10" s="19"/>
      <c r="E10" s="46">
        <v>43.26</v>
      </c>
      <c r="F10" s="46">
        <v>93.39</v>
      </c>
      <c r="G10" s="46">
        <f t="shared" si="0"/>
        <v>4040.0513999999998</v>
      </c>
      <c r="H10" s="46">
        <v>0</v>
      </c>
      <c r="I10" s="46">
        <v>0</v>
      </c>
      <c r="J10" s="46">
        <f t="shared" si="1"/>
        <v>0</v>
      </c>
      <c r="K10" s="46">
        <f t="shared" si="2"/>
        <v>4040.0513999999998</v>
      </c>
      <c r="L10" s="46">
        <f t="shared" si="4"/>
        <v>4040.0513999999998</v>
      </c>
      <c r="M10" s="153">
        <f t="shared" si="3"/>
        <v>22788.646100000002</v>
      </c>
      <c r="N10" s="53"/>
    </row>
    <row r="11" spans="1:16">
      <c r="A11" s="28">
        <v>8</v>
      </c>
      <c r="B11" s="29">
        <v>45785</v>
      </c>
      <c r="C11" s="19"/>
      <c r="D11" s="19"/>
      <c r="E11" s="46">
        <v>20</v>
      </c>
      <c r="F11" s="46">
        <v>91.47</v>
      </c>
      <c r="G11" s="46">
        <f t="shared" si="0"/>
        <v>1829.4</v>
      </c>
      <c r="H11" s="46">
        <v>0</v>
      </c>
      <c r="I11" s="46">
        <v>0</v>
      </c>
      <c r="J11" s="46">
        <f t="shared" si="1"/>
        <v>0</v>
      </c>
      <c r="K11" s="46">
        <f t="shared" si="2"/>
        <v>1829.4</v>
      </c>
      <c r="L11" s="46">
        <v>0</v>
      </c>
      <c r="M11" s="153">
        <f t="shared" si="3"/>
        <v>24618.046100000003</v>
      </c>
      <c r="N11" s="53"/>
      <c r="P11" s="24"/>
    </row>
    <row r="12" spans="1:16">
      <c r="A12" s="28"/>
      <c r="B12" s="29">
        <v>45785</v>
      </c>
      <c r="C12" s="19"/>
      <c r="D12" s="19"/>
      <c r="E12" s="46">
        <v>27.46</v>
      </c>
      <c r="F12" s="46">
        <v>92.03</v>
      </c>
      <c r="G12" s="46">
        <f t="shared" si="0"/>
        <v>2527.1438000000003</v>
      </c>
      <c r="H12" s="46"/>
      <c r="I12" s="46"/>
      <c r="J12" s="46"/>
      <c r="K12" s="46">
        <f t="shared" si="2"/>
        <v>2527.1438000000003</v>
      </c>
      <c r="L12" s="46">
        <v>2527.14</v>
      </c>
      <c r="M12" s="153">
        <f t="shared" si="3"/>
        <v>24618.049900000005</v>
      </c>
      <c r="N12" s="53"/>
      <c r="P12" s="24"/>
    </row>
    <row r="13" spans="1:16">
      <c r="A13" s="28"/>
      <c r="B13" s="29">
        <v>45785</v>
      </c>
      <c r="C13" s="19"/>
      <c r="D13" s="19"/>
      <c r="E13" s="46">
        <v>21.79</v>
      </c>
      <c r="F13" s="46">
        <v>91.78</v>
      </c>
      <c r="G13" s="46">
        <f t="shared" si="0"/>
        <v>1999.8861999999999</v>
      </c>
      <c r="H13" s="46"/>
      <c r="I13" s="46"/>
      <c r="J13" s="46"/>
      <c r="K13" s="46">
        <f t="shared" si="2"/>
        <v>1999.8861999999999</v>
      </c>
      <c r="L13" s="46">
        <v>2000</v>
      </c>
      <c r="M13" s="153">
        <f t="shared" si="3"/>
        <v>24617.936100000006</v>
      </c>
      <c r="N13" s="53"/>
      <c r="P13" s="24"/>
    </row>
    <row r="14" spans="1:16">
      <c r="A14" s="28">
        <v>9</v>
      </c>
      <c r="B14" s="29">
        <v>45786</v>
      </c>
      <c r="C14" s="19"/>
      <c r="D14" s="19"/>
      <c r="E14" s="46">
        <v>0</v>
      </c>
      <c r="F14" s="46">
        <v>0</v>
      </c>
      <c r="G14" s="46">
        <f t="shared" si="0"/>
        <v>0</v>
      </c>
      <c r="H14" s="46">
        <v>0</v>
      </c>
      <c r="I14" s="46">
        <v>0</v>
      </c>
      <c r="J14" s="46">
        <f t="shared" si="1"/>
        <v>0</v>
      </c>
      <c r="K14" s="46">
        <f t="shared" si="2"/>
        <v>0</v>
      </c>
      <c r="L14" s="46">
        <f t="shared" si="4"/>
        <v>0</v>
      </c>
      <c r="M14" s="153">
        <f t="shared" si="3"/>
        <v>24617.936100000006</v>
      </c>
      <c r="N14" s="53"/>
      <c r="P14" s="24"/>
    </row>
    <row r="15" spans="1:16">
      <c r="A15" s="28">
        <v>10</v>
      </c>
      <c r="B15" s="29">
        <v>45787</v>
      </c>
      <c r="C15" s="19"/>
      <c r="D15" s="19"/>
      <c r="E15" s="46">
        <v>0</v>
      </c>
      <c r="F15" s="46">
        <v>0</v>
      </c>
      <c r="G15" s="46">
        <f t="shared" si="0"/>
        <v>0</v>
      </c>
      <c r="H15" s="46">
        <v>0</v>
      </c>
      <c r="I15" s="46">
        <v>0</v>
      </c>
      <c r="J15" s="46">
        <f t="shared" si="1"/>
        <v>0</v>
      </c>
      <c r="K15" s="46">
        <f t="shared" si="2"/>
        <v>0</v>
      </c>
      <c r="L15" s="46">
        <f t="shared" si="4"/>
        <v>0</v>
      </c>
      <c r="M15" s="153">
        <f t="shared" si="3"/>
        <v>24617.936100000006</v>
      </c>
      <c r="N15" s="53"/>
    </row>
    <row r="16" spans="1:16">
      <c r="A16" s="28">
        <v>11</v>
      </c>
      <c r="B16" s="29">
        <v>45788</v>
      </c>
      <c r="C16" s="19"/>
      <c r="D16" s="19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f t="shared" si="4"/>
        <v>0</v>
      </c>
      <c r="M16" s="153">
        <f t="shared" si="3"/>
        <v>24617.936100000006</v>
      </c>
      <c r="N16" s="53"/>
    </row>
    <row r="17" spans="1:14">
      <c r="A17" s="28">
        <v>12</v>
      </c>
      <c r="B17" s="29">
        <v>45789</v>
      </c>
      <c r="C17" s="19"/>
      <c r="D17" s="19"/>
      <c r="E17" s="46">
        <v>48.11</v>
      </c>
      <c r="F17" s="46">
        <v>91.47</v>
      </c>
      <c r="G17" s="46">
        <f t="shared" si="0"/>
        <v>4400.6216999999997</v>
      </c>
      <c r="H17" s="46">
        <v>1.1399999999999999</v>
      </c>
      <c r="I17" s="46">
        <v>105.5</v>
      </c>
      <c r="J17" s="46">
        <f t="shared" si="1"/>
        <v>120.27</v>
      </c>
      <c r="K17" s="46">
        <f t="shared" si="2"/>
        <v>4520.8917000000001</v>
      </c>
      <c r="L17" s="46">
        <v>0</v>
      </c>
      <c r="M17" s="153">
        <f t="shared" si="3"/>
        <v>29138.827800000006</v>
      </c>
      <c r="N17" s="53"/>
    </row>
    <row r="18" spans="1:14">
      <c r="A18" s="28">
        <v>13</v>
      </c>
      <c r="B18" s="29">
        <v>45790</v>
      </c>
      <c r="C18" s="19"/>
      <c r="D18" s="19"/>
      <c r="E18" s="46">
        <v>44.39</v>
      </c>
      <c r="F18" s="46">
        <v>91.47</v>
      </c>
      <c r="G18" s="46">
        <f t="shared" si="0"/>
        <v>4060.3533000000002</v>
      </c>
      <c r="H18" s="46">
        <v>0</v>
      </c>
      <c r="I18" s="46">
        <v>0</v>
      </c>
      <c r="J18" s="46">
        <f t="shared" si="1"/>
        <v>0</v>
      </c>
      <c r="K18" s="46">
        <f t="shared" si="2"/>
        <v>4060.3533000000002</v>
      </c>
      <c r="L18" s="46">
        <f t="shared" si="4"/>
        <v>4060.3533000000002</v>
      </c>
      <c r="M18" s="153">
        <f t="shared" si="3"/>
        <v>29138.82780000001</v>
      </c>
      <c r="N18" s="53"/>
    </row>
    <row r="19" spans="1:14">
      <c r="A19" s="28">
        <v>14</v>
      </c>
      <c r="B19" s="29">
        <v>45791</v>
      </c>
      <c r="C19" s="19"/>
      <c r="D19" s="19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v>2000</v>
      </c>
      <c r="M19" s="153">
        <f t="shared" si="3"/>
        <v>27138.82780000001</v>
      </c>
      <c r="N19" s="53"/>
    </row>
    <row r="20" spans="1:14">
      <c r="A20" s="28">
        <v>15</v>
      </c>
      <c r="B20" s="29">
        <v>45792</v>
      </c>
      <c r="C20" s="19"/>
      <c r="D20" s="19"/>
      <c r="E20" s="46">
        <v>41.5</v>
      </c>
      <c r="F20" s="46">
        <v>91.56</v>
      </c>
      <c r="G20" s="46">
        <f t="shared" si="0"/>
        <v>3799.7400000000002</v>
      </c>
      <c r="H20" s="46">
        <v>0</v>
      </c>
      <c r="I20" s="46">
        <v>0</v>
      </c>
      <c r="J20" s="46">
        <f t="shared" si="1"/>
        <v>0</v>
      </c>
      <c r="K20" s="46">
        <f t="shared" si="2"/>
        <v>3799.7400000000002</v>
      </c>
      <c r="L20" s="46">
        <v>31300</v>
      </c>
      <c r="M20" s="153">
        <f t="shared" si="3"/>
        <v>-361.43219999998837</v>
      </c>
      <c r="N20" s="53"/>
    </row>
    <row r="21" spans="1:14">
      <c r="A21" s="28">
        <v>16</v>
      </c>
      <c r="B21" s="29">
        <v>45793</v>
      </c>
      <c r="C21" s="19"/>
      <c r="D21" s="19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>
        <f t="shared" si="4"/>
        <v>0</v>
      </c>
      <c r="M21" s="153">
        <f t="shared" si="3"/>
        <v>-361.43219999998837</v>
      </c>
      <c r="N21" s="53"/>
    </row>
    <row r="22" spans="1:14">
      <c r="A22" s="28">
        <v>17</v>
      </c>
      <c r="B22" s="29">
        <v>45794</v>
      </c>
      <c r="C22" s="19"/>
      <c r="D22" s="19"/>
      <c r="E22" s="46">
        <v>48.65</v>
      </c>
      <c r="F22" s="46">
        <v>91.47</v>
      </c>
      <c r="G22" s="46">
        <f t="shared" si="0"/>
        <v>4450.0154999999995</v>
      </c>
      <c r="H22" s="46">
        <v>12.38</v>
      </c>
      <c r="I22" s="46">
        <v>104.94</v>
      </c>
      <c r="J22" s="46">
        <f t="shared" si="1"/>
        <v>1299.1572000000001</v>
      </c>
      <c r="K22" s="46">
        <f t="shared" si="2"/>
        <v>5749.1726999999992</v>
      </c>
      <c r="L22" s="46">
        <v>0</v>
      </c>
      <c r="M22" s="153">
        <f t="shared" si="3"/>
        <v>5387.7405000000108</v>
      </c>
      <c r="N22" s="53"/>
    </row>
    <row r="23" spans="1:14">
      <c r="A23" s="28">
        <v>18</v>
      </c>
      <c r="B23" s="29">
        <v>45795</v>
      </c>
      <c r="C23" s="19"/>
      <c r="D23" s="19"/>
      <c r="E23" s="46">
        <v>55.72</v>
      </c>
      <c r="F23" s="46">
        <v>91.47</v>
      </c>
      <c r="G23" s="46">
        <f t="shared" si="0"/>
        <v>5096.7083999999995</v>
      </c>
      <c r="H23" s="46">
        <v>0</v>
      </c>
      <c r="I23" s="46">
        <v>0</v>
      </c>
      <c r="J23" s="46">
        <f t="shared" si="1"/>
        <v>0</v>
      </c>
      <c r="K23" s="46">
        <f t="shared" si="2"/>
        <v>5096.7083999999995</v>
      </c>
      <c r="L23" s="46">
        <v>0</v>
      </c>
      <c r="M23" s="153">
        <f t="shared" si="3"/>
        <v>10484.44890000001</v>
      </c>
      <c r="N23" s="53"/>
    </row>
    <row r="24" spans="1:14">
      <c r="A24" s="28">
        <v>19</v>
      </c>
      <c r="B24" s="29">
        <v>45796</v>
      </c>
      <c r="C24" s="19"/>
      <c r="D24" s="19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f t="shared" si="4"/>
        <v>0</v>
      </c>
      <c r="M24" s="153">
        <f t="shared" si="3"/>
        <v>10484.44890000001</v>
      </c>
      <c r="N24" s="53"/>
    </row>
    <row r="25" spans="1:14">
      <c r="A25" s="28">
        <v>20</v>
      </c>
      <c r="B25" s="29">
        <v>45797</v>
      </c>
      <c r="C25" s="19"/>
      <c r="D25" s="19"/>
      <c r="E25" s="46">
        <v>35.43</v>
      </c>
      <c r="F25" s="46">
        <v>91.47</v>
      </c>
      <c r="G25" s="46">
        <f t="shared" si="0"/>
        <v>3240.7820999999999</v>
      </c>
      <c r="H25" s="46">
        <v>0</v>
      </c>
      <c r="I25" s="46">
        <v>0</v>
      </c>
      <c r="J25" s="46">
        <f t="shared" si="1"/>
        <v>0</v>
      </c>
      <c r="K25" s="46">
        <f>G25+J25</f>
        <v>3240.7820999999999</v>
      </c>
      <c r="L25" s="46">
        <v>0</v>
      </c>
      <c r="M25" s="153">
        <f t="shared" si="3"/>
        <v>13725.231000000011</v>
      </c>
      <c r="N25" s="53"/>
    </row>
    <row r="26" spans="1:14">
      <c r="A26" s="28"/>
      <c r="B26" s="29">
        <v>45797</v>
      </c>
      <c r="C26" s="19"/>
      <c r="D26" s="19"/>
      <c r="E26" s="46">
        <v>42.19</v>
      </c>
      <c r="F26" s="46">
        <v>91.27</v>
      </c>
      <c r="G26" s="46">
        <f t="shared" si="0"/>
        <v>3850.6812999999997</v>
      </c>
      <c r="H26" s="46">
        <v>0</v>
      </c>
      <c r="I26" s="46">
        <v>0</v>
      </c>
      <c r="J26" s="46">
        <f t="shared" si="1"/>
        <v>0</v>
      </c>
      <c r="K26" s="46">
        <f>G26+J26</f>
        <v>3850.6812999999997</v>
      </c>
      <c r="L26" s="46">
        <v>3850</v>
      </c>
      <c r="M26" s="153">
        <f t="shared" si="3"/>
        <v>13725.912300000011</v>
      </c>
      <c r="N26" s="53"/>
    </row>
    <row r="27" spans="1:14">
      <c r="A27" s="28">
        <v>21</v>
      </c>
      <c r="B27" s="29">
        <v>45798</v>
      </c>
      <c r="C27" s="19"/>
      <c r="D27" s="19"/>
      <c r="E27" s="46">
        <v>74.61</v>
      </c>
      <c r="F27" s="46">
        <v>91.7</v>
      </c>
      <c r="G27" s="46">
        <f t="shared" si="0"/>
        <v>6841.7370000000001</v>
      </c>
      <c r="H27" s="46">
        <v>0</v>
      </c>
      <c r="I27" s="46">
        <v>0</v>
      </c>
      <c r="J27" s="46">
        <f t="shared" si="1"/>
        <v>0</v>
      </c>
      <c r="K27" s="46">
        <f t="shared" si="2"/>
        <v>6841.7370000000001</v>
      </c>
      <c r="L27" s="46">
        <f t="shared" si="4"/>
        <v>6841.7370000000001</v>
      </c>
      <c r="M27" s="153">
        <f t="shared" si="3"/>
        <v>13725.912300000011</v>
      </c>
      <c r="N27" s="53"/>
    </row>
    <row r="28" spans="1:14">
      <c r="A28" s="28">
        <v>22</v>
      </c>
      <c r="B28" s="29">
        <v>45799</v>
      </c>
      <c r="C28" s="19"/>
      <c r="D28" s="19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f t="shared" si="4"/>
        <v>0</v>
      </c>
      <c r="M28" s="153">
        <f t="shared" si="3"/>
        <v>13725.912300000011</v>
      </c>
      <c r="N28" s="53"/>
    </row>
    <row r="29" spans="1:14">
      <c r="A29" s="28">
        <v>23</v>
      </c>
      <c r="B29" s="29">
        <v>45800</v>
      </c>
      <c r="C29" s="19"/>
      <c r="D29" s="19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>
        <f t="shared" si="4"/>
        <v>0</v>
      </c>
      <c r="M29" s="153">
        <f t="shared" si="3"/>
        <v>13725.912300000011</v>
      </c>
      <c r="N29" s="53"/>
    </row>
    <row r="30" spans="1:14">
      <c r="A30" s="28">
        <v>24</v>
      </c>
      <c r="B30" s="29">
        <v>45801</v>
      </c>
      <c r="C30" s="19"/>
      <c r="D30" s="19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>
        <f t="shared" si="4"/>
        <v>0</v>
      </c>
      <c r="M30" s="153">
        <f t="shared" si="3"/>
        <v>13725.912300000011</v>
      </c>
      <c r="N30" s="53"/>
    </row>
    <row r="31" spans="1:14">
      <c r="A31" s="28">
        <v>25</v>
      </c>
      <c r="B31" s="29">
        <v>45802</v>
      </c>
      <c r="C31" s="19"/>
      <c r="D31" s="19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>
        <f t="shared" si="4"/>
        <v>0</v>
      </c>
      <c r="M31" s="153">
        <f t="shared" si="3"/>
        <v>13725.912300000011</v>
      </c>
      <c r="N31" s="53"/>
    </row>
    <row r="32" spans="1:14">
      <c r="A32" s="28">
        <v>26</v>
      </c>
      <c r="B32" s="29">
        <v>45803</v>
      </c>
      <c r="C32" s="19"/>
      <c r="D32" s="19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f t="shared" si="4"/>
        <v>0</v>
      </c>
      <c r="M32" s="153">
        <f t="shared" si="3"/>
        <v>13725.912300000011</v>
      </c>
      <c r="N32" s="53"/>
    </row>
    <row r="33" spans="1:14">
      <c r="A33" s="28">
        <v>27</v>
      </c>
      <c r="B33" s="29">
        <v>45804</v>
      </c>
      <c r="C33" s="19"/>
      <c r="D33" s="19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f t="shared" si="4"/>
        <v>0</v>
      </c>
      <c r="M33" s="153">
        <f t="shared" si="3"/>
        <v>13725.912300000011</v>
      </c>
      <c r="N33" s="53"/>
    </row>
    <row r="34" spans="1:14">
      <c r="A34" s="28">
        <v>28</v>
      </c>
      <c r="B34" s="29">
        <v>45805</v>
      </c>
      <c r="C34" s="19"/>
      <c r="D34" s="19"/>
      <c r="E34" s="46">
        <v>84.18</v>
      </c>
      <c r="F34" s="46">
        <v>91.96</v>
      </c>
      <c r="G34" s="46">
        <f t="shared" si="0"/>
        <v>7741.1927999999998</v>
      </c>
      <c r="H34" s="46">
        <v>0</v>
      </c>
      <c r="I34" s="46">
        <v>0</v>
      </c>
      <c r="J34" s="46">
        <f t="shared" si="1"/>
        <v>0</v>
      </c>
      <c r="K34" s="46">
        <f t="shared" si="2"/>
        <v>7741.1927999999998</v>
      </c>
      <c r="L34" s="46">
        <f t="shared" si="4"/>
        <v>7741.1927999999998</v>
      </c>
      <c r="M34" s="153">
        <f t="shared" si="3"/>
        <v>13725.912300000011</v>
      </c>
      <c r="N34" s="53"/>
    </row>
    <row r="35" spans="1:14">
      <c r="A35" s="28">
        <v>29</v>
      </c>
      <c r="B35" s="29">
        <v>45806</v>
      </c>
      <c r="C35" s="19"/>
      <c r="D35" s="19"/>
      <c r="E35" s="46">
        <v>25.87</v>
      </c>
      <c r="F35" s="46">
        <v>91.96</v>
      </c>
      <c r="G35" s="46">
        <f t="shared" si="0"/>
        <v>2379.0052000000001</v>
      </c>
      <c r="H35" s="46">
        <v>0</v>
      </c>
      <c r="I35" s="46">
        <v>0</v>
      </c>
      <c r="J35" s="46">
        <f t="shared" si="1"/>
        <v>0</v>
      </c>
      <c r="K35" s="46">
        <f t="shared" si="2"/>
        <v>2379.0052000000001</v>
      </c>
      <c r="L35" s="46">
        <f t="shared" si="4"/>
        <v>2379.0052000000001</v>
      </c>
      <c r="M35" s="153">
        <f t="shared" si="3"/>
        <v>13725.912300000011</v>
      </c>
      <c r="N35" s="53"/>
    </row>
    <row r="36" spans="1:14">
      <c r="A36" s="28">
        <v>30</v>
      </c>
      <c r="B36" s="29">
        <v>45807</v>
      </c>
      <c r="C36" s="109"/>
      <c r="D36" s="109"/>
      <c r="E36" s="46">
        <v>0</v>
      </c>
      <c r="F36" s="46">
        <v>0</v>
      </c>
      <c r="G36" s="46">
        <f t="shared" si="0"/>
        <v>0</v>
      </c>
      <c r="H36" s="46">
        <v>0</v>
      </c>
      <c r="I36" s="46">
        <v>0</v>
      </c>
      <c r="J36" s="46">
        <f t="shared" si="1"/>
        <v>0</v>
      </c>
      <c r="K36" s="46">
        <f t="shared" si="2"/>
        <v>0</v>
      </c>
      <c r="L36" s="46">
        <f t="shared" si="4"/>
        <v>0</v>
      </c>
      <c r="M36" s="153">
        <f t="shared" si="3"/>
        <v>13725.912300000011</v>
      </c>
      <c r="N36" s="278"/>
    </row>
    <row r="37" spans="1:14">
      <c r="A37" s="28">
        <v>31</v>
      </c>
      <c r="B37" s="29">
        <v>45808</v>
      </c>
      <c r="C37" s="19"/>
      <c r="D37" s="19"/>
      <c r="E37" s="46">
        <v>0</v>
      </c>
      <c r="F37" s="46">
        <v>0</v>
      </c>
      <c r="G37" s="46">
        <f t="shared" si="0"/>
        <v>0</v>
      </c>
      <c r="H37" s="46">
        <v>0</v>
      </c>
      <c r="I37" s="46">
        <v>0</v>
      </c>
      <c r="J37" s="46">
        <f t="shared" si="1"/>
        <v>0</v>
      </c>
      <c r="K37" s="46">
        <f t="shared" si="2"/>
        <v>0</v>
      </c>
      <c r="L37" s="46">
        <f t="shared" si="4"/>
        <v>0</v>
      </c>
      <c r="M37" s="153">
        <f t="shared" si="3"/>
        <v>13725.912300000011</v>
      </c>
      <c r="N37" s="53"/>
    </row>
    <row r="38" spans="1:14">
      <c r="A38" s="28">
        <v>32</v>
      </c>
      <c r="B38" s="29"/>
      <c r="C38" s="19"/>
      <c r="D38" s="19"/>
      <c r="E38" s="46">
        <v>0</v>
      </c>
      <c r="F38" s="46">
        <v>0</v>
      </c>
      <c r="G38" s="46">
        <f t="shared" ref="G5:G38" si="5">E38*F38</f>
        <v>0</v>
      </c>
      <c r="H38" s="46">
        <v>0</v>
      </c>
      <c r="I38" s="46">
        <v>0</v>
      </c>
      <c r="J38" s="46">
        <f t="shared" ref="J5:J38" si="6">H38*I38</f>
        <v>0</v>
      </c>
      <c r="K38" s="46">
        <f t="shared" si="2"/>
        <v>0</v>
      </c>
      <c r="L38" s="46">
        <f t="shared" ref="L5:L38" si="7">+K38</f>
        <v>0</v>
      </c>
      <c r="M38" s="153">
        <f t="shared" si="3"/>
        <v>13725.912300000011</v>
      </c>
      <c r="N38" s="53"/>
    </row>
    <row r="39" spans="1:14">
      <c r="A39" s="209"/>
      <c r="B39" s="209"/>
      <c r="C39" s="209"/>
      <c r="D39" s="209"/>
      <c r="E39" s="209">
        <f>SUM(E4:E38)</f>
        <v>856.7399999999999</v>
      </c>
      <c r="F39" s="209"/>
      <c r="G39" s="209">
        <f>SUM(G4:G38)</f>
        <v>78520.440799999997</v>
      </c>
      <c r="H39" s="209">
        <f>SUM(H4:H38)</f>
        <v>13.520000000000001</v>
      </c>
      <c r="I39" s="209"/>
      <c r="J39" s="209">
        <f>SUM(J4:J38)</f>
        <v>1419.4272000000001</v>
      </c>
      <c r="K39" s="209">
        <f>SUM(K4:K38)</f>
        <v>79939.868000000002</v>
      </c>
      <c r="L39" s="209">
        <f>SUM(L4:L38)</f>
        <v>70742.445699999997</v>
      </c>
      <c r="M39" s="209"/>
      <c r="N39" s="209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O39"/>
  <sheetViews>
    <sheetView tabSelected="1" workbookViewId="0">
      <pane ySplit="2" topLeftCell="A15" activePane="bottomLeft" state="frozen"/>
      <selection pane="bottomLeft" activeCell="M35" sqref="M35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7" customWidth="1"/>
  </cols>
  <sheetData>
    <row r="1" spans="1:15" ht="15.75" customHeight="1">
      <c r="A1" s="427" t="s">
        <v>62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65"/>
    </row>
    <row r="2" spans="1:15">
      <c r="A2" s="66" t="s">
        <v>99</v>
      </c>
      <c r="B2" s="67" t="s">
        <v>100</v>
      </c>
      <c r="C2" s="67" t="s">
        <v>101</v>
      </c>
      <c r="D2" s="67" t="s">
        <v>102</v>
      </c>
      <c r="E2" s="67" t="s">
        <v>103</v>
      </c>
      <c r="F2" s="67" t="s">
        <v>104</v>
      </c>
      <c r="G2" s="67" t="s">
        <v>105</v>
      </c>
      <c r="H2" s="67" t="s">
        <v>106</v>
      </c>
      <c r="I2" s="67" t="s">
        <v>104</v>
      </c>
      <c r="J2" s="68" t="s">
        <v>105</v>
      </c>
      <c r="K2" s="69" t="s">
        <v>107</v>
      </c>
      <c r="L2" s="70" t="s">
        <v>108</v>
      </c>
      <c r="M2" s="133" t="s">
        <v>115</v>
      </c>
      <c r="N2" s="71" t="s">
        <v>110</v>
      </c>
      <c r="O2" s="72"/>
    </row>
    <row r="3" spans="1:15">
      <c r="A3" s="149" t="s">
        <v>111</v>
      </c>
      <c r="B3" s="150"/>
      <c r="C3" s="150"/>
      <c r="D3" s="150"/>
      <c r="E3" s="150"/>
      <c r="F3" s="150"/>
      <c r="G3" s="150"/>
      <c r="H3" s="150"/>
      <c r="I3" s="150"/>
      <c r="J3" s="150"/>
      <c r="K3" s="150">
        <v>1670481.67</v>
      </c>
      <c r="L3" s="151"/>
      <c r="M3" s="154">
        <v>1670481.67</v>
      </c>
      <c r="O3" s="72"/>
    </row>
    <row r="4" spans="1:15">
      <c r="A4" s="55">
        <v>1</v>
      </c>
      <c r="B4" s="240">
        <v>45778</v>
      </c>
      <c r="C4" s="10">
        <v>0</v>
      </c>
      <c r="D4" s="20"/>
      <c r="E4" s="8">
        <v>0</v>
      </c>
      <c r="F4" s="8">
        <v>0</v>
      </c>
      <c r="G4" s="18">
        <f>E4*F4</f>
        <v>0</v>
      </c>
      <c r="H4" s="7">
        <v>0</v>
      </c>
      <c r="I4" s="7">
        <v>0</v>
      </c>
      <c r="J4" s="23">
        <f>H4*I4</f>
        <v>0</v>
      </c>
      <c r="K4" s="8">
        <f>G4+J4</f>
        <v>0</v>
      </c>
      <c r="L4" s="8"/>
      <c r="M4" s="8">
        <f>M3+K4-L4</f>
        <v>1670481.67</v>
      </c>
      <c r="N4" s="8"/>
      <c r="O4" s="1"/>
    </row>
    <row r="5" spans="1:15">
      <c r="A5" s="55">
        <v>2</v>
      </c>
      <c r="B5" s="240">
        <v>45779</v>
      </c>
      <c r="C5" s="10">
        <v>801</v>
      </c>
      <c r="D5" s="20"/>
      <c r="E5" s="8">
        <v>3000</v>
      </c>
      <c r="F5" s="8">
        <v>91.14</v>
      </c>
      <c r="G5" s="18">
        <f t="shared" ref="G5:G34" si="0">E5*F5</f>
        <v>273420</v>
      </c>
      <c r="H5" s="7">
        <v>0</v>
      </c>
      <c r="I5" s="7">
        <v>0</v>
      </c>
      <c r="J5" s="23">
        <f t="shared" ref="J5:J34" si="1">H5*I5</f>
        <v>0</v>
      </c>
      <c r="K5" s="8">
        <f t="shared" ref="K5:K6" si="2">G5+J5</f>
        <v>273420</v>
      </c>
      <c r="L5" s="8"/>
      <c r="M5" s="8">
        <f>M4+K5-L5</f>
        <v>1943901.67</v>
      </c>
      <c r="N5" s="8"/>
      <c r="O5" s="1"/>
    </row>
    <row r="6" spans="1:15">
      <c r="A6" s="55">
        <v>3</v>
      </c>
      <c r="B6" s="240">
        <v>45780</v>
      </c>
      <c r="C6" s="10">
        <v>0</v>
      </c>
      <c r="D6" s="20"/>
      <c r="E6" s="8">
        <v>0</v>
      </c>
      <c r="F6" s="8">
        <v>0</v>
      </c>
      <c r="G6" s="18">
        <f t="shared" si="0"/>
        <v>0</v>
      </c>
      <c r="H6" s="7">
        <v>0</v>
      </c>
      <c r="I6" s="7">
        <v>0</v>
      </c>
      <c r="J6" s="23">
        <f t="shared" si="1"/>
        <v>0</v>
      </c>
      <c r="K6" s="8">
        <f t="shared" si="2"/>
        <v>0</v>
      </c>
      <c r="L6" s="8"/>
      <c r="M6" s="8">
        <f>M5+K6-L6</f>
        <v>1943901.67</v>
      </c>
      <c r="N6" s="8"/>
      <c r="O6" s="1"/>
    </row>
    <row r="7" spans="1:15">
      <c r="A7" s="55">
        <v>4</v>
      </c>
      <c r="B7" s="240">
        <v>45781</v>
      </c>
      <c r="C7" s="10">
        <v>0</v>
      </c>
      <c r="D7" s="20"/>
      <c r="E7" s="8">
        <v>0</v>
      </c>
      <c r="F7" s="8">
        <v>0</v>
      </c>
      <c r="G7" s="18">
        <f t="shared" si="0"/>
        <v>0</v>
      </c>
      <c r="H7" s="7">
        <v>0</v>
      </c>
      <c r="I7" s="7">
        <v>0</v>
      </c>
      <c r="J7" s="23">
        <f t="shared" si="1"/>
        <v>0</v>
      </c>
      <c r="K7" s="8">
        <f t="shared" ref="K7:K34" si="3">G7+J7</f>
        <v>0</v>
      </c>
      <c r="L7" s="8"/>
      <c r="M7" s="8">
        <f>M6+K7-L7</f>
        <v>1943901.67</v>
      </c>
      <c r="N7" s="8"/>
      <c r="O7" s="1"/>
    </row>
    <row r="8" spans="1:15">
      <c r="A8" s="55">
        <v>5</v>
      </c>
      <c r="B8" s="240">
        <v>45782</v>
      </c>
      <c r="C8" s="10">
        <v>0</v>
      </c>
      <c r="D8" s="20"/>
      <c r="E8" s="8">
        <v>0</v>
      </c>
      <c r="F8" s="8">
        <v>0</v>
      </c>
      <c r="G8" s="18">
        <f t="shared" si="0"/>
        <v>0</v>
      </c>
      <c r="H8" s="7">
        <v>0</v>
      </c>
      <c r="I8" s="7">
        <v>0</v>
      </c>
      <c r="J8" s="23">
        <f t="shared" si="1"/>
        <v>0</v>
      </c>
      <c r="K8" s="8">
        <f t="shared" si="3"/>
        <v>0</v>
      </c>
      <c r="L8" s="8"/>
      <c r="M8" s="8">
        <f>M7+K8-L8</f>
        <v>1943901.67</v>
      </c>
      <c r="N8" s="8"/>
      <c r="O8" s="1"/>
    </row>
    <row r="9" spans="1:15">
      <c r="A9" s="55">
        <v>6</v>
      </c>
      <c r="B9" s="240">
        <v>45783</v>
      </c>
      <c r="C9" s="10">
        <v>805</v>
      </c>
      <c r="D9" s="20"/>
      <c r="E9" s="8">
        <v>2000</v>
      </c>
      <c r="F9" s="8">
        <v>91.14</v>
      </c>
      <c r="G9" s="18">
        <f t="shared" si="0"/>
        <v>182280</v>
      </c>
      <c r="H9" s="7">
        <v>0</v>
      </c>
      <c r="I9" s="7">
        <v>0</v>
      </c>
      <c r="J9" s="23">
        <f t="shared" si="1"/>
        <v>0</v>
      </c>
      <c r="K9" s="8">
        <f t="shared" si="3"/>
        <v>182280</v>
      </c>
      <c r="L9" s="8"/>
      <c r="M9" s="8">
        <f>M8+K9-L9</f>
        <v>2126181.67</v>
      </c>
      <c r="N9" s="8"/>
      <c r="O9" s="1"/>
    </row>
    <row r="10" spans="1:15">
      <c r="A10" s="55">
        <v>7</v>
      </c>
      <c r="B10" s="240">
        <v>45784</v>
      </c>
      <c r="C10" s="10">
        <v>0</v>
      </c>
      <c r="D10" s="20"/>
      <c r="E10" s="8">
        <v>3000</v>
      </c>
      <c r="F10" s="8">
        <v>91.14</v>
      </c>
      <c r="G10" s="18">
        <f t="shared" si="0"/>
        <v>273420</v>
      </c>
      <c r="H10" s="7">
        <v>0</v>
      </c>
      <c r="I10" s="7">
        <v>0</v>
      </c>
      <c r="J10" s="23">
        <f t="shared" si="1"/>
        <v>0</v>
      </c>
      <c r="K10" s="8">
        <f t="shared" si="3"/>
        <v>273420</v>
      </c>
      <c r="L10" s="8"/>
      <c r="M10" s="8">
        <f>M9+K10-L10</f>
        <v>2399601.67</v>
      </c>
      <c r="N10" s="8"/>
      <c r="O10" s="1"/>
    </row>
    <row r="11" spans="1:15">
      <c r="A11" s="55">
        <v>8</v>
      </c>
      <c r="B11" s="240">
        <v>45785</v>
      </c>
      <c r="C11" s="10">
        <v>0</v>
      </c>
      <c r="D11" s="20"/>
      <c r="E11" s="8">
        <v>0</v>
      </c>
      <c r="F11" s="8">
        <v>0</v>
      </c>
      <c r="G11" s="18">
        <f t="shared" si="0"/>
        <v>0</v>
      </c>
      <c r="H11" s="7">
        <v>0</v>
      </c>
      <c r="I11" s="7"/>
      <c r="J11" s="23">
        <f t="shared" si="1"/>
        <v>0</v>
      </c>
      <c r="K11" s="8">
        <f t="shared" si="3"/>
        <v>0</v>
      </c>
      <c r="L11" s="8"/>
      <c r="M11" s="8">
        <f>M10+K11-L11</f>
        <v>2399601.67</v>
      </c>
      <c r="N11" s="8"/>
      <c r="O11" s="1"/>
    </row>
    <row r="12" spans="1:15">
      <c r="A12" s="55">
        <v>9</v>
      </c>
      <c r="B12" s="240">
        <v>45786</v>
      </c>
      <c r="C12" s="10">
        <v>0</v>
      </c>
      <c r="D12" s="20"/>
      <c r="E12" s="8">
        <v>0</v>
      </c>
      <c r="F12" s="8">
        <v>0</v>
      </c>
      <c r="G12" s="18">
        <f t="shared" si="0"/>
        <v>0</v>
      </c>
      <c r="H12" s="7">
        <v>20</v>
      </c>
      <c r="I12" s="7">
        <v>104.6</v>
      </c>
      <c r="J12" s="23">
        <f t="shared" si="1"/>
        <v>2092</v>
      </c>
      <c r="K12" s="8">
        <f t="shared" si="3"/>
        <v>2092</v>
      </c>
      <c r="L12" s="8"/>
      <c r="M12" s="8">
        <f>M11+K12-L12</f>
        <v>2401693.67</v>
      </c>
      <c r="N12" s="8"/>
      <c r="O12" s="1"/>
    </row>
    <row r="13" spans="1:15">
      <c r="A13" s="55">
        <v>10</v>
      </c>
      <c r="B13" s="240">
        <v>45787</v>
      </c>
      <c r="C13" s="10">
        <v>0</v>
      </c>
      <c r="D13" s="20"/>
      <c r="E13" s="8">
        <v>0</v>
      </c>
      <c r="F13" s="8">
        <v>0</v>
      </c>
      <c r="G13" s="18">
        <f t="shared" si="0"/>
        <v>0</v>
      </c>
      <c r="H13" s="7">
        <v>0</v>
      </c>
      <c r="I13" s="7">
        <v>0</v>
      </c>
      <c r="J13" s="23">
        <f t="shared" si="1"/>
        <v>0</v>
      </c>
      <c r="K13" s="8">
        <f t="shared" si="3"/>
        <v>0</v>
      </c>
      <c r="L13" s="8"/>
      <c r="M13" s="211">
        <f>M12+K13-L13</f>
        <v>2401693.67</v>
      </c>
      <c r="N13" s="8"/>
      <c r="O13" s="1"/>
    </row>
    <row r="14" spans="1:15">
      <c r="A14" s="55">
        <v>11</v>
      </c>
      <c r="B14" s="240">
        <v>45788</v>
      </c>
      <c r="C14" s="10">
        <v>0</v>
      </c>
      <c r="D14" s="20"/>
      <c r="E14" s="8">
        <v>4000</v>
      </c>
      <c r="F14" s="8">
        <v>91.14</v>
      </c>
      <c r="G14" s="18">
        <f t="shared" si="0"/>
        <v>364560</v>
      </c>
      <c r="H14" s="7">
        <v>0</v>
      </c>
      <c r="I14" s="7">
        <v>0</v>
      </c>
      <c r="J14" s="23">
        <f t="shared" si="1"/>
        <v>0</v>
      </c>
      <c r="K14" s="8">
        <f t="shared" si="3"/>
        <v>364560</v>
      </c>
      <c r="L14" s="8"/>
      <c r="M14" s="8">
        <f>M13+K14-L14</f>
        <v>2766253.67</v>
      </c>
      <c r="N14" s="229"/>
      <c r="O14" s="1"/>
    </row>
    <row r="15" spans="1:15">
      <c r="A15" s="55">
        <v>12</v>
      </c>
      <c r="B15" s="240">
        <v>45789</v>
      </c>
      <c r="C15" s="10">
        <v>0</v>
      </c>
      <c r="D15" s="20"/>
      <c r="E15" s="8">
        <v>0</v>
      </c>
      <c r="F15" s="8">
        <v>0</v>
      </c>
      <c r="G15" s="18">
        <f t="shared" si="0"/>
        <v>0</v>
      </c>
      <c r="H15" s="7">
        <v>0</v>
      </c>
      <c r="I15" s="7">
        <v>0</v>
      </c>
      <c r="J15" s="23">
        <f t="shared" si="1"/>
        <v>0</v>
      </c>
      <c r="K15" s="8">
        <f t="shared" si="3"/>
        <v>0</v>
      </c>
      <c r="L15" s="8"/>
      <c r="M15" s="8">
        <f>M14+K15-L15</f>
        <v>2766253.67</v>
      </c>
      <c r="N15" s="229"/>
      <c r="O15" s="1"/>
    </row>
    <row r="16" spans="1:15">
      <c r="A16" s="55">
        <v>13</v>
      </c>
      <c r="B16" s="240">
        <v>45790</v>
      </c>
      <c r="C16" s="10">
        <v>0</v>
      </c>
      <c r="D16" s="20"/>
      <c r="E16" s="8">
        <v>1750</v>
      </c>
      <c r="F16" s="8">
        <v>91.14</v>
      </c>
      <c r="G16" s="18">
        <f t="shared" si="0"/>
        <v>159495</v>
      </c>
      <c r="H16" s="7">
        <v>0</v>
      </c>
      <c r="I16" s="7">
        <v>0</v>
      </c>
      <c r="J16" s="23">
        <f t="shared" si="1"/>
        <v>0</v>
      </c>
      <c r="K16" s="8">
        <f t="shared" si="3"/>
        <v>159495</v>
      </c>
      <c r="L16" s="8"/>
      <c r="M16" s="8">
        <f t="shared" ref="M16:M35" si="4">M15+K16-L16</f>
        <v>2925748.67</v>
      </c>
      <c r="N16" s="229"/>
      <c r="O16" s="1"/>
    </row>
    <row r="17" spans="1:15">
      <c r="A17" s="55">
        <v>14</v>
      </c>
      <c r="B17" s="240">
        <v>45791</v>
      </c>
      <c r="C17" s="10">
        <v>0</v>
      </c>
      <c r="D17" s="20"/>
      <c r="E17" s="8">
        <v>3000</v>
      </c>
      <c r="F17" s="8">
        <v>91.14</v>
      </c>
      <c r="G17" s="18">
        <f t="shared" si="0"/>
        <v>273420</v>
      </c>
      <c r="H17" s="7">
        <v>0</v>
      </c>
      <c r="I17" s="7">
        <v>0</v>
      </c>
      <c r="J17" s="23">
        <f t="shared" si="1"/>
        <v>0</v>
      </c>
      <c r="K17" s="8">
        <f t="shared" si="3"/>
        <v>273420</v>
      </c>
      <c r="L17" s="8"/>
      <c r="M17" s="8">
        <f t="shared" si="4"/>
        <v>3199168.67</v>
      </c>
      <c r="N17" s="229"/>
      <c r="O17" s="1"/>
    </row>
    <row r="18" spans="1:15">
      <c r="A18" s="55">
        <v>15</v>
      </c>
      <c r="B18" s="240">
        <v>45792</v>
      </c>
      <c r="C18" s="10">
        <v>0</v>
      </c>
      <c r="D18" s="20"/>
      <c r="E18" s="8">
        <v>0</v>
      </c>
      <c r="F18" s="8">
        <v>0</v>
      </c>
      <c r="G18" s="18">
        <f t="shared" si="0"/>
        <v>0</v>
      </c>
      <c r="H18" s="7">
        <v>0</v>
      </c>
      <c r="I18" s="7">
        <v>0</v>
      </c>
      <c r="J18" s="23">
        <f t="shared" si="1"/>
        <v>0</v>
      </c>
      <c r="K18" s="8">
        <f t="shared" si="3"/>
        <v>0</v>
      </c>
      <c r="L18" s="8"/>
      <c r="M18" s="8">
        <f t="shared" si="4"/>
        <v>3199168.67</v>
      </c>
      <c r="N18" s="229"/>
      <c r="O18" s="1"/>
    </row>
    <row r="19" spans="1:15">
      <c r="A19" s="55">
        <v>16</v>
      </c>
      <c r="B19" s="240">
        <v>45793</v>
      </c>
      <c r="C19" s="10">
        <v>0</v>
      </c>
      <c r="D19" s="20"/>
      <c r="E19" s="8">
        <v>0</v>
      </c>
      <c r="F19" s="8">
        <v>0</v>
      </c>
      <c r="G19" s="18">
        <f t="shared" si="0"/>
        <v>0</v>
      </c>
      <c r="H19" s="7">
        <v>0</v>
      </c>
      <c r="I19" s="7">
        <v>0</v>
      </c>
      <c r="J19" s="23">
        <f t="shared" si="1"/>
        <v>0</v>
      </c>
      <c r="K19" s="8">
        <f t="shared" si="3"/>
        <v>0</v>
      </c>
      <c r="L19" s="8"/>
      <c r="M19" s="8">
        <f t="shared" si="4"/>
        <v>3199168.67</v>
      </c>
      <c r="N19" s="229"/>
      <c r="O19" s="1"/>
    </row>
    <row r="20" spans="1:15">
      <c r="A20" s="55">
        <v>17</v>
      </c>
      <c r="B20" s="240">
        <v>45794</v>
      </c>
      <c r="C20" s="10">
        <v>0</v>
      </c>
      <c r="D20" s="20"/>
      <c r="E20" s="8">
        <v>1000</v>
      </c>
      <c r="F20" s="8">
        <v>91.14</v>
      </c>
      <c r="G20" s="18">
        <f t="shared" si="0"/>
        <v>91140</v>
      </c>
      <c r="H20" s="7">
        <v>20</v>
      </c>
      <c r="I20" s="7">
        <v>104.6</v>
      </c>
      <c r="J20" s="23">
        <f t="shared" si="1"/>
        <v>2092</v>
      </c>
      <c r="K20" s="8">
        <f t="shared" si="3"/>
        <v>93232</v>
      </c>
      <c r="L20" s="8">
        <v>2000000</v>
      </c>
      <c r="M20" s="8">
        <f t="shared" si="4"/>
        <v>1292400.67</v>
      </c>
      <c r="N20" s="229"/>
      <c r="O20" s="1"/>
    </row>
    <row r="21" spans="1:15">
      <c r="A21" s="55">
        <v>18</v>
      </c>
      <c r="B21" s="240">
        <v>45795</v>
      </c>
      <c r="C21" s="10">
        <v>0</v>
      </c>
      <c r="D21" s="20"/>
      <c r="E21" s="8">
        <v>2000</v>
      </c>
      <c r="F21" s="8">
        <v>91.14</v>
      </c>
      <c r="G21" s="18">
        <f t="shared" si="0"/>
        <v>182280</v>
      </c>
      <c r="H21" s="7">
        <v>35</v>
      </c>
      <c r="I21" s="7">
        <v>104.6</v>
      </c>
      <c r="J21" s="23">
        <f t="shared" si="1"/>
        <v>3661</v>
      </c>
      <c r="K21" s="8">
        <f t="shared" si="3"/>
        <v>185941</v>
      </c>
      <c r="L21" s="8"/>
      <c r="M21" s="8">
        <f t="shared" si="4"/>
        <v>1478341.67</v>
      </c>
      <c r="N21" s="229"/>
      <c r="O21" s="1"/>
    </row>
    <row r="22" spans="1:15">
      <c r="A22" s="55">
        <v>19</v>
      </c>
      <c r="B22" s="240">
        <v>45796</v>
      </c>
      <c r="C22" s="10">
        <v>0</v>
      </c>
      <c r="D22" s="20"/>
      <c r="E22" s="8">
        <v>1000</v>
      </c>
      <c r="F22" s="8">
        <v>91.14</v>
      </c>
      <c r="G22" s="18">
        <f t="shared" si="0"/>
        <v>91140</v>
      </c>
      <c r="H22" s="7">
        <v>0</v>
      </c>
      <c r="I22" s="7">
        <v>0</v>
      </c>
      <c r="J22" s="23">
        <f t="shared" si="1"/>
        <v>0</v>
      </c>
      <c r="K22" s="8">
        <f t="shared" si="3"/>
        <v>91140</v>
      </c>
      <c r="L22" s="8"/>
      <c r="M22" s="8">
        <f t="shared" si="4"/>
        <v>1569481.67</v>
      </c>
      <c r="N22" s="229"/>
      <c r="O22" s="1"/>
    </row>
    <row r="23" spans="1:15">
      <c r="A23" s="55">
        <v>20</v>
      </c>
      <c r="B23" s="240">
        <v>45797</v>
      </c>
      <c r="C23" s="10">
        <v>0</v>
      </c>
      <c r="D23" s="20"/>
      <c r="E23" s="8">
        <v>3000</v>
      </c>
      <c r="F23" s="8">
        <v>91.14</v>
      </c>
      <c r="G23" s="18">
        <f t="shared" si="0"/>
        <v>273420</v>
      </c>
      <c r="H23" s="7">
        <v>0</v>
      </c>
      <c r="I23" s="7">
        <v>0</v>
      </c>
      <c r="J23" s="23">
        <f t="shared" si="1"/>
        <v>0</v>
      </c>
      <c r="K23" s="8">
        <f t="shared" si="3"/>
        <v>273420</v>
      </c>
      <c r="L23" s="8"/>
      <c r="M23" s="8">
        <f t="shared" si="4"/>
        <v>1842901.67</v>
      </c>
      <c r="N23" s="229"/>
      <c r="O23" s="1"/>
    </row>
    <row r="24" spans="1:15">
      <c r="A24" s="55">
        <v>21</v>
      </c>
      <c r="B24" s="240">
        <v>45798</v>
      </c>
      <c r="C24" s="10">
        <v>0</v>
      </c>
      <c r="D24" s="20"/>
      <c r="E24" s="8">
        <v>1700</v>
      </c>
      <c r="F24" s="8">
        <v>91.14</v>
      </c>
      <c r="G24" s="18">
        <f t="shared" si="0"/>
        <v>154938</v>
      </c>
      <c r="H24" s="7">
        <v>0</v>
      </c>
      <c r="I24" s="7">
        <v>0</v>
      </c>
      <c r="J24" s="23">
        <f t="shared" si="1"/>
        <v>0</v>
      </c>
      <c r="K24" s="8">
        <f t="shared" si="3"/>
        <v>154938</v>
      </c>
      <c r="L24" s="8"/>
      <c r="M24" s="8">
        <f t="shared" si="4"/>
        <v>1997839.67</v>
      </c>
      <c r="N24" s="229"/>
      <c r="O24" s="1"/>
    </row>
    <row r="25" spans="1:15">
      <c r="A25" s="55">
        <v>22</v>
      </c>
      <c r="B25" s="240">
        <v>45799</v>
      </c>
      <c r="C25" s="10">
        <v>0</v>
      </c>
      <c r="D25" s="20"/>
      <c r="E25" s="8">
        <v>4000</v>
      </c>
      <c r="F25" s="8">
        <v>91.14</v>
      </c>
      <c r="G25" s="18">
        <f t="shared" si="0"/>
        <v>364560</v>
      </c>
      <c r="H25" s="7">
        <v>0</v>
      </c>
      <c r="I25" s="7">
        <v>0</v>
      </c>
      <c r="J25" s="23">
        <f t="shared" si="1"/>
        <v>0</v>
      </c>
      <c r="K25" s="8">
        <f t="shared" si="3"/>
        <v>364560</v>
      </c>
      <c r="L25" s="8"/>
      <c r="M25" s="8">
        <f t="shared" si="4"/>
        <v>2362399.67</v>
      </c>
      <c r="N25" s="229"/>
      <c r="O25" s="1"/>
    </row>
    <row r="26" spans="1:15">
      <c r="A26" s="55">
        <v>23</v>
      </c>
      <c r="B26" s="240">
        <v>45800</v>
      </c>
      <c r="C26" s="10">
        <v>0</v>
      </c>
      <c r="D26" s="20"/>
      <c r="E26" s="8">
        <v>0</v>
      </c>
      <c r="F26" s="8">
        <v>0</v>
      </c>
      <c r="G26" s="18">
        <f t="shared" si="0"/>
        <v>0</v>
      </c>
      <c r="H26" s="7">
        <v>0</v>
      </c>
      <c r="I26" s="7">
        <v>0</v>
      </c>
      <c r="J26" s="23">
        <f t="shared" si="1"/>
        <v>0</v>
      </c>
      <c r="K26" s="8">
        <f t="shared" si="3"/>
        <v>0</v>
      </c>
      <c r="L26" s="8"/>
      <c r="M26" s="8">
        <f t="shared" si="4"/>
        <v>2362399.67</v>
      </c>
      <c r="N26" s="229"/>
      <c r="O26" s="1"/>
    </row>
    <row r="27" spans="1:15">
      <c r="A27" s="55">
        <v>24</v>
      </c>
      <c r="B27" s="240">
        <v>45801</v>
      </c>
      <c r="C27" s="10">
        <v>0</v>
      </c>
      <c r="D27" s="20"/>
      <c r="E27" s="8">
        <v>0</v>
      </c>
      <c r="F27" s="8">
        <v>0</v>
      </c>
      <c r="G27" s="18">
        <f t="shared" si="0"/>
        <v>0</v>
      </c>
      <c r="H27" s="7">
        <v>0</v>
      </c>
      <c r="I27" s="7">
        <v>0</v>
      </c>
      <c r="J27" s="23">
        <f t="shared" si="1"/>
        <v>0</v>
      </c>
      <c r="K27" s="8">
        <f t="shared" si="3"/>
        <v>0</v>
      </c>
      <c r="L27" s="8"/>
      <c r="M27" s="8">
        <f t="shared" si="4"/>
        <v>2362399.67</v>
      </c>
      <c r="N27" s="229"/>
      <c r="O27" s="1"/>
    </row>
    <row r="28" spans="1:15">
      <c r="A28" s="55">
        <v>25</v>
      </c>
      <c r="B28" s="240">
        <v>45802</v>
      </c>
      <c r="C28" s="10">
        <v>0</v>
      </c>
      <c r="D28" s="20"/>
      <c r="E28" s="8">
        <v>0</v>
      </c>
      <c r="F28" s="8">
        <v>0</v>
      </c>
      <c r="G28" s="18">
        <f t="shared" si="0"/>
        <v>0</v>
      </c>
      <c r="H28" s="7">
        <v>0</v>
      </c>
      <c r="I28" s="7">
        <v>0</v>
      </c>
      <c r="J28" s="23">
        <f t="shared" si="1"/>
        <v>0</v>
      </c>
      <c r="K28" s="8">
        <f t="shared" si="3"/>
        <v>0</v>
      </c>
      <c r="L28" s="8"/>
      <c r="M28" s="8">
        <f t="shared" si="4"/>
        <v>2362399.67</v>
      </c>
      <c r="N28" s="229"/>
      <c r="O28" s="1"/>
    </row>
    <row r="29" spans="1:15">
      <c r="A29" s="55">
        <v>26</v>
      </c>
      <c r="B29" s="240">
        <v>45803</v>
      </c>
      <c r="C29" s="10">
        <v>0</v>
      </c>
      <c r="D29" s="20"/>
      <c r="E29" s="8">
        <v>0</v>
      </c>
      <c r="F29" s="8">
        <v>0</v>
      </c>
      <c r="G29" s="18">
        <f t="shared" si="0"/>
        <v>0</v>
      </c>
      <c r="H29" s="7">
        <v>0</v>
      </c>
      <c r="I29" s="7">
        <v>0</v>
      </c>
      <c r="J29" s="23">
        <f t="shared" si="1"/>
        <v>0</v>
      </c>
      <c r="K29" s="8">
        <f t="shared" si="3"/>
        <v>0</v>
      </c>
      <c r="L29" s="8"/>
      <c r="M29" s="8">
        <f t="shared" si="4"/>
        <v>2362399.67</v>
      </c>
      <c r="N29" s="229"/>
      <c r="O29" s="1"/>
    </row>
    <row r="30" spans="1:15">
      <c r="A30" s="55">
        <v>27</v>
      </c>
      <c r="B30" s="240">
        <v>45804</v>
      </c>
      <c r="C30" s="10">
        <v>0</v>
      </c>
      <c r="D30" s="20"/>
      <c r="E30" s="8">
        <v>0</v>
      </c>
      <c r="F30" s="8">
        <v>0</v>
      </c>
      <c r="G30" s="18">
        <f t="shared" si="0"/>
        <v>0</v>
      </c>
      <c r="H30" s="7">
        <v>0</v>
      </c>
      <c r="I30" s="7">
        <v>0</v>
      </c>
      <c r="J30" s="23">
        <f t="shared" si="1"/>
        <v>0</v>
      </c>
      <c r="K30" s="8">
        <f t="shared" si="3"/>
        <v>0</v>
      </c>
      <c r="L30" s="8"/>
      <c r="M30" s="8">
        <f t="shared" si="4"/>
        <v>2362399.67</v>
      </c>
      <c r="N30" s="229"/>
      <c r="O30" s="1"/>
    </row>
    <row r="31" spans="1:15">
      <c r="A31" s="55">
        <v>28</v>
      </c>
      <c r="B31" s="240">
        <v>45805</v>
      </c>
      <c r="C31" s="10">
        <v>0</v>
      </c>
      <c r="D31" s="20"/>
      <c r="E31" s="8">
        <v>3000</v>
      </c>
      <c r="F31" s="8">
        <v>91.14</v>
      </c>
      <c r="G31" s="18">
        <f t="shared" si="0"/>
        <v>273420</v>
      </c>
      <c r="H31" s="7">
        <v>0</v>
      </c>
      <c r="I31" s="7">
        <v>0</v>
      </c>
      <c r="J31" s="23">
        <f t="shared" si="1"/>
        <v>0</v>
      </c>
      <c r="K31" s="8">
        <f>G31+J31</f>
        <v>273420</v>
      </c>
      <c r="L31" s="8">
        <v>2360449</v>
      </c>
      <c r="M31" s="8">
        <f t="shared" si="4"/>
        <v>275370.66999999993</v>
      </c>
      <c r="N31" s="229"/>
      <c r="O31" s="1"/>
    </row>
    <row r="32" spans="1:15">
      <c r="A32" s="234"/>
      <c r="B32" s="240">
        <v>45805</v>
      </c>
      <c r="C32" s="10"/>
      <c r="D32" s="20"/>
      <c r="E32" s="8">
        <v>16.54</v>
      </c>
      <c r="F32" s="8">
        <v>90.68</v>
      </c>
      <c r="G32" s="18">
        <f t="shared" si="0"/>
        <v>1499.8471999999999</v>
      </c>
      <c r="H32" s="7"/>
      <c r="I32" s="7"/>
      <c r="J32" s="23"/>
      <c r="K32" s="8">
        <f>G32+J32</f>
        <v>1499.8471999999999</v>
      </c>
      <c r="L32" s="8">
        <v>1499.85</v>
      </c>
      <c r="M32" s="8">
        <f t="shared" si="4"/>
        <v>275370.66719999997</v>
      </c>
      <c r="N32" s="229"/>
      <c r="O32" s="1"/>
    </row>
    <row r="33" spans="1:15">
      <c r="A33" s="234">
        <v>29</v>
      </c>
      <c r="B33" s="240">
        <v>45806</v>
      </c>
      <c r="C33" s="10">
        <v>0</v>
      </c>
      <c r="D33" s="20"/>
      <c r="E33" s="8">
        <v>1900</v>
      </c>
      <c r="F33" s="8">
        <v>91.14</v>
      </c>
      <c r="G33" s="18">
        <f t="shared" si="0"/>
        <v>173166</v>
      </c>
      <c r="H33" s="7">
        <v>20</v>
      </c>
      <c r="I33" s="7">
        <v>104.6</v>
      </c>
      <c r="J33" s="23">
        <f t="shared" si="1"/>
        <v>2092</v>
      </c>
      <c r="K33" s="8">
        <f t="shared" si="3"/>
        <v>175258</v>
      </c>
      <c r="L33" s="8"/>
      <c r="M33" s="8">
        <f t="shared" si="4"/>
        <v>450628.66719999997</v>
      </c>
      <c r="N33" s="229"/>
      <c r="O33" s="1"/>
    </row>
    <row r="34" spans="1:15">
      <c r="A34" s="234">
        <v>30</v>
      </c>
      <c r="B34" s="240">
        <v>45807</v>
      </c>
      <c r="C34" s="331">
        <v>0</v>
      </c>
      <c r="D34" s="332"/>
      <c r="E34" s="211">
        <v>0</v>
      </c>
      <c r="F34" s="211">
        <v>0</v>
      </c>
      <c r="G34" s="334">
        <f t="shared" si="0"/>
        <v>0</v>
      </c>
      <c r="H34" s="335">
        <v>0</v>
      </c>
      <c r="I34" s="335">
        <v>0</v>
      </c>
      <c r="J34" s="336">
        <f t="shared" si="1"/>
        <v>0</v>
      </c>
      <c r="K34" s="211">
        <f t="shared" si="3"/>
        <v>0</v>
      </c>
      <c r="L34" s="211"/>
      <c r="M34" s="8">
        <f t="shared" si="4"/>
        <v>450628.66719999997</v>
      </c>
      <c r="N34" s="229"/>
      <c r="O34" s="1"/>
    </row>
    <row r="35" spans="1:15">
      <c r="A35" s="234">
        <v>31</v>
      </c>
      <c r="B35" s="240">
        <v>45808</v>
      </c>
      <c r="C35" s="27"/>
      <c r="D35" s="20"/>
      <c r="E35" s="333"/>
      <c r="F35" s="8"/>
      <c r="G35" s="8"/>
      <c r="H35" s="8"/>
      <c r="I35" s="8"/>
      <c r="J35" s="8"/>
      <c r="K35" s="8"/>
      <c r="L35" s="8"/>
      <c r="M35" s="8">
        <f t="shared" si="4"/>
        <v>450628.66719999997</v>
      </c>
      <c r="N35" s="229"/>
      <c r="O35" s="1"/>
    </row>
    <row r="36" spans="1:15">
      <c r="A36" s="184"/>
      <c r="B36" s="184"/>
      <c r="C36" s="184"/>
      <c r="D36" s="184"/>
      <c r="E36" s="185">
        <f>SUM(E4:E35)</f>
        <v>34366.54</v>
      </c>
      <c r="F36" s="185"/>
      <c r="G36" s="185">
        <f>SUM(G4:G35)</f>
        <v>3132158.8472000002</v>
      </c>
      <c r="H36" s="185">
        <f>SUM(H4:H35)</f>
        <v>95</v>
      </c>
      <c r="I36" s="185"/>
      <c r="J36" s="185">
        <f>SUM(J4:J35)</f>
        <v>9937</v>
      </c>
      <c r="K36" s="185">
        <f>SUM(K4:K35)</f>
        <v>3142095.8472000002</v>
      </c>
      <c r="L36" s="185">
        <f>SUM(L4:L35)</f>
        <v>4361948.8499999996</v>
      </c>
      <c r="M36" s="185"/>
      <c r="N36" s="76"/>
      <c r="O36" s="72"/>
    </row>
    <row r="37" spans="1:15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5">
      <c r="A38" s="1"/>
      <c r="B38" s="426"/>
      <c r="C38" s="426"/>
      <c r="D38" s="426"/>
      <c r="E38" s="426"/>
      <c r="F38" s="1"/>
      <c r="G38" s="1"/>
      <c r="H38" s="1"/>
      <c r="I38" s="426"/>
      <c r="J38" s="426"/>
      <c r="K38" s="426"/>
      <c r="L38" s="426"/>
      <c r="M38" s="426"/>
      <c r="N38" s="42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Q49"/>
  <sheetViews>
    <sheetView workbookViewId="0">
      <pane ySplit="2" topLeftCell="A3" activePane="bottomLeft" state="frozen"/>
      <selection pane="bottomLeft" activeCell="T15" sqref="T15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71093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35" t="s">
        <v>64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65"/>
    </row>
    <row r="2" spans="1:15" ht="18" customHeight="1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77" t="s">
        <v>107</v>
      </c>
      <c r="L2" s="99" t="s">
        <v>108</v>
      </c>
      <c r="M2" s="190" t="s">
        <v>115</v>
      </c>
      <c r="N2" s="97" t="s">
        <v>110</v>
      </c>
      <c r="O2" s="72"/>
    </row>
    <row r="3" spans="1:15" ht="18" customHeight="1">
      <c r="A3" s="168"/>
      <c r="B3" s="169"/>
      <c r="C3" s="169"/>
      <c r="D3" s="149" t="s">
        <v>111</v>
      </c>
      <c r="E3" s="169"/>
      <c r="F3" s="169"/>
      <c r="G3" s="169"/>
      <c r="H3" s="169"/>
      <c r="I3" s="169"/>
      <c r="J3" s="170"/>
      <c r="K3" s="168">
        <v>0</v>
      </c>
      <c r="L3" s="171">
        <v>0</v>
      </c>
      <c r="M3" s="171">
        <v>90058</v>
      </c>
      <c r="N3" s="169"/>
      <c r="O3" s="72"/>
    </row>
    <row r="4" spans="1:15">
      <c r="A4" s="55">
        <v>1</v>
      </c>
      <c r="B4" s="240">
        <v>45778</v>
      </c>
      <c r="C4" s="27"/>
      <c r="D4" s="27"/>
      <c r="E4" s="8">
        <v>0</v>
      </c>
      <c r="F4" s="8">
        <v>91.47</v>
      </c>
      <c r="G4" s="8">
        <f>E4*F4</f>
        <v>0</v>
      </c>
      <c r="H4" s="9">
        <v>0</v>
      </c>
      <c r="I4" s="9">
        <v>103.43</v>
      </c>
      <c r="J4" s="8">
        <f>H4*I4</f>
        <v>0</v>
      </c>
      <c r="K4" s="8">
        <f>G4+J4</f>
        <v>0</v>
      </c>
      <c r="L4" s="171">
        <v>0</v>
      </c>
      <c r="M4" s="8">
        <f>M3+K4-L4</f>
        <v>90058</v>
      </c>
      <c r="N4" s="53"/>
      <c r="O4" s="1"/>
    </row>
    <row r="5" spans="1:15">
      <c r="A5" s="55">
        <v>2</v>
      </c>
      <c r="B5" s="240">
        <v>45779</v>
      </c>
      <c r="C5" s="27"/>
      <c r="D5" s="27"/>
      <c r="E5" s="8">
        <v>217</v>
      </c>
      <c r="F5" s="8">
        <v>91.47</v>
      </c>
      <c r="G5" s="8">
        <f>E5*F5</f>
        <v>19848.989999999998</v>
      </c>
      <c r="H5" s="9">
        <v>18</v>
      </c>
      <c r="I5" s="9">
        <v>103.43</v>
      </c>
      <c r="J5" s="8">
        <f t="shared" ref="J5:J34" si="0">H5*I5</f>
        <v>1861.7400000000002</v>
      </c>
      <c r="K5" s="8">
        <f t="shared" ref="K5:K34" si="1">G5+J5</f>
        <v>21710.73</v>
      </c>
      <c r="L5" s="171">
        <v>0</v>
      </c>
      <c r="M5" s="8">
        <f t="shared" ref="M5:M34" si="2">M4+K5-L5</f>
        <v>111768.73</v>
      </c>
      <c r="N5" s="53"/>
      <c r="O5" s="1"/>
    </row>
    <row r="6" spans="1:15">
      <c r="A6" s="55">
        <v>3</v>
      </c>
      <c r="B6" s="240">
        <v>45780</v>
      </c>
      <c r="C6" s="27"/>
      <c r="D6" s="27"/>
      <c r="E6" s="8">
        <v>0</v>
      </c>
      <c r="F6" s="8">
        <v>0</v>
      </c>
      <c r="G6" s="8">
        <f>E6*F6</f>
        <v>0</v>
      </c>
      <c r="H6" s="9">
        <v>0</v>
      </c>
      <c r="I6" s="9">
        <v>103.43</v>
      </c>
      <c r="J6" s="8">
        <f>H6*I6</f>
        <v>0</v>
      </c>
      <c r="K6" s="8">
        <f>G6+J6</f>
        <v>0</v>
      </c>
      <c r="L6" s="171">
        <v>0</v>
      </c>
      <c r="M6" s="8">
        <f t="shared" si="2"/>
        <v>111768.73</v>
      </c>
      <c r="N6" s="53"/>
      <c r="O6" s="1"/>
    </row>
    <row r="7" spans="1:15">
      <c r="A7" s="55">
        <v>4</v>
      </c>
      <c r="B7" s="240">
        <v>45781</v>
      </c>
      <c r="C7" s="27"/>
      <c r="D7" s="27"/>
      <c r="E7" s="8">
        <v>40</v>
      </c>
      <c r="F7" s="8">
        <v>91.47</v>
      </c>
      <c r="G7" s="8">
        <f>E7*F7</f>
        <v>3658.8</v>
      </c>
      <c r="H7" s="9">
        <v>0</v>
      </c>
      <c r="I7" s="9">
        <v>103.43</v>
      </c>
      <c r="J7" s="8">
        <f>H7*I7</f>
        <v>0</v>
      </c>
      <c r="K7" s="8">
        <f>G7+J7</f>
        <v>3658.8</v>
      </c>
      <c r="L7" s="171">
        <v>0</v>
      </c>
      <c r="M7" s="8">
        <f t="shared" si="2"/>
        <v>115427.53</v>
      </c>
      <c r="N7" s="53"/>
      <c r="O7" s="1"/>
    </row>
    <row r="8" spans="1:15">
      <c r="A8" s="55">
        <v>5</v>
      </c>
      <c r="B8" s="240">
        <v>45782</v>
      </c>
      <c r="C8" s="27"/>
      <c r="D8" s="27"/>
      <c r="E8" s="8">
        <v>0</v>
      </c>
      <c r="F8" s="8">
        <v>0</v>
      </c>
      <c r="G8" s="8">
        <f t="shared" ref="G8:G34" si="3">E8*F8</f>
        <v>0</v>
      </c>
      <c r="H8" s="9">
        <v>0</v>
      </c>
      <c r="I8" s="9">
        <v>103.43</v>
      </c>
      <c r="J8" s="8">
        <f t="shared" si="0"/>
        <v>0</v>
      </c>
      <c r="K8" s="8">
        <f t="shared" si="1"/>
        <v>0</v>
      </c>
      <c r="L8" s="171">
        <v>0</v>
      </c>
      <c r="M8" s="8">
        <f t="shared" si="2"/>
        <v>115427.53</v>
      </c>
      <c r="N8" s="53"/>
      <c r="O8" s="1"/>
    </row>
    <row r="9" spans="1:15">
      <c r="A9" s="55">
        <v>6</v>
      </c>
      <c r="B9" s="240">
        <v>45783</v>
      </c>
      <c r="C9" s="27"/>
      <c r="D9" s="27"/>
      <c r="E9" s="8">
        <v>0</v>
      </c>
      <c r="F9" s="8">
        <v>0</v>
      </c>
      <c r="G9" s="8">
        <f t="shared" si="3"/>
        <v>0</v>
      </c>
      <c r="H9" s="9">
        <v>0</v>
      </c>
      <c r="I9" s="9">
        <v>103.43</v>
      </c>
      <c r="J9" s="8">
        <f t="shared" si="0"/>
        <v>0</v>
      </c>
      <c r="K9" s="8">
        <f t="shared" si="1"/>
        <v>0</v>
      </c>
      <c r="L9" s="171">
        <v>0</v>
      </c>
      <c r="M9" s="8">
        <f t="shared" si="2"/>
        <v>115427.53</v>
      </c>
      <c r="N9" s="53"/>
      <c r="O9" s="1"/>
    </row>
    <row r="10" spans="1:15">
      <c r="A10" s="55">
        <v>7</v>
      </c>
      <c r="B10" s="240">
        <v>45784</v>
      </c>
      <c r="C10" s="27"/>
      <c r="D10" s="27"/>
      <c r="E10" s="8">
        <v>0</v>
      </c>
      <c r="F10" s="8">
        <v>0</v>
      </c>
      <c r="G10" s="8">
        <f t="shared" si="3"/>
        <v>0</v>
      </c>
      <c r="H10" s="9">
        <v>0</v>
      </c>
      <c r="I10" s="9">
        <v>103.43</v>
      </c>
      <c r="J10" s="8">
        <f t="shared" si="0"/>
        <v>0</v>
      </c>
      <c r="K10" s="8">
        <f t="shared" si="1"/>
        <v>0</v>
      </c>
      <c r="L10" s="171">
        <v>0</v>
      </c>
      <c r="M10" s="8">
        <f t="shared" si="2"/>
        <v>115427.53</v>
      </c>
      <c r="N10" s="53"/>
      <c r="O10" s="1"/>
    </row>
    <row r="11" spans="1:15">
      <c r="A11" s="55">
        <v>8</v>
      </c>
      <c r="B11" s="240">
        <v>45785</v>
      </c>
      <c r="C11" s="27"/>
      <c r="D11" s="27"/>
      <c r="E11" s="8">
        <v>0</v>
      </c>
      <c r="F11" s="8">
        <v>0</v>
      </c>
      <c r="G11" s="8">
        <f t="shared" si="3"/>
        <v>0</v>
      </c>
      <c r="H11" s="9">
        <v>0</v>
      </c>
      <c r="I11" s="9">
        <v>103.43</v>
      </c>
      <c r="J11" s="8">
        <f t="shared" si="0"/>
        <v>0</v>
      </c>
      <c r="K11" s="8">
        <f t="shared" si="1"/>
        <v>0</v>
      </c>
      <c r="L11" s="171">
        <v>115444</v>
      </c>
      <c r="M11" s="8">
        <f t="shared" si="2"/>
        <v>-16.470000000001164</v>
      </c>
      <c r="N11" s="53"/>
      <c r="O11" s="1"/>
    </row>
    <row r="12" spans="1:15">
      <c r="A12" s="55">
        <v>9</v>
      </c>
      <c r="B12" s="240">
        <v>45786</v>
      </c>
      <c r="C12" s="27"/>
      <c r="D12" s="27"/>
      <c r="E12" s="8">
        <v>40.01</v>
      </c>
      <c r="F12" s="8">
        <v>91.47</v>
      </c>
      <c r="G12" s="8">
        <f t="shared" si="3"/>
        <v>3659.7147</v>
      </c>
      <c r="H12" s="9">
        <v>6</v>
      </c>
      <c r="I12" s="9">
        <v>103.43</v>
      </c>
      <c r="J12" s="8">
        <f t="shared" si="0"/>
        <v>620.58000000000004</v>
      </c>
      <c r="K12" s="8">
        <f t="shared" si="1"/>
        <v>4280.2947000000004</v>
      </c>
      <c r="L12" s="171">
        <v>0</v>
      </c>
      <c r="M12" s="8">
        <f t="shared" si="2"/>
        <v>4263.8246999999992</v>
      </c>
      <c r="N12" s="53"/>
      <c r="O12" s="1" t="s">
        <v>112</v>
      </c>
    </row>
    <row r="13" spans="1:15">
      <c r="A13" s="55">
        <v>10</v>
      </c>
      <c r="B13" s="240">
        <v>45787</v>
      </c>
      <c r="C13" s="27"/>
      <c r="D13" s="27"/>
      <c r="E13" s="8">
        <v>49</v>
      </c>
      <c r="F13" s="8">
        <v>91.47</v>
      </c>
      <c r="G13" s="8">
        <f t="shared" si="3"/>
        <v>4482.03</v>
      </c>
      <c r="H13" s="9">
        <v>0</v>
      </c>
      <c r="I13" s="9">
        <v>0</v>
      </c>
      <c r="J13" s="8">
        <f t="shared" si="0"/>
        <v>0</v>
      </c>
      <c r="K13" s="8">
        <f t="shared" si="1"/>
        <v>4482.03</v>
      </c>
      <c r="L13" s="171">
        <v>0</v>
      </c>
      <c r="M13" s="8">
        <f t="shared" si="2"/>
        <v>8745.8546999999999</v>
      </c>
      <c r="N13" s="53"/>
      <c r="O13" s="1"/>
    </row>
    <row r="14" spans="1:15">
      <c r="A14" s="55">
        <v>11</v>
      </c>
      <c r="B14" s="240">
        <v>45788</v>
      </c>
      <c r="C14" s="27"/>
      <c r="D14" s="27"/>
      <c r="E14" s="8">
        <v>35</v>
      </c>
      <c r="F14" s="8">
        <v>91.47</v>
      </c>
      <c r="G14" s="8">
        <f t="shared" si="3"/>
        <v>3201.45</v>
      </c>
      <c r="H14" s="9">
        <v>6</v>
      </c>
      <c r="I14" s="9">
        <v>103.43</v>
      </c>
      <c r="J14" s="8">
        <f t="shared" si="0"/>
        <v>620.58000000000004</v>
      </c>
      <c r="K14" s="8">
        <f t="shared" si="1"/>
        <v>3822.0299999999997</v>
      </c>
      <c r="L14" s="171">
        <v>0</v>
      </c>
      <c r="M14" s="8">
        <f t="shared" si="2"/>
        <v>12567.884699999999</v>
      </c>
      <c r="N14" s="53"/>
      <c r="O14" s="1"/>
    </row>
    <row r="15" spans="1:15">
      <c r="A15" s="55">
        <v>12</v>
      </c>
      <c r="B15" s="240">
        <v>45789</v>
      </c>
      <c r="C15" s="27"/>
      <c r="D15" s="27"/>
      <c r="E15" s="8">
        <v>0</v>
      </c>
      <c r="F15" s="8">
        <v>0</v>
      </c>
      <c r="G15" s="8">
        <f t="shared" si="3"/>
        <v>0</v>
      </c>
      <c r="H15" s="9">
        <v>0</v>
      </c>
      <c r="I15" s="9">
        <v>0</v>
      </c>
      <c r="J15" s="8">
        <f t="shared" si="0"/>
        <v>0</v>
      </c>
      <c r="K15" s="8">
        <f t="shared" si="1"/>
        <v>0</v>
      </c>
      <c r="L15" s="171">
        <v>0</v>
      </c>
      <c r="M15" s="8">
        <f t="shared" si="2"/>
        <v>12567.884699999999</v>
      </c>
      <c r="N15" s="53"/>
      <c r="O15" s="1"/>
    </row>
    <row r="16" spans="1:15">
      <c r="A16" s="55">
        <v>13</v>
      </c>
      <c r="B16" s="240">
        <v>45790</v>
      </c>
      <c r="C16" s="27"/>
      <c r="D16" s="27"/>
      <c r="E16" s="8">
        <v>150</v>
      </c>
      <c r="F16" s="8">
        <v>91.47</v>
      </c>
      <c r="G16" s="8">
        <f t="shared" si="3"/>
        <v>13720.5</v>
      </c>
      <c r="H16" s="9">
        <v>0</v>
      </c>
      <c r="I16" s="9">
        <v>0</v>
      </c>
      <c r="J16" s="8">
        <f t="shared" si="0"/>
        <v>0</v>
      </c>
      <c r="K16" s="8">
        <f t="shared" si="1"/>
        <v>13720.5</v>
      </c>
      <c r="L16" s="171">
        <v>0</v>
      </c>
      <c r="M16" s="8">
        <f>M15+K16-L16</f>
        <v>26288.384699999999</v>
      </c>
      <c r="N16" s="53"/>
      <c r="O16" s="1"/>
    </row>
    <row r="17" spans="1:15">
      <c r="A17" s="55">
        <v>14</v>
      </c>
      <c r="B17" s="240">
        <v>45791</v>
      </c>
      <c r="C17" s="27"/>
      <c r="D17" s="27"/>
      <c r="E17" s="8">
        <v>60</v>
      </c>
      <c r="F17" s="8">
        <v>91.47</v>
      </c>
      <c r="G17" s="8">
        <f t="shared" si="3"/>
        <v>5488.2</v>
      </c>
      <c r="H17" s="9">
        <v>10</v>
      </c>
      <c r="I17" s="9">
        <v>103.43</v>
      </c>
      <c r="J17" s="8">
        <f t="shared" si="0"/>
        <v>1034.3000000000002</v>
      </c>
      <c r="K17" s="8">
        <f t="shared" si="1"/>
        <v>6522.5</v>
      </c>
      <c r="L17" s="171">
        <v>0</v>
      </c>
      <c r="M17" s="8">
        <f>M16+K17-L17</f>
        <v>32810.884699999995</v>
      </c>
      <c r="N17" s="53"/>
      <c r="O17" s="1"/>
    </row>
    <row r="18" spans="1:15">
      <c r="A18" s="55">
        <v>15</v>
      </c>
      <c r="B18" s="240">
        <v>45792</v>
      </c>
      <c r="C18" s="27"/>
      <c r="D18" s="27"/>
      <c r="E18" s="8">
        <v>20</v>
      </c>
      <c r="F18" s="8">
        <v>91.47</v>
      </c>
      <c r="G18" s="8">
        <f t="shared" si="3"/>
        <v>1829.4</v>
      </c>
      <c r="H18" s="9">
        <v>5</v>
      </c>
      <c r="I18" s="9">
        <v>103.43</v>
      </c>
      <c r="J18" s="8">
        <f t="shared" si="0"/>
        <v>517.15000000000009</v>
      </c>
      <c r="K18" s="8">
        <f t="shared" si="1"/>
        <v>2346.5500000000002</v>
      </c>
      <c r="L18" s="171">
        <v>0</v>
      </c>
      <c r="M18" s="8">
        <f t="shared" si="2"/>
        <v>35157.434699999998</v>
      </c>
      <c r="N18" s="53"/>
      <c r="O18" s="1"/>
    </row>
    <row r="19" spans="1:15">
      <c r="A19" s="55">
        <v>16</v>
      </c>
      <c r="B19" s="240">
        <v>45793</v>
      </c>
      <c r="C19" s="27"/>
      <c r="D19" s="27"/>
      <c r="E19" s="8">
        <v>200</v>
      </c>
      <c r="F19" s="8">
        <v>91.47</v>
      </c>
      <c r="G19" s="8">
        <f t="shared" si="3"/>
        <v>18294</v>
      </c>
      <c r="H19" s="9">
        <v>0</v>
      </c>
      <c r="I19" s="9">
        <v>0</v>
      </c>
      <c r="J19" s="8">
        <f t="shared" si="0"/>
        <v>0</v>
      </c>
      <c r="K19" s="8">
        <f t="shared" si="1"/>
        <v>18294</v>
      </c>
      <c r="L19" s="171">
        <v>0</v>
      </c>
      <c r="M19" s="8">
        <f t="shared" si="2"/>
        <v>53451.434699999998</v>
      </c>
      <c r="N19" s="53"/>
      <c r="O19" s="1"/>
    </row>
    <row r="20" spans="1:15">
      <c r="A20" s="55">
        <v>17</v>
      </c>
      <c r="B20" s="240">
        <v>45794</v>
      </c>
      <c r="C20" s="27"/>
      <c r="D20" s="27"/>
      <c r="E20" s="8">
        <v>44.03</v>
      </c>
      <c r="F20" s="8">
        <v>91.47</v>
      </c>
      <c r="G20" s="8">
        <f t="shared" si="3"/>
        <v>4027.4241000000002</v>
      </c>
      <c r="H20" s="9">
        <v>6</v>
      </c>
      <c r="I20" s="9">
        <v>103.43</v>
      </c>
      <c r="J20" s="8">
        <f t="shared" si="0"/>
        <v>620.58000000000004</v>
      </c>
      <c r="K20" s="8">
        <f t="shared" si="1"/>
        <v>4648.0041000000001</v>
      </c>
      <c r="L20" s="171">
        <v>0</v>
      </c>
      <c r="M20" s="8">
        <f t="shared" si="2"/>
        <v>58099.438799999996</v>
      </c>
      <c r="N20" s="53"/>
      <c r="O20" s="1"/>
    </row>
    <row r="21" spans="1:15">
      <c r="A21" s="55">
        <v>18</v>
      </c>
      <c r="B21" s="240">
        <v>45795</v>
      </c>
      <c r="C21" s="27"/>
      <c r="D21" s="27"/>
      <c r="E21" s="8">
        <v>49.41</v>
      </c>
      <c r="F21" s="8">
        <v>91.47</v>
      </c>
      <c r="G21" s="8">
        <f t="shared" si="3"/>
        <v>4519.5326999999997</v>
      </c>
      <c r="H21" s="9">
        <v>0</v>
      </c>
      <c r="I21" s="9">
        <v>0</v>
      </c>
      <c r="J21" s="8">
        <f t="shared" si="0"/>
        <v>0</v>
      </c>
      <c r="K21" s="8">
        <f t="shared" si="1"/>
        <v>4519.5326999999997</v>
      </c>
      <c r="L21" s="171">
        <v>0</v>
      </c>
      <c r="M21" s="8">
        <f>M20+K21-L21</f>
        <v>62618.9715</v>
      </c>
      <c r="N21" s="53"/>
      <c r="O21" s="1"/>
    </row>
    <row r="22" spans="1:15">
      <c r="A22" s="55">
        <v>19</v>
      </c>
      <c r="B22" s="240">
        <v>45796</v>
      </c>
      <c r="C22" s="27"/>
      <c r="D22" s="27"/>
      <c r="E22" s="8">
        <v>0</v>
      </c>
      <c r="F22" s="8">
        <v>0</v>
      </c>
      <c r="G22" s="8">
        <f t="shared" si="3"/>
        <v>0</v>
      </c>
      <c r="H22" s="9">
        <v>0</v>
      </c>
      <c r="I22" s="9">
        <v>0</v>
      </c>
      <c r="J22" s="8">
        <f t="shared" si="0"/>
        <v>0</v>
      </c>
      <c r="K22" s="8">
        <f t="shared" si="1"/>
        <v>0</v>
      </c>
      <c r="L22" s="171">
        <v>0</v>
      </c>
      <c r="M22" s="8">
        <f t="shared" si="2"/>
        <v>62618.9715</v>
      </c>
      <c r="N22" s="53"/>
      <c r="O22" s="1"/>
    </row>
    <row r="23" spans="1:15">
      <c r="A23" s="55">
        <v>20</v>
      </c>
      <c r="B23" s="240">
        <v>45797</v>
      </c>
      <c r="C23" s="27"/>
      <c r="D23" s="27"/>
      <c r="E23" s="8">
        <v>0</v>
      </c>
      <c r="F23" s="8">
        <v>0</v>
      </c>
      <c r="G23" s="8">
        <f t="shared" si="3"/>
        <v>0</v>
      </c>
      <c r="H23" s="9">
        <v>0</v>
      </c>
      <c r="I23" s="9">
        <v>0</v>
      </c>
      <c r="J23" s="8">
        <f t="shared" si="0"/>
        <v>0</v>
      </c>
      <c r="K23" s="8">
        <f t="shared" si="1"/>
        <v>0</v>
      </c>
      <c r="L23" s="171">
        <v>0</v>
      </c>
      <c r="M23" s="8">
        <f t="shared" si="2"/>
        <v>62618.9715</v>
      </c>
      <c r="N23" s="53"/>
      <c r="O23" s="1"/>
    </row>
    <row r="24" spans="1:15">
      <c r="A24" s="55">
        <v>21</v>
      </c>
      <c r="B24" s="240">
        <v>45798</v>
      </c>
      <c r="C24" s="27"/>
      <c r="D24" s="27"/>
      <c r="E24" s="8">
        <v>40.01</v>
      </c>
      <c r="F24" s="8">
        <v>91.47</v>
      </c>
      <c r="G24" s="8">
        <f t="shared" si="3"/>
        <v>3659.7147</v>
      </c>
      <c r="H24" s="9">
        <v>12.01</v>
      </c>
      <c r="I24" s="9">
        <v>103.43</v>
      </c>
      <c r="J24" s="8">
        <f t="shared" si="0"/>
        <v>1242.1943000000001</v>
      </c>
      <c r="K24" s="8">
        <f t="shared" si="1"/>
        <v>4901.9089999999997</v>
      </c>
      <c r="L24" s="171">
        <v>0</v>
      </c>
      <c r="M24" s="8">
        <f t="shared" si="2"/>
        <v>67520.880499999999</v>
      </c>
      <c r="N24" s="53"/>
      <c r="O24" s="1"/>
    </row>
    <row r="25" spans="1:15">
      <c r="A25" s="55">
        <v>22</v>
      </c>
      <c r="B25" s="240">
        <v>45799</v>
      </c>
      <c r="C25" s="27"/>
      <c r="D25" s="27"/>
      <c r="E25" s="8">
        <v>0</v>
      </c>
      <c r="F25" s="8">
        <v>0</v>
      </c>
      <c r="G25" s="8">
        <f t="shared" si="3"/>
        <v>0</v>
      </c>
      <c r="H25" s="9">
        <v>0</v>
      </c>
      <c r="I25" s="9">
        <v>0</v>
      </c>
      <c r="J25" s="8">
        <f t="shared" si="0"/>
        <v>0</v>
      </c>
      <c r="K25" s="8">
        <f t="shared" si="1"/>
        <v>0</v>
      </c>
      <c r="L25" s="171">
        <v>0</v>
      </c>
      <c r="M25" s="8">
        <f t="shared" si="2"/>
        <v>67520.880499999999</v>
      </c>
      <c r="N25" s="53"/>
      <c r="O25" s="1"/>
    </row>
    <row r="26" spans="1:15">
      <c r="A26" s="55">
        <v>23</v>
      </c>
      <c r="B26" s="240">
        <v>45800</v>
      </c>
      <c r="C26" s="27"/>
      <c r="D26" s="27"/>
      <c r="E26" s="8">
        <v>0</v>
      </c>
      <c r="F26" s="8">
        <v>0</v>
      </c>
      <c r="G26" s="8">
        <f t="shared" si="3"/>
        <v>0</v>
      </c>
      <c r="H26" s="9">
        <v>0</v>
      </c>
      <c r="I26" s="9">
        <v>0</v>
      </c>
      <c r="J26" s="8">
        <f t="shared" si="0"/>
        <v>0</v>
      </c>
      <c r="K26" s="8">
        <f t="shared" si="1"/>
        <v>0</v>
      </c>
      <c r="L26" s="171">
        <v>0</v>
      </c>
      <c r="M26" s="8">
        <f t="shared" si="2"/>
        <v>67520.880499999999</v>
      </c>
      <c r="N26" s="53"/>
      <c r="O26" s="1"/>
    </row>
    <row r="27" spans="1:15">
      <c r="A27" s="55">
        <v>24</v>
      </c>
      <c r="B27" s="240">
        <v>45801</v>
      </c>
      <c r="C27" s="27"/>
      <c r="D27" s="27"/>
      <c r="E27" s="8">
        <v>0</v>
      </c>
      <c r="F27" s="8">
        <v>0</v>
      </c>
      <c r="G27" s="8">
        <f t="shared" si="3"/>
        <v>0</v>
      </c>
      <c r="H27" s="9">
        <v>0</v>
      </c>
      <c r="I27" s="9">
        <v>0</v>
      </c>
      <c r="J27" s="8">
        <f t="shared" si="0"/>
        <v>0</v>
      </c>
      <c r="K27" s="8">
        <f t="shared" si="1"/>
        <v>0</v>
      </c>
      <c r="L27" s="171">
        <v>0</v>
      </c>
      <c r="M27" s="8">
        <f t="shared" si="2"/>
        <v>67520.880499999999</v>
      </c>
      <c r="N27" s="53"/>
      <c r="O27" s="1"/>
    </row>
    <row r="28" spans="1:15">
      <c r="A28" s="55">
        <v>25</v>
      </c>
      <c r="B28" s="240">
        <v>45802</v>
      </c>
      <c r="C28" s="27"/>
      <c r="D28" s="27"/>
      <c r="E28" s="8">
        <v>0</v>
      </c>
      <c r="F28" s="8">
        <v>0</v>
      </c>
      <c r="G28" s="8">
        <f t="shared" si="3"/>
        <v>0</v>
      </c>
      <c r="H28" s="9">
        <v>0</v>
      </c>
      <c r="I28" s="9">
        <v>0</v>
      </c>
      <c r="J28" s="8">
        <f t="shared" si="0"/>
        <v>0</v>
      </c>
      <c r="K28" s="8">
        <f t="shared" si="1"/>
        <v>0</v>
      </c>
      <c r="L28" s="171">
        <v>0</v>
      </c>
      <c r="M28" s="8">
        <f t="shared" si="2"/>
        <v>67520.880499999999</v>
      </c>
      <c r="N28" s="53"/>
      <c r="O28" s="1"/>
    </row>
    <row r="29" spans="1:15">
      <c r="A29" s="55">
        <v>26</v>
      </c>
      <c r="B29" s="240">
        <v>45803</v>
      </c>
      <c r="C29" s="27"/>
      <c r="D29" s="27"/>
      <c r="E29" s="8">
        <v>140</v>
      </c>
      <c r="F29" s="8">
        <v>91.47</v>
      </c>
      <c r="G29" s="8">
        <f t="shared" si="3"/>
        <v>12805.8</v>
      </c>
      <c r="H29" s="9">
        <v>0</v>
      </c>
      <c r="I29" s="9">
        <v>0</v>
      </c>
      <c r="J29" s="8">
        <f t="shared" si="0"/>
        <v>0</v>
      </c>
      <c r="K29" s="8">
        <f t="shared" si="1"/>
        <v>12805.8</v>
      </c>
      <c r="L29" s="171">
        <v>0</v>
      </c>
      <c r="M29" s="8">
        <f t="shared" si="2"/>
        <v>80326.680500000002</v>
      </c>
      <c r="N29" s="53"/>
      <c r="O29" s="1"/>
    </row>
    <row r="30" spans="1:15">
      <c r="A30" s="55">
        <v>27</v>
      </c>
      <c r="B30" s="240">
        <v>45804</v>
      </c>
      <c r="C30" s="27"/>
      <c r="D30" s="27"/>
      <c r="E30" s="8">
        <v>0</v>
      </c>
      <c r="F30" s="8">
        <v>0</v>
      </c>
      <c r="G30" s="8">
        <f t="shared" si="3"/>
        <v>0</v>
      </c>
      <c r="H30" s="9">
        <v>0</v>
      </c>
      <c r="I30" s="9">
        <v>0</v>
      </c>
      <c r="J30" s="8">
        <f t="shared" si="0"/>
        <v>0</v>
      </c>
      <c r="K30" s="8">
        <f t="shared" si="1"/>
        <v>0</v>
      </c>
      <c r="L30" s="171">
        <v>67411.23</v>
      </c>
      <c r="M30" s="8">
        <f t="shared" si="2"/>
        <v>12915.450500000006</v>
      </c>
      <c r="N30" s="53"/>
      <c r="O30" s="1"/>
    </row>
    <row r="31" spans="1:15">
      <c r="A31" s="55">
        <v>28</v>
      </c>
      <c r="B31" s="240">
        <v>45805</v>
      </c>
      <c r="C31" s="27"/>
      <c r="D31" s="27"/>
      <c r="E31" s="8">
        <v>70</v>
      </c>
      <c r="F31" s="8">
        <v>91.47</v>
      </c>
      <c r="G31" s="8">
        <f t="shared" si="3"/>
        <v>6402.9</v>
      </c>
      <c r="H31" s="9">
        <v>0</v>
      </c>
      <c r="I31" s="9">
        <v>0</v>
      </c>
      <c r="J31" s="8">
        <f t="shared" si="0"/>
        <v>0</v>
      </c>
      <c r="K31" s="8">
        <f t="shared" si="1"/>
        <v>6402.9</v>
      </c>
      <c r="L31" s="171">
        <v>0</v>
      </c>
      <c r="M31" s="292">
        <f t="shared" si="2"/>
        <v>19318.350500000008</v>
      </c>
      <c r="N31" s="53"/>
      <c r="O31" s="1"/>
    </row>
    <row r="32" spans="1:15">
      <c r="A32" s="234">
        <v>29</v>
      </c>
      <c r="B32" s="240">
        <v>45806</v>
      </c>
      <c r="C32" s="27"/>
      <c r="D32" s="27"/>
      <c r="E32" s="8">
        <v>87.67</v>
      </c>
      <c r="F32" s="8">
        <v>91.47</v>
      </c>
      <c r="G32" s="8">
        <f t="shared" si="3"/>
        <v>8019.1749</v>
      </c>
      <c r="H32" s="9">
        <v>0</v>
      </c>
      <c r="I32" s="9">
        <v>0</v>
      </c>
      <c r="J32" s="8">
        <f t="shared" si="0"/>
        <v>0</v>
      </c>
      <c r="K32" s="8">
        <f t="shared" si="1"/>
        <v>8019.1749</v>
      </c>
      <c r="L32" s="171">
        <v>0</v>
      </c>
      <c r="M32" s="292">
        <f t="shared" si="2"/>
        <v>27337.525400000006</v>
      </c>
      <c r="N32" s="53"/>
      <c r="O32" s="1"/>
    </row>
    <row r="33" spans="1:17">
      <c r="A33" s="234">
        <v>30</v>
      </c>
      <c r="B33" s="240">
        <v>45807</v>
      </c>
      <c r="C33" s="27"/>
      <c r="D33" s="27"/>
      <c r="E33" s="8">
        <v>85</v>
      </c>
      <c r="F33" s="8">
        <v>91.47</v>
      </c>
      <c r="G33" s="8">
        <f t="shared" si="3"/>
        <v>7774.95</v>
      </c>
      <c r="H33" s="9">
        <v>0</v>
      </c>
      <c r="I33" s="9">
        <v>0</v>
      </c>
      <c r="J33" s="8">
        <f t="shared" si="0"/>
        <v>0</v>
      </c>
      <c r="K33" s="8">
        <f t="shared" si="1"/>
        <v>7774.95</v>
      </c>
      <c r="L33" s="171">
        <v>0</v>
      </c>
      <c r="M33" s="292">
        <f t="shared" si="2"/>
        <v>35112.475400000003</v>
      </c>
      <c r="N33" s="53"/>
      <c r="O33" s="1"/>
      <c r="Q33">
        <f>35000-8000</f>
        <v>27000</v>
      </c>
    </row>
    <row r="34" spans="1:17">
      <c r="A34" s="234">
        <v>31</v>
      </c>
      <c r="B34" s="240">
        <v>45808</v>
      </c>
      <c r="C34" s="27"/>
      <c r="D34" s="27"/>
      <c r="E34" s="8">
        <v>0</v>
      </c>
      <c r="F34" s="8">
        <v>0</v>
      </c>
      <c r="G34" s="8">
        <f t="shared" si="3"/>
        <v>0</v>
      </c>
      <c r="H34" s="9">
        <v>11.67</v>
      </c>
      <c r="I34" s="9">
        <v>103.4</v>
      </c>
      <c r="J34" s="8">
        <f t="shared" si="0"/>
        <v>1206.6780000000001</v>
      </c>
      <c r="K34" s="8">
        <f>G34+J34</f>
        <v>1206.6780000000001</v>
      </c>
      <c r="L34" s="171">
        <v>0</v>
      </c>
      <c r="M34" s="292">
        <f t="shared" si="2"/>
        <v>36319.153400000003</v>
      </c>
      <c r="N34" s="53"/>
      <c r="O34" s="1"/>
    </row>
    <row r="35" spans="1:17">
      <c r="A35" s="75"/>
      <c r="B35" s="75"/>
      <c r="C35" s="75"/>
      <c r="D35" s="75"/>
      <c r="E35" s="76">
        <f>SUM(E4:E34)</f>
        <v>1327.13</v>
      </c>
      <c r="F35" s="76"/>
      <c r="G35" s="76">
        <f>SUM(G4:G34)</f>
        <v>121392.58109999998</v>
      </c>
      <c r="H35" s="76">
        <f>SUM(H4:H34)</f>
        <v>74.679999999999993</v>
      </c>
      <c r="I35" s="76"/>
      <c r="J35" s="76">
        <f>SUM(J4:J34)</f>
        <v>7723.8023000000003</v>
      </c>
      <c r="K35" s="76">
        <f>SUM(K4:K34)</f>
        <v>129116.38339999999</v>
      </c>
      <c r="L35" s="76">
        <f>SUM(L4:L34)</f>
        <v>182855.22999999998</v>
      </c>
      <c r="M35" s="76"/>
      <c r="N35" s="76"/>
      <c r="O35" s="72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26"/>
      <c r="C38" s="426"/>
      <c r="D38" s="426"/>
      <c r="E38" s="426"/>
      <c r="F38" s="1"/>
      <c r="G38" s="1"/>
      <c r="H38" s="1"/>
      <c r="I38" s="463">
        <f>K24+L24</f>
        <v>4901.9089999999997</v>
      </c>
      <c r="J38" s="426"/>
      <c r="K38" s="426"/>
      <c r="L38" s="426"/>
      <c r="M38" s="426"/>
      <c r="N38" s="426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9"/>
  <sheetViews>
    <sheetView workbookViewId="0">
      <selection activeCell="H39" sqref="H39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9" width="8.14062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35" t="s">
        <v>66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65"/>
    </row>
    <row r="2" spans="1:15" ht="30.75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77" t="s">
        <v>107</v>
      </c>
      <c r="L2" s="99" t="s">
        <v>108</v>
      </c>
      <c r="M2" s="190" t="s">
        <v>115</v>
      </c>
      <c r="N2" s="97" t="s">
        <v>110</v>
      </c>
      <c r="O2" s="72"/>
    </row>
    <row r="3" spans="1:15">
      <c r="A3" s="168"/>
      <c r="B3" s="169"/>
      <c r="C3" s="169"/>
      <c r="D3" s="149" t="s">
        <v>111</v>
      </c>
      <c r="E3" s="169"/>
      <c r="F3" s="169"/>
      <c r="G3" s="169"/>
      <c r="H3" s="169"/>
      <c r="I3" s="169"/>
      <c r="J3" s="170"/>
      <c r="K3" s="168">
        <v>0</v>
      </c>
      <c r="L3" s="171">
        <v>0</v>
      </c>
      <c r="M3" s="171">
        <f>+K3</f>
        <v>0</v>
      </c>
      <c r="N3" s="169"/>
      <c r="O3" s="72"/>
    </row>
    <row r="4" spans="1:15">
      <c r="A4" s="55">
        <v>1</v>
      </c>
      <c r="B4" s="240">
        <v>45778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71">
        <v>0</v>
      </c>
      <c r="M4" s="8">
        <f>M3+K4-L4</f>
        <v>0</v>
      </c>
      <c r="N4" s="53"/>
      <c r="O4" s="1"/>
    </row>
    <row r="5" spans="1:15">
      <c r="A5" s="55">
        <v>2</v>
      </c>
      <c r="B5" s="240">
        <v>45779</v>
      </c>
      <c r="C5" s="27"/>
      <c r="D5" s="27"/>
      <c r="E5" s="8">
        <v>120</v>
      </c>
      <c r="F5" s="8">
        <v>91.8</v>
      </c>
      <c r="G5" s="8">
        <f t="shared" ref="G5:G34" si="0">E5*F5</f>
        <v>11016</v>
      </c>
      <c r="H5" s="9">
        <v>0</v>
      </c>
      <c r="I5" s="9">
        <v>0</v>
      </c>
      <c r="J5" s="8">
        <f t="shared" ref="J5:J34" si="1">H5*I5</f>
        <v>0</v>
      </c>
      <c r="K5" s="8">
        <f t="shared" ref="K5:L33" si="2">G5+J5</f>
        <v>11016</v>
      </c>
      <c r="L5" s="171">
        <v>11016</v>
      </c>
      <c r="M5" s="8">
        <f t="shared" ref="M5:M8" si="3">M4+K5-L5</f>
        <v>0</v>
      </c>
      <c r="N5" s="53"/>
      <c r="O5" s="1"/>
    </row>
    <row r="6" spans="1:15">
      <c r="A6" s="55">
        <v>3</v>
      </c>
      <c r="B6" s="240">
        <v>45780</v>
      </c>
      <c r="C6" s="27"/>
      <c r="D6" s="27"/>
      <c r="E6" s="8">
        <v>100</v>
      </c>
      <c r="F6" s="8">
        <v>91.8</v>
      </c>
      <c r="G6" s="8">
        <f t="shared" si="0"/>
        <v>9180</v>
      </c>
      <c r="H6" s="9">
        <v>0</v>
      </c>
      <c r="I6" s="9">
        <v>0</v>
      </c>
      <c r="J6" s="8">
        <f t="shared" si="1"/>
        <v>0</v>
      </c>
      <c r="K6" s="8">
        <f t="shared" si="2"/>
        <v>9180</v>
      </c>
      <c r="L6" s="171">
        <v>9180</v>
      </c>
      <c r="M6" s="8">
        <f t="shared" si="3"/>
        <v>0</v>
      </c>
      <c r="N6" s="53"/>
      <c r="O6" s="1"/>
    </row>
    <row r="7" spans="1:15">
      <c r="A7" s="55">
        <v>4</v>
      </c>
      <c r="B7" s="240">
        <v>45781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5</v>
      </c>
      <c r="I7" s="9">
        <v>103.76</v>
      </c>
      <c r="J7" s="8">
        <f t="shared" si="1"/>
        <v>518.80000000000007</v>
      </c>
      <c r="K7" s="8">
        <f t="shared" si="2"/>
        <v>518.80000000000007</v>
      </c>
      <c r="L7" s="171">
        <v>518.79999999999995</v>
      </c>
      <c r="M7" s="8">
        <f t="shared" si="3"/>
        <v>0</v>
      </c>
      <c r="N7" s="53"/>
      <c r="O7" s="1"/>
    </row>
    <row r="8" spans="1:15">
      <c r="A8" s="55">
        <v>5</v>
      </c>
      <c r="B8" s="240">
        <v>45782</v>
      </c>
      <c r="C8" s="27"/>
      <c r="D8" s="27"/>
      <c r="E8" s="8">
        <v>110</v>
      </c>
      <c r="F8" s="8">
        <v>91.8</v>
      </c>
      <c r="G8" s="8">
        <f t="shared" si="0"/>
        <v>10098</v>
      </c>
      <c r="H8" s="9">
        <v>0</v>
      </c>
      <c r="I8" s="9">
        <v>0</v>
      </c>
      <c r="J8" s="8">
        <f t="shared" si="1"/>
        <v>0</v>
      </c>
      <c r="K8" s="8">
        <f t="shared" si="2"/>
        <v>10098</v>
      </c>
      <c r="L8" s="171">
        <v>10098</v>
      </c>
      <c r="M8" s="8">
        <f t="shared" si="3"/>
        <v>0</v>
      </c>
      <c r="N8" s="53"/>
      <c r="O8" s="1"/>
    </row>
    <row r="9" spans="1:15">
      <c r="A9" s="55">
        <v>6</v>
      </c>
      <c r="B9" s="240">
        <v>45783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71">
        <v>0</v>
      </c>
      <c r="M9" s="8">
        <f t="shared" ref="M9:M33" si="4">M8+K9-L9</f>
        <v>0</v>
      </c>
      <c r="N9" s="53"/>
      <c r="O9" s="1"/>
    </row>
    <row r="10" spans="1:15">
      <c r="A10" s="55">
        <v>7</v>
      </c>
      <c r="B10" s="240">
        <v>45784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71">
        <v>0</v>
      </c>
      <c r="M10" s="8">
        <f t="shared" si="4"/>
        <v>0</v>
      </c>
      <c r="N10" s="53"/>
      <c r="O10" s="1"/>
    </row>
    <row r="11" spans="1:15">
      <c r="A11" s="55">
        <v>8</v>
      </c>
      <c r="B11" s="240">
        <v>45785</v>
      </c>
      <c r="C11" s="27"/>
      <c r="D11" s="27"/>
      <c r="E11" s="8">
        <v>90</v>
      </c>
      <c r="F11" s="8">
        <v>91.8</v>
      </c>
      <c r="G11" s="8">
        <f t="shared" si="0"/>
        <v>8262</v>
      </c>
      <c r="H11" s="9">
        <v>0</v>
      </c>
      <c r="I11" s="9">
        <v>0</v>
      </c>
      <c r="J11" s="8">
        <f t="shared" si="1"/>
        <v>0</v>
      </c>
      <c r="K11" s="8">
        <f t="shared" si="2"/>
        <v>8262</v>
      </c>
      <c r="L11" s="171">
        <v>8262</v>
      </c>
      <c r="M11" s="8">
        <f t="shared" si="4"/>
        <v>0</v>
      </c>
      <c r="N11" s="53"/>
      <c r="O11" s="1"/>
    </row>
    <row r="12" spans="1:15">
      <c r="A12" s="55">
        <v>9</v>
      </c>
      <c r="B12" s="240">
        <v>45786</v>
      </c>
      <c r="C12" s="27"/>
      <c r="D12" s="27"/>
      <c r="E12" s="8">
        <v>85</v>
      </c>
      <c r="F12" s="8">
        <v>91.8</v>
      </c>
      <c r="G12" s="8">
        <f t="shared" si="0"/>
        <v>7803</v>
      </c>
      <c r="H12" s="9">
        <v>15</v>
      </c>
      <c r="I12" s="9">
        <v>103.76</v>
      </c>
      <c r="J12" s="8">
        <f t="shared" si="1"/>
        <v>1556.4</v>
      </c>
      <c r="K12" s="8">
        <f t="shared" si="2"/>
        <v>9359.4</v>
      </c>
      <c r="L12" s="171">
        <v>9359.4</v>
      </c>
      <c r="M12" s="8">
        <f t="shared" si="4"/>
        <v>0</v>
      </c>
      <c r="N12" s="53"/>
      <c r="O12" s="1" t="s">
        <v>112</v>
      </c>
    </row>
    <row r="13" spans="1:15">
      <c r="A13" s="55">
        <v>10</v>
      </c>
      <c r="B13" s="240">
        <v>45787</v>
      </c>
      <c r="C13" s="27"/>
      <c r="D13" s="27"/>
      <c r="E13" s="8">
        <v>70</v>
      </c>
      <c r="F13" s="8">
        <v>91.8</v>
      </c>
      <c r="G13" s="8">
        <f t="shared" si="0"/>
        <v>6426</v>
      </c>
      <c r="H13" s="9">
        <v>0</v>
      </c>
      <c r="I13" s="9">
        <v>0</v>
      </c>
      <c r="J13" s="8">
        <f t="shared" si="1"/>
        <v>0</v>
      </c>
      <c r="K13" s="8">
        <f t="shared" si="2"/>
        <v>6426</v>
      </c>
      <c r="L13" s="171">
        <v>6426</v>
      </c>
      <c r="M13" s="8">
        <f t="shared" si="4"/>
        <v>0</v>
      </c>
      <c r="N13" s="53"/>
      <c r="O13" s="1"/>
    </row>
    <row r="14" spans="1:15">
      <c r="A14" s="55">
        <v>11</v>
      </c>
      <c r="B14" s="240">
        <v>45788</v>
      </c>
      <c r="C14" s="27"/>
      <c r="D14" s="27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71">
        <v>0</v>
      </c>
      <c r="M14" s="8">
        <f t="shared" si="4"/>
        <v>0</v>
      </c>
      <c r="N14" s="53"/>
      <c r="O14" s="1"/>
    </row>
    <row r="15" spans="1:15">
      <c r="A15" s="55">
        <v>12</v>
      </c>
      <c r="B15" s="240">
        <v>45789</v>
      </c>
      <c r="C15" s="27"/>
      <c r="D15" s="27"/>
      <c r="E15" s="8">
        <v>80</v>
      </c>
      <c r="F15" s="8">
        <v>91.8</v>
      </c>
      <c r="G15" s="8">
        <f t="shared" si="0"/>
        <v>7344</v>
      </c>
      <c r="H15" s="9">
        <v>0</v>
      </c>
      <c r="I15" s="9">
        <v>0</v>
      </c>
      <c r="J15" s="8">
        <f t="shared" si="1"/>
        <v>0</v>
      </c>
      <c r="K15" s="8">
        <f t="shared" si="2"/>
        <v>7344</v>
      </c>
      <c r="L15" s="171">
        <v>7344</v>
      </c>
      <c r="M15" s="8">
        <f t="shared" si="4"/>
        <v>0</v>
      </c>
      <c r="N15" s="53"/>
      <c r="O15" s="1"/>
    </row>
    <row r="16" spans="1:15">
      <c r="A16" s="55">
        <v>13</v>
      </c>
      <c r="B16" s="240">
        <v>45790</v>
      </c>
      <c r="C16" s="27"/>
      <c r="D16" s="27"/>
      <c r="E16" s="8">
        <v>40</v>
      </c>
      <c r="F16" s="8">
        <v>91.8</v>
      </c>
      <c r="G16" s="8">
        <f t="shared" si="0"/>
        <v>3672</v>
      </c>
      <c r="H16" s="9">
        <v>5</v>
      </c>
      <c r="I16" s="9">
        <v>103.76</v>
      </c>
      <c r="J16" s="8">
        <f t="shared" si="1"/>
        <v>518.80000000000007</v>
      </c>
      <c r="K16" s="8">
        <f t="shared" si="2"/>
        <v>4190.8</v>
      </c>
      <c r="L16" s="171">
        <v>4190.8</v>
      </c>
      <c r="M16" s="8">
        <f t="shared" si="4"/>
        <v>0</v>
      </c>
      <c r="N16" s="53"/>
      <c r="O16" s="1"/>
    </row>
    <row r="17" spans="1:15">
      <c r="A17" s="55">
        <v>14</v>
      </c>
      <c r="B17" s="240">
        <v>45791</v>
      </c>
      <c r="C17" s="27"/>
      <c r="D17" s="27"/>
      <c r="E17" s="8">
        <v>30</v>
      </c>
      <c r="F17" s="8">
        <v>91.8</v>
      </c>
      <c r="G17" s="8">
        <f t="shared" si="0"/>
        <v>2754</v>
      </c>
      <c r="H17" s="9">
        <v>5</v>
      </c>
      <c r="I17" s="9">
        <v>103.76</v>
      </c>
      <c r="J17" s="8">
        <f t="shared" si="1"/>
        <v>518.80000000000007</v>
      </c>
      <c r="K17" s="8">
        <f t="shared" si="2"/>
        <v>3272.8</v>
      </c>
      <c r="L17" s="171">
        <v>3272.8</v>
      </c>
      <c r="M17" s="8">
        <f t="shared" si="4"/>
        <v>0</v>
      </c>
      <c r="N17" s="53"/>
      <c r="O17" s="1"/>
    </row>
    <row r="18" spans="1:15">
      <c r="A18" s="55">
        <v>15</v>
      </c>
      <c r="B18" s="240">
        <v>45792</v>
      </c>
      <c r="C18" s="27"/>
      <c r="D18" s="27"/>
      <c r="E18" s="8">
        <v>45</v>
      </c>
      <c r="F18" s="8">
        <v>91.8</v>
      </c>
      <c r="G18" s="8">
        <f t="shared" si="0"/>
        <v>4131</v>
      </c>
      <c r="H18" s="9">
        <v>0</v>
      </c>
      <c r="I18" s="9">
        <v>0</v>
      </c>
      <c r="J18" s="8">
        <f t="shared" si="1"/>
        <v>0</v>
      </c>
      <c r="K18" s="8">
        <f t="shared" si="2"/>
        <v>4131</v>
      </c>
      <c r="L18" s="171">
        <v>4131</v>
      </c>
      <c r="M18" s="8">
        <f t="shared" si="4"/>
        <v>0</v>
      </c>
      <c r="N18" s="53"/>
      <c r="O18" s="1"/>
    </row>
    <row r="19" spans="1:15">
      <c r="A19" s="55">
        <v>16</v>
      </c>
      <c r="B19" s="240">
        <v>45793</v>
      </c>
      <c r="C19" s="27"/>
      <c r="D19" s="27"/>
      <c r="E19" s="8">
        <v>70</v>
      </c>
      <c r="F19" s="8">
        <v>91.8</v>
      </c>
      <c r="G19" s="8">
        <f t="shared" si="0"/>
        <v>6426</v>
      </c>
      <c r="H19" s="9">
        <v>5</v>
      </c>
      <c r="I19" s="9">
        <v>103.76</v>
      </c>
      <c r="J19" s="8">
        <f t="shared" si="1"/>
        <v>518.80000000000007</v>
      </c>
      <c r="K19" s="8">
        <f t="shared" si="2"/>
        <v>6944.8</v>
      </c>
      <c r="L19" s="171">
        <v>6944.8</v>
      </c>
      <c r="M19" s="8">
        <f t="shared" si="4"/>
        <v>0</v>
      </c>
      <c r="N19" s="53"/>
      <c r="O19" s="1"/>
    </row>
    <row r="20" spans="1:15">
      <c r="A20" s="55">
        <v>17</v>
      </c>
      <c r="B20" s="240">
        <v>45794</v>
      </c>
      <c r="C20" s="27"/>
      <c r="D20" s="27"/>
      <c r="E20" s="8">
        <v>65.89</v>
      </c>
      <c r="F20" s="8">
        <v>91.8</v>
      </c>
      <c r="G20" s="8">
        <f t="shared" si="0"/>
        <v>6048.7020000000002</v>
      </c>
      <c r="H20" s="9">
        <v>5</v>
      </c>
      <c r="I20" s="9">
        <v>103.76</v>
      </c>
      <c r="J20" s="8">
        <f t="shared" si="1"/>
        <v>518.80000000000007</v>
      </c>
      <c r="K20" s="8">
        <f t="shared" si="2"/>
        <v>6567.5020000000004</v>
      </c>
      <c r="L20" s="171">
        <v>6567.5</v>
      </c>
      <c r="M20" s="8">
        <f t="shared" si="4"/>
        <v>2.0000000004074536E-3</v>
      </c>
      <c r="N20" s="53"/>
      <c r="O20" s="1"/>
    </row>
    <row r="21" spans="1:15">
      <c r="A21" s="55">
        <v>18</v>
      </c>
      <c r="B21" s="240">
        <v>45795</v>
      </c>
      <c r="C21" s="27"/>
      <c r="D21" s="27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71">
        <v>0</v>
      </c>
      <c r="M21" s="8">
        <f t="shared" si="4"/>
        <v>2.0000000004074536E-3</v>
      </c>
      <c r="N21" s="53"/>
      <c r="O21" s="1"/>
    </row>
    <row r="22" spans="1:15">
      <c r="A22" s="55">
        <v>19</v>
      </c>
      <c r="B22" s="240">
        <v>45796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71">
        <v>0</v>
      </c>
      <c r="M22" s="8">
        <f t="shared" si="4"/>
        <v>2.0000000004074536E-3</v>
      </c>
      <c r="N22" s="53"/>
      <c r="O22" s="1"/>
    </row>
    <row r="23" spans="1:15">
      <c r="A23" s="55">
        <v>20</v>
      </c>
      <c r="B23" s="240">
        <v>45797</v>
      </c>
      <c r="C23" s="27"/>
      <c r="D23" s="27"/>
      <c r="E23" s="8">
        <v>30</v>
      </c>
      <c r="F23" s="8">
        <v>91.8</v>
      </c>
      <c r="G23" s="8">
        <f t="shared" si="0"/>
        <v>2754</v>
      </c>
      <c r="H23" s="9">
        <v>0</v>
      </c>
      <c r="I23" s="9">
        <v>0</v>
      </c>
      <c r="J23" s="8">
        <f t="shared" si="1"/>
        <v>0</v>
      </c>
      <c r="K23" s="8">
        <f t="shared" si="2"/>
        <v>2754</v>
      </c>
      <c r="L23" s="171">
        <v>2754</v>
      </c>
      <c r="M23" s="8">
        <f t="shared" si="4"/>
        <v>2.0000000004074536E-3</v>
      </c>
      <c r="N23" s="53"/>
      <c r="O23" s="1"/>
    </row>
    <row r="24" spans="1:15">
      <c r="A24" s="55">
        <v>21</v>
      </c>
      <c r="B24" s="240">
        <v>45798</v>
      </c>
      <c r="C24" s="27"/>
      <c r="D24" s="27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71">
        <v>0</v>
      </c>
      <c r="M24" s="8">
        <f t="shared" si="4"/>
        <v>2.0000000004074536E-3</v>
      </c>
      <c r="N24" s="53"/>
      <c r="O24" s="1"/>
    </row>
    <row r="25" spans="1:15">
      <c r="A25" s="55">
        <v>22</v>
      </c>
      <c r="B25" s="240">
        <v>45799</v>
      </c>
      <c r="C25" s="27"/>
      <c r="D25" s="27"/>
      <c r="E25" s="8">
        <v>10</v>
      </c>
      <c r="F25" s="8">
        <v>91.8</v>
      </c>
      <c r="G25" s="8">
        <f t="shared" si="0"/>
        <v>918</v>
      </c>
      <c r="H25" s="9">
        <v>3</v>
      </c>
      <c r="I25" s="9">
        <v>103.76</v>
      </c>
      <c r="J25" s="8">
        <f t="shared" si="1"/>
        <v>311.28000000000003</v>
      </c>
      <c r="K25" s="8">
        <f t="shared" si="2"/>
        <v>1229.28</v>
      </c>
      <c r="L25" s="171">
        <v>1229.28</v>
      </c>
      <c r="M25" s="8">
        <f t="shared" si="4"/>
        <v>2.0000000004074536E-3</v>
      </c>
      <c r="N25" s="53"/>
      <c r="O25" s="1"/>
    </row>
    <row r="26" spans="1:15">
      <c r="A26" s="55">
        <v>23</v>
      </c>
      <c r="B26" s="240">
        <v>45800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71">
        <v>0</v>
      </c>
      <c r="M26" s="8">
        <f t="shared" si="4"/>
        <v>2.0000000004074536E-3</v>
      </c>
      <c r="N26" s="53"/>
      <c r="O26" s="1"/>
    </row>
    <row r="27" spans="1:15">
      <c r="A27" s="55">
        <v>24</v>
      </c>
      <c r="B27" s="240">
        <v>45801</v>
      </c>
      <c r="C27" s="27"/>
      <c r="D27" s="27"/>
      <c r="E27" s="8">
        <v>40</v>
      </c>
      <c r="F27" s="8">
        <v>91.8</v>
      </c>
      <c r="G27" s="8">
        <f t="shared" si="0"/>
        <v>3672</v>
      </c>
      <c r="H27" s="9">
        <v>5</v>
      </c>
      <c r="I27" s="9">
        <v>103.76</v>
      </c>
      <c r="J27" s="8">
        <f t="shared" si="1"/>
        <v>518.80000000000007</v>
      </c>
      <c r="K27" s="8">
        <f t="shared" si="2"/>
        <v>4190.8</v>
      </c>
      <c r="L27" s="171">
        <v>4190.8</v>
      </c>
      <c r="M27" s="8">
        <f t="shared" si="4"/>
        <v>2.0000000004074536E-3</v>
      </c>
      <c r="N27" s="53"/>
      <c r="O27" s="1"/>
    </row>
    <row r="28" spans="1:15">
      <c r="A28" s="55">
        <v>25</v>
      </c>
      <c r="B28" s="240">
        <v>45802</v>
      </c>
      <c r="C28" s="27"/>
      <c r="D28" s="27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71">
        <v>0</v>
      </c>
      <c r="M28" s="8">
        <f t="shared" si="4"/>
        <v>2.0000000004074536E-3</v>
      </c>
      <c r="N28" s="53"/>
      <c r="O28" s="1"/>
    </row>
    <row r="29" spans="1:15">
      <c r="A29" s="55">
        <v>26</v>
      </c>
      <c r="B29" s="240">
        <v>45803</v>
      </c>
      <c r="C29" s="27"/>
      <c r="D29" s="27"/>
      <c r="E29" s="8">
        <v>30</v>
      </c>
      <c r="F29" s="8">
        <v>91.8</v>
      </c>
      <c r="G29" s="8">
        <f t="shared" si="0"/>
        <v>2754</v>
      </c>
      <c r="H29" s="9">
        <v>0</v>
      </c>
      <c r="I29" s="9">
        <v>0</v>
      </c>
      <c r="J29" s="8">
        <f t="shared" si="1"/>
        <v>0</v>
      </c>
      <c r="K29" s="8">
        <f t="shared" si="2"/>
        <v>2754</v>
      </c>
      <c r="L29" s="8">
        <f t="shared" si="2"/>
        <v>2754</v>
      </c>
      <c r="M29" s="8">
        <f t="shared" si="4"/>
        <v>2.0000000004074536E-3</v>
      </c>
      <c r="N29" s="53"/>
      <c r="O29" s="1"/>
    </row>
    <row r="30" spans="1:15">
      <c r="A30" s="55">
        <v>27</v>
      </c>
      <c r="B30" s="240">
        <v>45804</v>
      </c>
      <c r="C30" s="27"/>
      <c r="D30" s="27"/>
      <c r="E30" s="8">
        <v>10</v>
      </c>
      <c r="F30" s="8">
        <v>91.8</v>
      </c>
      <c r="G30" s="8">
        <f t="shared" si="0"/>
        <v>918</v>
      </c>
      <c r="H30" s="9">
        <v>5</v>
      </c>
      <c r="I30" s="9">
        <v>103.76</v>
      </c>
      <c r="J30" s="8">
        <f t="shared" si="1"/>
        <v>518.80000000000007</v>
      </c>
      <c r="K30" s="8">
        <f t="shared" si="2"/>
        <v>1436.8000000000002</v>
      </c>
      <c r="L30" s="171">
        <v>1436.8</v>
      </c>
      <c r="M30" s="8">
        <f t="shared" si="4"/>
        <v>2.0000000006348273E-3</v>
      </c>
      <c r="N30" s="53"/>
      <c r="O30" s="1"/>
    </row>
    <row r="31" spans="1:15">
      <c r="A31" s="55">
        <v>28</v>
      </c>
      <c r="B31" s="240">
        <v>45805</v>
      </c>
      <c r="C31" s="27"/>
      <c r="D31" s="27"/>
      <c r="E31" s="8">
        <v>74.900000000000006</v>
      </c>
      <c r="F31" s="8">
        <v>91.8</v>
      </c>
      <c r="G31" s="8">
        <f t="shared" si="0"/>
        <v>6875.8200000000006</v>
      </c>
      <c r="H31" s="9">
        <v>0</v>
      </c>
      <c r="I31" s="9">
        <v>0</v>
      </c>
      <c r="J31" s="8">
        <f t="shared" si="1"/>
        <v>0</v>
      </c>
      <c r="K31" s="8">
        <f t="shared" si="2"/>
        <v>6875.8200000000006</v>
      </c>
      <c r="L31" s="171">
        <v>6875.82</v>
      </c>
      <c r="M31" s="8">
        <f t="shared" si="4"/>
        <v>2.0000000013169483E-3</v>
      </c>
      <c r="N31" s="53"/>
      <c r="O31" s="1"/>
    </row>
    <row r="32" spans="1:15">
      <c r="A32" s="234">
        <v>29</v>
      </c>
      <c r="B32" s="240">
        <v>45806</v>
      </c>
      <c r="C32" s="27"/>
      <c r="D32" s="27"/>
      <c r="E32" s="8">
        <v>110</v>
      </c>
      <c r="F32" s="8">
        <v>91.8</v>
      </c>
      <c r="G32" s="8">
        <f t="shared" si="0"/>
        <v>10098</v>
      </c>
      <c r="H32" s="9">
        <v>4</v>
      </c>
      <c r="I32" s="9">
        <v>103.76</v>
      </c>
      <c r="J32" s="8">
        <f t="shared" si="1"/>
        <v>415.04</v>
      </c>
      <c r="K32" s="8">
        <f t="shared" si="2"/>
        <v>10513.04</v>
      </c>
      <c r="L32" s="171">
        <v>10513.04</v>
      </c>
      <c r="M32" s="8">
        <f t="shared" si="4"/>
        <v>2.0000000004074536E-3</v>
      </c>
      <c r="N32" s="53"/>
      <c r="O32" s="1"/>
    </row>
    <row r="33" spans="1:15">
      <c r="A33" s="234">
        <v>30</v>
      </c>
      <c r="B33" s="240">
        <v>45807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71">
        <v>0</v>
      </c>
      <c r="M33" s="8">
        <f t="shared" si="4"/>
        <v>2.0000000004074536E-3</v>
      </c>
      <c r="N33" s="53"/>
      <c r="O33" s="1"/>
    </row>
    <row r="34" spans="1:15">
      <c r="A34" s="234">
        <v>31</v>
      </c>
      <c r="B34" s="240">
        <v>45808</v>
      </c>
      <c r="C34" s="27"/>
      <c r="D34" s="27"/>
      <c r="E34" s="8">
        <v>85</v>
      </c>
      <c r="F34" s="8">
        <v>91.8</v>
      </c>
      <c r="G34" s="8">
        <f t="shared" si="0"/>
        <v>7803</v>
      </c>
      <c r="H34" s="9">
        <v>10</v>
      </c>
      <c r="I34" s="9">
        <v>103.76</v>
      </c>
      <c r="J34" s="8">
        <f t="shared" si="1"/>
        <v>1037.6000000000001</v>
      </c>
      <c r="K34" s="8">
        <f t="shared" ref="K34" si="5">G34+J34</f>
        <v>8840.6</v>
      </c>
      <c r="L34" s="171">
        <f t="shared" ref="L8:L34" si="6">+K34</f>
        <v>8840.6</v>
      </c>
      <c r="M34" s="8"/>
      <c r="N34" s="53"/>
      <c r="O34" s="1"/>
    </row>
    <row r="35" spans="1:15">
      <c r="A35" s="75"/>
      <c r="B35" s="75"/>
      <c r="C35" s="75"/>
      <c r="D35" s="75"/>
      <c r="E35" s="76">
        <f>SUM(E4:E34)</f>
        <v>1295.79</v>
      </c>
      <c r="F35" s="76"/>
      <c r="G35" s="76">
        <f>SUM(G4:G34)</f>
        <v>118953.52200000001</v>
      </c>
      <c r="H35" s="76">
        <f>SUM(H4:H34)</f>
        <v>67</v>
      </c>
      <c r="I35" s="76"/>
      <c r="J35" s="76">
        <f>SUM(J4:J34)</f>
        <v>6951.920000000001</v>
      </c>
      <c r="K35" s="76">
        <f>SUM(K4:K34)</f>
        <v>125905.44200000004</v>
      </c>
      <c r="L35" s="76">
        <f>SUM(L4:L34)</f>
        <v>125905.44000000003</v>
      </c>
      <c r="M35" s="76"/>
      <c r="N35" s="76"/>
      <c r="O35" s="72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26"/>
      <c r="C38" s="426"/>
      <c r="D38" s="426"/>
      <c r="E38" s="426"/>
      <c r="F38" s="1"/>
      <c r="G38" s="1"/>
      <c r="H38" s="1"/>
      <c r="I38" s="463">
        <f>K24+L24</f>
        <v>0</v>
      </c>
      <c r="J38" s="426"/>
      <c r="K38" s="426"/>
      <c r="L38" s="426"/>
      <c r="M38" s="426"/>
      <c r="N38" s="42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O49"/>
  <sheetViews>
    <sheetView topLeftCell="A24" workbookViewId="0">
      <selection activeCell="Q16" sqref="Q16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5" ht="15.75">
      <c r="A1" s="435" t="s">
        <v>68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65"/>
    </row>
    <row r="2" spans="1:15" ht="30.75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77" t="s">
        <v>107</v>
      </c>
      <c r="L2" s="99" t="s">
        <v>108</v>
      </c>
      <c r="M2" s="190" t="s">
        <v>115</v>
      </c>
      <c r="N2" s="97" t="s">
        <v>110</v>
      </c>
      <c r="O2" s="72"/>
    </row>
    <row r="3" spans="1:15">
      <c r="A3" s="168"/>
      <c r="B3" s="169"/>
      <c r="C3" s="169"/>
      <c r="D3" s="149" t="s">
        <v>111</v>
      </c>
      <c r="E3" s="169"/>
      <c r="F3" s="169"/>
      <c r="G3" s="169"/>
      <c r="H3" s="169"/>
      <c r="I3" s="169"/>
      <c r="J3" s="170"/>
      <c r="K3" s="168">
        <v>0</v>
      </c>
      <c r="L3" s="171">
        <v>0</v>
      </c>
      <c r="M3" s="171">
        <f>+K3</f>
        <v>0</v>
      </c>
      <c r="N3" s="169"/>
      <c r="O3" s="72"/>
    </row>
    <row r="4" spans="1:15">
      <c r="A4" s="55">
        <v>1</v>
      </c>
      <c r="B4" s="240">
        <v>45778</v>
      </c>
      <c r="C4" s="27"/>
      <c r="D4" s="27"/>
      <c r="E4" s="8">
        <v>27.57</v>
      </c>
      <c r="F4" s="8">
        <v>92.04</v>
      </c>
      <c r="G4" s="8">
        <f>E4*F4</f>
        <v>2537.5428000000002</v>
      </c>
      <c r="H4" s="9">
        <v>10</v>
      </c>
      <c r="I4" s="9">
        <v>104.02</v>
      </c>
      <c r="J4" s="8">
        <f>H4*I4</f>
        <v>1040.2</v>
      </c>
      <c r="K4" s="8">
        <f>G4+J4</f>
        <v>3577.7428</v>
      </c>
      <c r="L4" s="171">
        <f>+K4</f>
        <v>3577.7428</v>
      </c>
      <c r="M4" s="8">
        <f>M3+K4-L4</f>
        <v>0</v>
      </c>
      <c r="N4" s="53"/>
      <c r="O4" s="1"/>
    </row>
    <row r="5" spans="1:15">
      <c r="A5" s="55">
        <v>2</v>
      </c>
      <c r="B5" s="240">
        <v>45779</v>
      </c>
      <c r="C5" s="27"/>
      <c r="D5" s="27"/>
      <c r="E5" s="8">
        <v>0</v>
      </c>
      <c r="F5" s="8">
        <v>0</v>
      </c>
      <c r="G5" s="8">
        <f t="shared" ref="G5:G23" si="0">E5*F5</f>
        <v>0</v>
      </c>
      <c r="H5" s="9">
        <v>0</v>
      </c>
      <c r="I5" s="9">
        <v>0</v>
      </c>
      <c r="J5" s="8">
        <f t="shared" ref="J5:J23" si="1">H5*I5</f>
        <v>0</v>
      </c>
      <c r="K5" s="8">
        <f t="shared" ref="K5:K23" si="2">G5+J5</f>
        <v>0</v>
      </c>
      <c r="L5" s="171">
        <f>+K5</f>
        <v>0</v>
      </c>
      <c r="M5" s="8">
        <f t="shared" ref="M5" si="3">M4+K5-L5</f>
        <v>0</v>
      </c>
      <c r="N5" s="53"/>
      <c r="O5" s="1"/>
    </row>
    <row r="6" spans="1:15">
      <c r="A6" s="55">
        <v>3</v>
      </c>
      <c r="B6" s="240">
        <v>45780</v>
      </c>
      <c r="C6" s="27"/>
      <c r="D6" s="27"/>
      <c r="E6" s="8">
        <v>0</v>
      </c>
      <c r="F6" s="8">
        <v>0</v>
      </c>
      <c r="G6" s="8">
        <f t="shared" ref="G6:G32" si="4">E6*F6</f>
        <v>0</v>
      </c>
      <c r="H6" s="9">
        <v>0</v>
      </c>
      <c r="I6" s="9">
        <v>0</v>
      </c>
      <c r="J6" s="8">
        <f t="shared" ref="J6:J32" si="5">H6*I6</f>
        <v>0</v>
      </c>
      <c r="K6" s="8">
        <f t="shared" ref="K6:L32" si="6">G6+J6</f>
        <v>0</v>
      </c>
      <c r="L6" s="171">
        <f t="shared" ref="L6:L32" si="7">+K6</f>
        <v>0</v>
      </c>
      <c r="M6" s="8">
        <f t="shared" ref="M6:M31" si="8">M5+K6-L6</f>
        <v>0</v>
      </c>
      <c r="N6" s="53"/>
      <c r="O6" s="1"/>
    </row>
    <row r="7" spans="1:15">
      <c r="A7" s="55">
        <v>4</v>
      </c>
      <c r="B7" s="240">
        <v>45781</v>
      </c>
      <c r="C7" s="27"/>
      <c r="D7" s="27"/>
      <c r="E7" s="8">
        <v>0</v>
      </c>
      <c r="F7" s="8">
        <v>0</v>
      </c>
      <c r="G7" s="8">
        <f t="shared" si="4"/>
        <v>0</v>
      </c>
      <c r="H7" s="9">
        <v>0</v>
      </c>
      <c r="I7" s="9">
        <v>0</v>
      </c>
      <c r="J7" s="8">
        <f t="shared" si="5"/>
        <v>0</v>
      </c>
      <c r="K7" s="8">
        <f t="shared" si="6"/>
        <v>0</v>
      </c>
      <c r="L7" s="171">
        <f t="shared" si="7"/>
        <v>0</v>
      </c>
      <c r="M7" s="8">
        <f t="shared" si="8"/>
        <v>0</v>
      </c>
      <c r="N7" s="53"/>
      <c r="O7" s="1"/>
    </row>
    <row r="8" spans="1:15">
      <c r="A8" s="55">
        <v>5</v>
      </c>
      <c r="B8" s="240">
        <v>45782</v>
      </c>
      <c r="C8" s="27"/>
      <c r="D8" s="27"/>
      <c r="E8" s="8">
        <v>0</v>
      </c>
      <c r="F8" s="8">
        <v>0</v>
      </c>
      <c r="G8" s="8">
        <f t="shared" si="4"/>
        <v>0</v>
      </c>
      <c r="H8" s="9">
        <v>0</v>
      </c>
      <c r="I8" s="9">
        <v>0</v>
      </c>
      <c r="J8" s="8">
        <f t="shared" si="5"/>
        <v>0</v>
      </c>
      <c r="K8" s="8">
        <f t="shared" si="6"/>
        <v>0</v>
      </c>
      <c r="L8" s="171">
        <f t="shared" si="7"/>
        <v>0</v>
      </c>
      <c r="M8" s="8">
        <f t="shared" si="8"/>
        <v>0</v>
      </c>
      <c r="N8" s="53"/>
      <c r="O8" s="1"/>
    </row>
    <row r="9" spans="1:15">
      <c r="A9" s="55">
        <v>6</v>
      </c>
      <c r="B9" s="240">
        <v>45783</v>
      </c>
      <c r="C9" s="27"/>
      <c r="D9" s="27"/>
      <c r="E9" s="8">
        <v>0</v>
      </c>
      <c r="F9" s="8">
        <v>0</v>
      </c>
      <c r="G9" s="8">
        <f t="shared" si="4"/>
        <v>0</v>
      </c>
      <c r="H9" s="9">
        <v>0</v>
      </c>
      <c r="I9" s="9">
        <v>0</v>
      </c>
      <c r="J9" s="8">
        <f t="shared" si="5"/>
        <v>0</v>
      </c>
      <c r="K9" s="8">
        <f t="shared" si="6"/>
        <v>0</v>
      </c>
      <c r="L9" s="171">
        <f t="shared" si="7"/>
        <v>0</v>
      </c>
      <c r="M9" s="8">
        <f t="shared" si="8"/>
        <v>0</v>
      </c>
      <c r="N9" s="53"/>
      <c r="O9" s="1"/>
    </row>
    <row r="10" spans="1:15">
      <c r="A10" s="55">
        <v>7</v>
      </c>
      <c r="B10" s="240">
        <v>45784</v>
      </c>
      <c r="C10" s="27"/>
      <c r="D10" s="27"/>
      <c r="E10" s="8">
        <v>60</v>
      </c>
      <c r="F10" s="8">
        <v>92.04</v>
      </c>
      <c r="G10" s="8">
        <f t="shared" si="4"/>
        <v>5522.4000000000005</v>
      </c>
      <c r="H10" s="9">
        <v>15</v>
      </c>
      <c r="I10" s="9">
        <v>104.02</v>
      </c>
      <c r="J10" s="8">
        <f t="shared" si="5"/>
        <v>1560.3</v>
      </c>
      <c r="K10" s="8">
        <f t="shared" si="6"/>
        <v>7082.7000000000007</v>
      </c>
      <c r="L10" s="171">
        <f t="shared" si="7"/>
        <v>7082.7000000000007</v>
      </c>
      <c r="M10" s="8">
        <f t="shared" si="8"/>
        <v>0</v>
      </c>
      <c r="N10" s="53"/>
      <c r="O10" s="1"/>
    </row>
    <row r="11" spans="1:15">
      <c r="A11" s="55">
        <v>8</v>
      </c>
      <c r="B11" s="240">
        <v>45785</v>
      </c>
      <c r="C11" s="27"/>
      <c r="D11" s="27"/>
      <c r="E11" s="8">
        <v>0</v>
      </c>
      <c r="F11" s="8">
        <v>0</v>
      </c>
      <c r="G11" s="8">
        <f t="shared" si="4"/>
        <v>0</v>
      </c>
      <c r="H11" s="9">
        <v>0</v>
      </c>
      <c r="I11" s="9">
        <v>0</v>
      </c>
      <c r="J11" s="8">
        <f t="shared" si="5"/>
        <v>0</v>
      </c>
      <c r="K11" s="8">
        <f t="shared" si="6"/>
        <v>0</v>
      </c>
      <c r="L11" s="171">
        <f t="shared" si="7"/>
        <v>0</v>
      </c>
      <c r="M11" s="8">
        <f t="shared" si="8"/>
        <v>0</v>
      </c>
      <c r="N11" s="53"/>
      <c r="O11" s="1"/>
    </row>
    <row r="12" spans="1:15">
      <c r="A12" s="55">
        <v>9</v>
      </c>
      <c r="B12" s="240">
        <v>45786</v>
      </c>
      <c r="C12" s="27"/>
      <c r="D12" s="27"/>
      <c r="E12" s="8">
        <v>70</v>
      </c>
      <c r="F12" s="8">
        <v>92.04</v>
      </c>
      <c r="G12" s="8">
        <f t="shared" si="4"/>
        <v>6442.8</v>
      </c>
      <c r="H12" s="9">
        <v>0</v>
      </c>
      <c r="I12" s="9">
        <v>0</v>
      </c>
      <c r="J12" s="8">
        <f t="shared" si="5"/>
        <v>0</v>
      </c>
      <c r="K12" s="8">
        <f t="shared" si="6"/>
        <v>6442.8</v>
      </c>
      <c r="L12" s="171">
        <f t="shared" si="7"/>
        <v>6442.8</v>
      </c>
      <c r="M12" s="8">
        <f t="shared" si="8"/>
        <v>0</v>
      </c>
      <c r="N12" s="53"/>
      <c r="O12" s="1" t="s">
        <v>112</v>
      </c>
    </row>
    <row r="13" spans="1:15">
      <c r="A13" s="55">
        <v>10</v>
      </c>
      <c r="B13" s="240">
        <v>45787</v>
      </c>
      <c r="C13" s="27"/>
      <c r="D13" s="27"/>
      <c r="E13" s="8">
        <v>0</v>
      </c>
      <c r="F13" s="8">
        <v>0</v>
      </c>
      <c r="G13" s="8">
        <f t="shared" si="4"/>
        <v>0</v>
      </c>
      <c r="H13" s="9">
        <v>0</v>
      </c>
      <c r="I13" s="9">
        <v>0</v>
      </c>
      <c r="J13" s="8">
        <f t="shared" si="5"/>
        <v>0</v>
      </c>
      <c r="K13" s="8">
        <f t="shared" si="6"/>
        <v>0</v>
      </c>
      <c r="L13" s="171">
        <f t="shared" si="7"/>
        <v>0</v>
      </c>
      <c r="M13" s="8">
        <f t="shared" si="8"/>
        <v>0</v>
      </c>
      <c r="N13" s="53"/>
      <c r="O13" s="1"/>
    </row>
    <row r="14" spans="1:15">
      <c r="A14" s="55">
        <v>11</v>
      </c>
      <c r="B14" s="240">
        <v>45788</v>
      </c>
      <c r="C14" s="27"/>
      <c r="D14" s="27"/>
      <c r="E14" s="8">
        <v>0</v>
      </c>
      <c r="F14" s="8">
        <v>92.04</v>
      </c>
      <c r="G14" s="8">
        <f t="shared" si="4"/>
        <v>0</v>
      </c>
      <c r="H14" s="9">
        <v>0</v>
      </c>
      <c r="I14" s="9">
        <v>0</v>
      </c>
      <c r="J14" s="8">
        <f t="shared" si="5"/>
        <v>0</v>
      </c>
      <c r="K14" s="8">
        <f t="shared" si="6"/>
        <v>0</v>
      </c>
      <c r="L14" s="171">
        <f t="shared" si="7"/>
        <v>0</v>
      </c>
      <c r="M14" s="8">
        <f t="shared" si="8"/>
        <v>0</v>
      </c>
      <c r="N14" s="53"/>
      <c r="O14" s="1"/>
    </row>
    <row r="15" spans="1:15">
      <c r="A15" s="55">
        <v>12</v>
      </c>
      <c r="B15" s="240">
        <v>45789</v>
      </c>
      <c r="C15" s="27"/>
      <c r="D15" s="27"/>
      <c r="E15" s="8">
        <v>100</v>
      </c>
      <c r="F15" s="8">
        <v>92.04</v>
      </c>
      <c r="G15" s="8">
        <f t="shared" si="4"/>
        <v>9204</v>
      </c>
      <c r="H15" s="9">
        <v>0</v>
      </c>
      <c r="I15" s="9">
        <v>0</v>
      </c>
      <c r="J15" s="8">
        <f t="shared" si="5"/>
        <v>0</v>
      </c>
      <c r="K15" s="8">
        <f t="shared" si="6"/>
        <v>9204</v>
      </c>
      <c r="L15" s="171">
        <f t="shared" si="7"/>
        <v>9204</v>
      </c>
      <c r="M15" s="8">
        <f t="shared" si="8"/>
        <v>0</v>
      </c>
      <c r="N15" s="53"/>
      <c r="O15" s="1"/>
    </row>
    <row r="16" spans="1:15">
      <c r="A16" s="55">
        <v>13</v>
      </c>
      <c r="B16" s="240">
        <v>45790</v>
      </c>
      <c r="C16" s="27"/>
      <c r="D16" s="27"/>
      <c r="E16" s="8">
        <v>100</v>
      </c>
      <c r="F16" s="8">
        <v>92.04</v>
      </c>
      <c r="G16" s="8">
        <f t="shared" si="4"/>
        <v>9204</v>
      </c>
      <c r="H16" s="9">
        <v>0</v>
      </c>
      <c r="I16" s="9">
        <v>0</v>
      </c>
      <c r="J16" s="8">
        <f t="shared" si="5"/>
        <v>0</v>
      </c>
      <c r="K16" s="8">
        <f t="shared" si="6"/>
        <v>9204</v>
      </c>
      <c r="L16" s="171">
        <f t="shared" si="7"/>
        <v>9204</v>
      </c>
      <c r="M16" s="8">
        <f t="shared" si="8"/>
        <v>0</v>
      </c>
      <c r="N16" s="53"/>
      <c r="O16" s="1"/>
    </row>
    <row r="17" spans="1:15">
      <c r="A17" s="55">
        <v>14</v>
      </c>
      <c r="B17" s="240">
        <v>45791</v>
      </c>
      <c r="C17" s="27"/>
      <c r="D17" s="27"/>
      <c r="E17" s="8">
        <v>170</v>
      </c>
      <c r="F17" s="8">
        <v>92.04</v>
      </c>
      <c r="G17" s="8">
        <f t="shared" si="4"/>
        <v>15646.800000000001</v>
      </c>
      <c r="H17" s="9">
        <v>5</v>
      </c>
      <c r="I17" s="9">
        <v>104.02</v>
      </c>
      <c r="J17" s="8">
        <f t="shared" si="5"/>
        <v>520.1</v>
      </c>
      <c r="K17" s="8">
        <f t="shared" si="6"/>
        <v>16166.900000000001</v>
      </c>
      <c r="L17" s="171">
        <f t="shared" si="7"/>
        <v>16166.900000000001</v>
      </c>
      <c r="M17" s="8">
        <f t="shared" si="8"/>
        <v>0</v>
      </c>
      <c r="N17" s="53"/>
      <c r="O17" s="1"/>
    </row>
    <row r="18" spans="1:15">
      <c r="A18" s="55">
        <v>15</v>
      </c>
      <c r="B18" s="240">
        <v>45792</v>
      </c>
      <c r="C18" s="27"/>
      <c r="D18" s="27"/>
      <c r="E18" s="8">
        <v>145</v>
      </c>
      <c r="F18" s="8">
        <v>92.04</v>
      </c>
      <c r="G18" s="8">
        <f t="shared" si="4"/>
        <v>13345.800000000001</v>
      </c>
      <c r="H18" s="9">
        <v>0</v>
      </c>
      <c r="I18" s="9">
        <v>0</v>
      </c>
      <c r="J18" s="8">
        <f t="shared" si="5"/>
        <v>0</v>
      </c>
      <c r="K18" s="8">
        <f t="shared" si="6"/>
        <v>13345.800000000001</v>
      </c>
      <c r="L18" s="171">
        <f t="shared" si="7"/>
        <v>13345.800000000001</v>
      </c>
      <c r="M18" s="8">
        <f t="shared" si="8"/>
        <v>0</v>
      </c>
      <c r="N18" s="53"/>
      <c r="O18" s="1"/>
    </row>
    <row r="19" spans="1:15">
      <c r="A19" s="55">
        <v>16</v>
      </c>
      <c r="B19" s="240">
        <v>45793</v>
      </c>
      <c r="C19" s="27"/>
      <c r="D19" s="27"/>
      <c r="E19" s="8">
        <v>75</v>
      </c>
      <c r="F19" s="8">
        <v>92.04</v>
      </c>
      <c r="G19" s="8">
        <f t="shared" si="4"/>
        <v>6903.0000000000009</v>
      </c>
      <c r="H19" s="9">
        <v>0</v>
      </c>
      <c r="I19" s="9">
        <v>0</v>
      </c>
      <c r="J19" s="8">
        <f t="shared" si="5"/>
        <v>0</v>
      </c>
      <c r="K19" s="8">
        <f t="shared" si="6"/>
        <v>6903.0000000000009</v>
      </c>
      <c r="L19" s="171">
        <f t="shared" si="7"/>
        <v>6903.0000000000009</v>
      </c>
      <c r="M19" s="8">
        <f t="shared" si="8"/>
        <v>0</v>
      </c>
      <c r="N19" s="53"/>
      <c r="O19" s="1"/>
    </row>
    <row r="20" spans="1:15">
      <c r="A20" s="55">
        <v>17</v>
      </c>
      <c r="B20" s="240">
        <v>45794</v>
      </c>
      <c r="C20" s="27"/>
      <c r="D20" s="27"/>
      <c r="E20" s="8">
        <v>75</v>
      </c>
      <c r="F20" s="8">
        <v>92.04</v>
      </c>
      <c r="G20" s="8">
        <f t="shared" si="4"/>
        <v>6903.0000000000009</v>
      </c>
      <c r="H20" s="9">
        <v>5</v>
      </c>
      <c r="I20" s="9">
        <v>104.02</v>
      </c>
      <c r="J20" s="8">
        <f t="shared" si="5"/>
        <v>520.1</v>
      </c>
      <c r="K20" s="8">
        <f t="shared" si="6"/>
        <v>7423.1000000000013</v>
      </c>
      <c r="L20" s="171">
        <f t="shared" si="7"/>
        <v>7423.1000000000013</v>
      </c>
      <c r="M20" s="8">
        <f t="shared" si="8"/>
        <v>0</v>
      </c>
      <c r="N20" s="53"/>
      <c r="O20" s="1"/>
    </row>
    <row r="21" spans="1:15">
      <c r="A21" s="55">
        <v>18</v>
      </c>
      <c r="B21" s="240">
        <v>45795</v>
      </c>
      <c r="C21" s="27"/>
      <c r="D21" s="27"/>
      <c r="E21" s="8">
        <v>0</v>
      </c>
      <c r="F21" s="8">
        <v>0</v>
      </c>
      <c r="G21" s="8">
        <f t="shared" si="4"/>
        <v>0</v>
      </c>
      <c r="H21" s="9">
        <v>0</v>
      </c>
      <c r="I21" s="9">
        <v>0</v>
      </c>
      <c r="J21" s="8">
        <f t="shared" si="5"/>
        <v>0</v>
      </c>
      <c r="K21" s="8">
        <f t="shared" si="6"/>
        <v>0</v>
      </c>
      <c r="L21" s="171">
        <f t="shared" si="7"/>
        <v>0</v>
      </c>
      <c r="M21" s="8">
        <f t="shared" si="8"/>
        <v>0</v>
      </c>
      <c r="N21" s="53"/>
      <c r="O21" s="1"/>
    </row>
    <row r="22" spans="1:15">
      <c r="A22" s="55">
        <v>19</v>
      </c>
      <c r="B22" s="240">
        <v>45796</v>
      </c>
      <c r="C22" s="27"/>
      <c r="D22" s="27"/>
      <c r="E22" s="8">
        <v>70</v>
      </c>
      <c r="F22" s="8">
        <v>92.04</v>
      </c>
      <c r="G22" s="8">
        <f t="shared" si="4"/>
        <v>6442.8</v>
      </c>
      <c r="H22" s="9">
        <v>10</v>
      </c>
      <c r="I22" s="9">
        <v>104.02</v>
      </c>
      <c r="J22" s="8">
        <f t="shared" si="5"/>
        <v>1040.2</v>
      </c>
      <c r="K22" s="8">
        <f t="shared" si="6"/>
        <v>7483</v>
      </c>
      <c r="L22" s="171">
        <f t="shared" si="7"/>
        <v>7483</v>
      </c>
      <c r="M22" s="8">
        <f t="shared" si="8"/>
        <v>0</v>
      </c>
      <c r="N22" s="53"/>
      <c r="O22" s="1"/>
    </row>
    <row r="23" spans="1:15">
      <c r="A23" s="55">
        <v>20</v>
      </c>
      <c r="B23" s="240">
        <v>45797</v>
      </c>
      <c r="C23" s="27"/>
      <c r="D23" s="27"/>
      <c r="E23" s="8">
        <v>105</v>
      </c>
      <c r="F23" s="8">
        <v>92.04</v>
      </c>
      <c r="G23" s="8">
        <f t="shared" si="4"/>
        <v>9664.2000000000007</v>
      </c>
      <c r="H23" s="9">
        <v>0</v>
      </c>
      <c r="I23" s="9">
        <v>0</v>
      </c>
      <c r="J23" s="8">
        <f t="shared" si="5"/>
        <v>0</v>
      </c>
      <c r="K23" s="8">
        <f t="shared" si="6"/>
        <v>9664.2000000000007</v>
      </c>
      <c r="L23" s="171">
        <v>0</v>
      </c>
      <c r="M23" s="8">
        <f t="shared" si="8"/>
        <v>9664.2000000000007</v>
      </c>
      <c r="N23" s="53"/>
      <c r="O23" s="1"/>
    </row>
    <row r="24" spans="1:15">
      <c r="A24" s="55">
        <v>21</v>
      </c>
      <c r="B24" s="240">
        <v>45798</v>
      </c>
      <c r="C24" s="27"/>
      <c r="D24" s="27"/>
      <c r="E24" s="8">
        <v>35</v>
      </c>
      <c r="F24" s="8">
        <v>92.04</v>
      </c>
      <c r="G24" s="8">
        <f t="shared" si="4"/>
        <v>3221.4</v>
      </c>
      <c r="H24" s="9">
        <v>0</v>
      </c>
      <c r="I24" s="9">
        <v>0</v>
      </c>
      <c r="J24" s="8">
        <f t="shared" si="5"/>
        <v>0</v>
      </c>
      <c r="K24" s="8">
        <f t="shared" si="6"/>
        <v>3221.4</v>
      </c>
      <c r="L24" s="171">
        <v>12885.6</v>
      </c>
      <c r="M24" s="8">
        <f t="shared" si="8"/>
        <v>0</v>
      </c>
      <c r="N24" s="53"/>
      <c r="O24" s="1"/>
    </row>
    <row r="25" spans="1:15">
      <c r="A25" s="55">
        <v>22</v>
      </c>
      <c r="B25" s="240">
        <v>45799</v>
      </c>
      <c r="C25" s="27"/>
      <c r="D25" s="27"/>
      <c r="E25" s="8">
        <v>70</v>
      </c>
      <c r="F25" s="8">
        <v>92.04</v>
      </c>
      <c r="G25" s="8">
        <f t="shared" si="4"/>
        <v>6442.8</v>
      </c>
      <c r="H25" s="9">
        <v>0</v>
      </c>
      <c r="I25" s="9">
        <v>0</v>
      </c>
      <c r="J25" s="8">
        <f t="shared" si="5"/>
        <v>0</v>
      </c>
      <c r="K25" s="8">
        <f t="shared" si="6"/>
        <v>6442.8</v>
      </c>
      <c r="L25" s="171">
        <f t="shared" si="7"/>
        <v>6442.8</v>
      </c>
      <c r="M25" s="8">
        <f t="shared" si="8"/>
        <v>0</v>
      </c>
      <c r="N25" s="53"/>
      <c r="O25" s="1"/>
    </row>
    <row r="26" spans="1:15">
      <c r="A26" s="55">
        <v>23</v>
      </c>
      <c r="B26" s="240">
        <v>45800</v>
      </c>
      <c r="C26" s="27"/>
      <c r="D26" s="27"/>
      <c r="E26" s="8">
        <v>70</v>
      </c>
      <c r="F26" s="8">
        <v>92.04</v>
      </c>
      <c r="G26" s="8">
        <f t="shared" si="4"/>
        <v>6442.8</v>
      </c>
      <c r="H26" s="9">
        <v>0</v>
      </c>
      <c r="I26" s="9">
        <v>0</v>
      </c>
      <c r="J26" s="8">
        <f t="shared" si="5"/>
        <v>0</v>
      </c>
      <c r="K26" s="8">
        <f t="shared" si="6"/>
        <v>6442.8</v>
      </c>
      <c r="L26" s="171">
        <f t="shared" si="7"/>
        <v>6442.8</v>
      </c>
      <c r="M26" s="8">
        <f t="shared" si="8"/>
        <v>0</v>
      </c>
      <c r="N26" s="53"/>
      <c r="O26" s="1"/>
    </row>
    <row r="27" spans="1:15">
      <c r="A27" s="55">
        <v>24</v>
      </c>
      <c r="B27" s="240">
        <v>45801</v>
      </c>
      <c r="C27" s="27"/>
      <c r="D27" s="27"/>
      <c r="E27" s="8">
        <v>0</v>
      </c>
      <c r="F27" s="8">
        <v>0</v>
      </c>
      <c r="G27" s="8">
        <f t="shared" si="4"/>
        <v>0</v>
      </c>
      <c r="H27" s="9">
        <v>0</v>
      </c>
      <c r="I27" s="9">
        <v>0</v>
      </c>
      <c r="J27" s="8">
        <f t="shared" si="5"/>
        <v>0</v>
      </c>
      <c r="K27" s="8">
        <f t="shared" si="6"/>
        <v>0</v>
      </c>
      <c r="L27" s="171">
        <f t="shared" si="7"/>
        <v>0</v>
      </c>
      <c r="M27" s="8">
        <f t="shared" si="8"/>
        <v>0</v>
      </c>
      <c r="N27" s="53"/>
      <c r="O27" s="1"/>
    </row>
    <row r="28" spans="1:15">
      <c r="A28" s="55">
        <v>25</v>
      </c>
      <c r="B28" s="240">
        <v>45802</v>
      </c>
      <c r="C28" s="27"/>
      <c r="D28" s="27"/>
      <c r="E28" s="8">
        <v>0</v>
      </c>
      <c r="F28" s="8">
        <v>0</v>
      </c>
      <c r="G28" s="8">
        <f t="shared" si="4"/>
        <v>0</v>
      </c>
      <c r="H28" s="9">
        <v>0</v>
      </c>
      <c r="I28" s="9">
        <v>0</v>
      </c>
      <c r="J28" s="8">
        <f t="shared" si="5"/>
        <v>0</v>
      </c>
      <c r="K28" s="8">
        <f t="shared" si="6"/>
        <v>0</v>
      </c>
      <c r="L28" s="171">
        <f t="shared" si="7"/>
        <v>0</v>
      </c>
      <c r="M28" s="8">
        <f t="shared" si="8"/>
        <v>0</v>
      </c>
      <c r="N28" s="53"/>
      <c r="O28" s="1"/>
    </row>
    <row r="29" spans="1:15">
      <c r="A29" s="55">
        <v>26</v>
      </c>
      <c r="B29" s="240">
        <v>45803</v>
      </c>
      <c r="C29" s="27"/>
      <c r="D29" s="27"/>
      <c r="E29" s="8">
        <v>68.849999999999994</v>
      </c>
      <c r="F29" s="8">
        <v>92.04</v>
      </c>
      <c r="G29" s="8">
        <f t="shared" si="4"/>
        <v>6336.9539999999997</v>
      </c>
      <c r="H29" s="9">
        <v>0</v>
      </c>
      <c r="I29" s="9">
        <v>0</v>
      </c>
      <c r="J29" s="8">
        <f t="shared" si="5"/>
        <v>0</v>
      </c>
      <c r="K29" s="8">
        <f t="shared" si="6"/>
        <v>6336.9539999999997</v>
      </c>
      <c r="L29" s="171">
        <f t="shared" si="7"/>
        <v>6336.9539999999997</v>
      </c>
      <c r="M29" s="8">
        <f t="shared" si="8"/>
        <v>0</v>
      </c>
      <c r="N29" s="53"/>
      <c r="O29" s="1"/>
    </row>
    <row r="30" spans="1:15">
      <c r="A30" s="55">
        <v>27</v>
      </c>
      <c r="B30" s="240">
        <v>45804</v>
      </c>
      <c r="C30" s="27"/>
      <c r="D30" s="27"/>
      <c r="E30" s="8">
        <v>70</v>
      </c>
      <c r="F30" s="8">
        <v>92.04</v>
      </c>
      <c r="G30" s="8">
        <f t="shared" si="4"/>
        <v>6442.8</v>
      </c>
      <c r="H30" s="9">
        <v>5</v>
      </c>
      <c r="I30" s="9">
        <v>104.2</v>
      </c>
      <c r="J30" s="8">
        <f t="shared" si="5"/>
        <v>521</v>
      </c>
      <c r="K30" s="8">
        <f t="shared" si="6"/>
        <v>6963.8</v>
      </c>
      <c r="L30" s="171">
        <f t="shared" si="7"/>
        <v>6963.8</v>
      </c>
      <c r="M30" s="8">
        <f t="shared" si="8"/>
        <v>0</v>
      </c>
      <c r="N30" s="53"/>
      <c r="O30" s="1"/>
    </row>
    <row r="31" spans="1:15">
      <c r="A31" s="55">
        <v>28</v>
      </c>
      <c r="B31" s="240">
        <v>45805</v>
      </c>
      <c r="C31" s="27"/>
      <c r="D31" s="27"/>
      <c r="E31" s="8">
        <v>35</v>
      </c>
      <c r="F31" s="8">
        <v>92.04</v>
      </c>
      <c r="G31" s="8">
        <f t="shared" si="4"/>
        <v>3221.4</v>
      </c>
      <c r="H31" s="9">
        <v>5</v>
      </c>
      <c r="I31" s="9">
        <v>104.2</v>
      </c>
      <c r="J31" s="8">
        <f t="shared" si="5"/>
        <v>521</v>
      </c>
      <c r="K31" s="8">
        <f t="shared" si="6"/>
        <v>3742.4</v>
      </c>
      <c r="L31" s="171">
        <f t="shared" si="7"/>
        <v>3742.4</v>
      </c>
      <c r="M31" s="8">
        <f t="shared" si="8"/>
        <v>0</v>
      </c>
      <c r="N31" s="53"/>
      <c r="O31" s="1"/>
    </row>
    <row r="32" spans="1:15">
      <c r="A32" s="234">
        <v>29</v>
      </c>
      <c r="B32" s="240">
        <v>45806</v>
      </c>
      <c r="C32" s="27"/>
      <c r="D32" s="27"/>
      <c r="E32" s="8">
        <v>36</v>
      </c>
      <c r="F32" s="8">
        <v>92.04</v>
      </c>
      <c r="G32" s="8">
        <f t="shared" si="4"/>
        <v>3313.44</v>
      </c>
      <c r="H32" s="9">
        <v>0</v>
      </c>
      <c r="I32" s="9">
        <v>0</v>
      </c>
      <c r="J32" s="8">
        <f t="shared" si="5"/>
        <v>0</v>
      </c>
      <c r="K32" s="8">
        <f t="shared" si="6"/>
        <v>3313.44</v>
      </c>
      <c r="L32" s="171">
        <f t="shared" si="7"/>
        <v>3313.44</v>
      </c>
      <c r="M32" s="8"/>
      <c r="N32" s="53"/>
      <c r="O32" s="1"/>
    </row>
    <row r="33" spans="1:15">
      <c r="A33" s="234">
        <v>30</v>
      </c>
      <c r="B33" s="240">
        <v>45807</v>
      </c>
      <c r="C33" s="27"/>
      <c r="D33" s="27"/>
      <c r="E33" s="8">
        <v>0</v>
      </c>
      <c r="F33" s="8">
        <v>0</v>
      </c>
      <c r="G33" s="8">
        <f t="shared" ref="G28:G33" si="9">E33*F33</f>
        <v>0</v>
      </c>
      <c r="H33" s="9">
        <v>0</v>
      </c>
      <c r="I33" s="9">
        <v>0</v>
      </c>
      <c r="J33" s="8">
        <f t="shared" ref="J28:J33" si="10">H33*I33</f>
        <v>0</v>
      </c>
      <c r="K33" s="8">
        <f t="shared" ref="K28:K33" si="11">G33+J33</f>
        <v>0</v>
      </c>
      <c r="L33" s="171"/>
      <c r="M33" s="8"/>
      <c r="N33" s="53"/>
      <c r="O33" s="1"/>
    </row>
    <row r="34" spans="1:15">
      <c r="A34" s="234">
        <v>31</v>
      </c>
      <c r="B34" s="240">
        <v>45808</v>
      </c>
      <c r="C34" s="27"/>
      <c r="D34" s="27"/>
      <c r="E34" s="8"/>
      <c r="F34" s="8"/>
      <c r="G34" s="8"/>
      <c r="H34" s="9"/>
      <c r="I34" s="9"/>
      <c r="J34" s="8"/>
      <c r="K34" s="8"/>
      <c r="L34" s="171"/>
      <c r="M34" s="8"/>
      <c r="N34" s="53"/>
      <c r="O34" s="1"/>
    </row>
    <row r="35" spans="1:15">
      <c r="A35" s="75"/>
      <c r="B35" s="75"/>
      <c r="C35" s="75"/>
      <c r="D35" s="75"/>
      <c r="E35" s="76">
        <f>SUM(E4:E34)</f>
        <v>1382.4199999999998</v>
      </c>
      <c r="F35" s="76"/>
      <c r="G35" s="76">
        <f>SUM(G4:G34)</f>
        <v>127237.93680000001</v>
      </c>
      <c r="H35" s="76">
        <f>SUM(H4:H34)</f>
        <v>55</v>
      </c>
      <c r="I35" s="76"/>
      <c r="J35" s="76">
        <f>SUM(J4:J34)</f>
        <v>5722.9</v>
      </c>
      <c r="K35" s="76">
        <f>SUM(K4:K34)</f>
        <v>132960.83679999999</v>
      </c>
      <c r="L35" s="76">
        <f>SUM(L4:L34)</f>
        <v>132960.83680000002</v>
      </c>
      <c r="M35" s="76"/>
      <c r="N35" s="76"/>
      <c r="O35" s="72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26"/>
      <c r="C38" s="426"/>
      <c r="D38" s="426"/>
      <c r="E38" s="426"/>
      <c r="F38" s="1"/>
      <c r="G38" s="1"/>
      <c r="H38" s="1"/>
      <c r="I38" s="463">
        <f>K24+L24</f>
        <v>16107</v>
      </c>
      <c r="J38" s="426"/>
      <c r="K38" s="426"/>
      <c r="L38" s="426"/>
      <c r="M38" s="426"/>
      <c r="N38" s="42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21" activePane="bottomLeft" state="frozen"/>
      <selection pane="bottomLeft" activeCell="L35" sqref="L35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50" t="s">
        <v>70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96"/>
    </row>
    <row r="2" spans="1:16">
      <c r="A2" s="113" t="s">
        <v>99</v>
      </c>
      <c r="B2" s="114" t="s">
        <v>100</v>
      </c>
      <c r="C2" s="114" t="s">
        <v>101</v>
      </c>
      <c r="D2" s="114" t="s">
        <v>122</v>
      </c>
      <c r="E2" s="114" t="s">
        <v>103</v>
      </c>
      <c r="F2" s="114" t="s">
        <v>104</v>
      </c>
      <c r="G2" s="114" t="s">
        <v>105</v>
      </c>
      <c r="H2" s="114" t="s">
        <v>106</v>
      </c>
      <c r="I2" s="114" t="s">
        <v>104</v>
      </c>
      <c r="J2" s="156" t="s">
        <v>105</v>
      </c>
      <c r="K2" s="115" t="s">
        <v>107</v>
      </c>
      <c r="L2" s="157" t="s">
        <v>108</v>
      </c>
      <c r="M2" s="162" t="s">
        <v>115</v>
      </c>
      <c r="N2" s="116" t="s">
        <v>110</v>
      </c>
      <c r="O2" s="72"/>
    </row>
    <row r="3" spans="1:16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51"/>
      <c r="K3" s="187">
        <v>0</v>
      </c>
      <c r="L3" s="19"/>
      <c r="M3" s="122">
        <v>30323</v>
      </c>
      <c r="N3" s="19"/>
      <c r="O3" s="72"/>
    </row>
    <row r="4" spans="1:16">
      <c r="A4" s="55">
        <v>1</v>
      </c>
      <c r="B4" s="240">
        <v>45778</v>
      </c>
      <c r="C4" s="175"/>
      <c r="D4" s="176"/>
      <c r="E4" s="177">
        <v>0</v>
      </c>
      <c r="F4" s="177">
        <v>0</v>
      </c>
      <c r="G4" s="158">
        <f>E4*F4</f>
        <v>0</v>
      </c>
      <c r="H4" s="177">
        <v>0</v>
      </c>
      <c r="I4" s="178">
        <v>0</v>
      </c>
      <c r="J4" s="22">
        <f>H4*I4</f>
        <v>0</v>
      </c>
      <c r="K4" s="22">
        <f>G4+J4</f>
        <v>0</v>
      </c>
      <c r="L4" s="160"/>
      <c r="M4" s="160">
        <f>M3+K4-L4</f>
        <v>30323</v>
      </c>
      <c r="N4" s="161"/>
    </row>
    <row r="5" spans="1:16">
      <c r="A5" s="55">
        <v>2</v>
      </c>
      <c r="B5" s="240">
        <v>45779</v>
      </c>
      <c r="C5" s="11"/>
      <c r="D5" s="11"/>
      <c r="E5" s="177">
        <v>30</v>
      </c>
      <c r="F5" s="177">
        <v>91.83</v>
      </c>
      <c r="G5" s="158">
        <f t="shared" ref="G5:G34" si="0">E5*F5</f>
        <v>2754.9</v>
      </c>
      <c r="H5" s="177">
        <v>10</v>
      </c>
      <c r="I5" s="178">
        <v>103.8</v>
      </c>
      <c r="J5" s="22">
        <f t="shared" ref="J5:J32" si="1">H5*I5</f>
        <v>1038</v>
      </c>
      <c r="K5" s="22">
        <f t="shared" ref="K5:K34" si="2">G5+J5</f>
        <v>3792.9</v>
      </c>
      <c r="L5" s="160"/>
      <c r="M5" s="16">
        <f>M4+K5-L5</f>
        <v>34115.9</v>
      </c>
      <c r="N5" s="13"/>
    </row>
    <row r="6" spans="1:16">
      <c r="A6" s="55">
        <v>3</v>
      </c>
      <c r="B6" s="240">
        <v>45780</v>
      </c>
      <c r="C6" s="11"/>
      <c r="D6" s="11"/>
      <c r="E6" s="177">
        <v>0</v>
      </c>
      <c r="F6" s="177">
        <v>0</v>
      </c>
      <c r="G6" s="158">
        <f t="shared" si="0"/>
        <v>0</v>
      </c>
      <c r="H6" s="177">
        <v>0</v>
      </c>
      <c r="I6" s="178">
        <v>0</v>
      </c>
      <c r="J6" s="22">
        <f t="shared" si="1"/>
        <v>0</v>
      </c>
      <c r="K6" s="22">
        <f t="shared" si="2"/>
        <v>0</v>
      </c>
      <c r="L6" s="160"/>
      <c r="M6" s="16">
        <f>M5+K6-L6</f>
        <v>34115.9</v>
      </c>
      <c r="N6" s="14"/>
    </row>
    <row r="7" spans="1:16">
      <c r="A7" s="55">
        <v>4</v>
      </c>
      <c r="B7" s="240">
        <v>45781</v>
      </c>
      <c r="C7" s="83"/>
      <c r="D7" s="84"/>
      <c r="E7" s="177">
        <v>0</v>
      </c>
      <c r="F7" s="177">
        <v>0</v>
      </c>
      <c r="G7" s="158">
        <f t="shared" si="0"/>
        <v>0</v>
      </c>
      <c r="H7" s="177">
        <v>0</v>
      </c>
      <c r="I7" s="178">
        <v>0</v>
      </c>
      <c r="J7" s="22">
        <f t="shared" si="1"/>
        <v>0</v>
      </c>
      <c r="K7" s="22">
        <f t="shared" si="2"/>
        <v>0</v>
      </c>
      <c r="L7" s="160"/>
      <c r="M7" s="16">
        <f>M6+K7-L7</f>
        <v>34115.9</v>
      </c>
      <c r="N7" s="47"/>
    </row>
    <row r="8" spans="1:16">
      <c r="A8" s="55">
        <v>5</v>
      </c>
      <c r="B8" s="240">
        <v>45782</v>
      </c>
      <c r="C8" s="83"/>
      <c r="D8" s="84"/>
      <c r="E8" s="177">
        <v>30</v>
      </c>
      <c r="F8" s="177">
        <v>91.83</v>
      </c>
      <c r="G8" s="158">
        <f t="shared" si="0"/>
        <v>2754.9</v>
      </c>
      <c r="H8" s="177">
        <v>8</v>
      </c>
      <c r="I8" s="178">
        <v>103.8</v>
      </c>
      <c r="J8" s="22">
        <f t="shared" si="1"/>
        <v>830.4</v>
      </c>
      <c r="K8" s="22">
        <f t="shared" si="2"/>
        <v>3585.3</v>
      </c>
      <c r="L8" s="160"/>
      <c r="M8" s="16">
        <f>M7+K8-L8</f>
        <v>37701.200000000004</v>
      </c>
      <c r="N8" s="47"/>
      <c r="O8" s="310">
        <v>8497892194</v>
      </c>
      <c r="P8" s="311" t="s">
        <v>127</v>
      </c>
    </row>
    <row r="9" spans="1:16">
      <c r="A9" s="55">
        <v>6</v>
      </c>
      <c r="B9" s="240">
        <v>45783</v>
      </c>
      <c r="C9" s="83"/>
      <c r="D9" s="84"/>
      <c r="E9" s="177">
        <v>0</v>
      </c>
      <c r="F9" s="177">
        <v>0</v>
      </c>
      <c r="G9" s="158">
        <f t="shared" si="0"/>
        <v>0</v>
      </c>
      <c r="H9" s="177">
        <v>0</v>
      </c>
      <c r="I9" s="178">
        <v>0</v>
      </c>
      <c r="J9" s="22">
        <f t="shared" si="1"/>
        <v>0</v>
      </c>
      <c r="K9" s="22">
        <f t="shared" si="2"/>
        <v>0</v>
      </c>
      <c r="L9" s="160"/>
      <c r="M9" s="16">
        <f>M8+K9-L9</f>
        <v>37701.200000000004</v>
      </c>
      <c r="N9" s="47"/>
      <c r="O9" s="82"/>
    </row>
    <row r="10" spans="1:16">
      <c r="A10" s="55">
        <v>7</v>
      </c>
      <c r="B10" s="240">
        <v>45784</v>
      </c>
      <c r="C10" s="83"/>
      <c r="D10" s="84"/>
      <c r="E10" s="177">
        <v>0</v>
      </c>
      <c r="F10" s="177">
        <v>0</v>
      </c>
      <c r="G10" s="158">
        <f t="shared" si="0"/>
        <v>0</v>
      </c>
      <c r="H10" s="177">
        <v>0</v>
      </c>
      <c r="I10" s="178">
        <v>0</v>
      </c>
      <c r="J10" s="22">
        <f t="shared" si="1"/>
        <v>0</v>
      </c>
      <c r="K10" s="22">
        <f t="shared" si="2"/>
        <v>0</v>
      </c>
      <c r="L10" s="160"/>
      <c r="M10" s="16">
        <f>M9+K10-L10</f>
        <v>37701.200000000004</v>
      </c>
      <c r="N10" s="47"/>
      <c r="O10" s="82"/>
    </row>
    <row r="11" spans="1:16">
      <c r="A11" s="55">
        <v>8</v>
      </c>
      <c r="B11" s="240">
        <v>45785</v>
      </c>
      <c r="C11" s="83"/>
      <c r="D11" s="84"/>
      <c r="E11" s="177">
        <v>0</v>
      </c>
      <c r="F11" s="177">
        <v>0</v>
      </c>
      <c r="G11" s="158">
        <f t="shared" si="0"/>
        <v>0</v>
      </c>
      <c r="H11" s="177">
        <v>0</v>
      </c>
      <c r="I11" s="178">
        <v>0</v>
      </c>
      <c r="J11" s="22">
        <f t="shared" si="1"/>
        <v>0</v>
      </c>
      <c r="K11" s="22">
        <f t="shared" si="2"/>
        <v>0</v>
      </c>
      <c r="L11" s="160"/>
      <c r="M11" s="16">
        <f>M10+K11-L11</f>
        <v>37701.200000000004</v>
      </c>
      <c r="N11" s="47"/>
      <c r="O11" s="82"/>
    </row>
    <row r="12" spans="1:16">
      <c r="A12" s="55">
        <v>9</v>
      </c>
      <c r="B12" s="240">
        <v>45786</v>
      </c>
      <c r="C12" s="83"/>
      <c r="D12" s="84"/>
      <c r="E12" s="177">
        <v>0</v>
      </c>
      <c r="F12" s="177">
        <v>0</v>
      </c>
      <c r="G12" s="158">
        <f t="shared" si="0"/>
        <v>0</v>
      </c>
      <c r="H12" s="177">
        <v>0</v>
      </c>
      <c r="I12" s="178">
        <v>0</v>
      </c>
      <c r="J12" s="22">
        <f t="shared" si="1"/>
        <v>0</v>
      </c>
      <c r="K12" s="22">
        <f t="shared" si="2"/>
        <v>0</v>
      </c>
      <c r="L12" s="160"/>
      <c r="M12" s="16">
        <f>M11+K12-L12</f>
        <v>37701.200000000004</v>
      </c>
      <c r="N12" s="47"/>
      <c r="O12" s="82"/>
    </row>
    <row r="13" spans="1:16">
      <c r="A13" s="55">
        <v>10</v>
      </c>
      <c r="B13" s="240">
        <v>45787</v>
      </c>
      <c r="C13" s="83"/>
      <c r="D13" s="84"/>
      <c r="E13" s="177">
        <v>0</v>
      </c>
      <c r="F13" s="177">
        <v>0</v>
      </c>
      <c r="G13" s="158">
        <f t="shared" si="0"/>
        <v>0</v>
      </c>
      <c r="H13" s="177">
        <v>0</v>
      </c>
      <c r="I13" s="178">
        <v>0</v>
      </c>
      <c r="J13" s="22">
        <f t="shared" si="1"/>
        <v>0</v>
      </c>
      <c r="K13" s="22">
        <f t="shared" si="2"/>
        <v>0</v>
      </c>
      <c r="L13" s="160"/>
      <c r="M13" s="16">
        <f>M12+K13-L13</f>
        <v>37701.200000000004</v>
      </c>
      <c r="N13" s="47"/>
      <c r="O13" s="82"/>
    </row>
    <row r="14" spans="1:16">
      <c r="A14" s="55">
        <v>11</v>
      </c>
      <c r="B14" s="240">
        <v>45788</v>
      </c>
      <c r="C14" s="83"/>
      <c r="D14" s="84"/>
      <c r="E14" s="177">
        <v>0</v>
      </c>
      <c r="F14" s="177">
        <v>0</v>
      </c>
      <c r="G14" s="158">
        <f t="shared" si="0"/>
        <v>0</v>
      </c>
      <c r="H14" s="177">
        <v>0</v>
      </c>
      <c r="I14" s="178">
        <v>0</v>
      </c>
      <c r="J14" s="22">
        <f t="shared" si="1"/>
        <v>0</v>
      </c>
      <c r="K14" s="22">
        <f t="shared" si="2"/>
        <v>0</v>
      </c>
      <c r="L14" s="160"/>
      <c r="M14" s="16">
        <f>M13+K14-L14</f>
        <v>37701.200000000004</v>
      </c>
      <c r="N14" s="47"/>
      <c r="O14" s="82"/>
    </row>
    <row r="15" spans="1:16">
      <c r="A15" s="55">
        <v>12</v>
      </c>
      <c r="B15" s="240">
        <v>45789</v>
      </c>
      <c r="C15" s="83"/>
      <c r="D15" s="84"/>
      <c r="E15" s="177">
        <v>0</v>
      </c>
      <c r="F15" s="177">
        <v>0</v>
      </c>
      <c r="G15" s="158">
        <f t="shared" si="0"/>
        <v>0</v>
      </c>
      <c r="H15" s="177">
        <v>0</v>
      </c>
      <c r="I15" s="178">
        <v>0</v>
      </c>
      <c r="J15" s="22">
        <f t="shared" si="1"/>
        <v>0</v>
      </c>
      <c r="K15" s="22">
        <f t="shared" si="2"/>
        <v>0</v>
      </c>
      <c r="L15" s="160"/>
      <c r="M15" s="16">
        <f>M14+K15-L15</f>
        <v>37701.200000000004</v>
      </c>
      <c r="N15" s="47"/>
      <c r="O15" s="82"/>
    </row>
    <row r="16" spans="1:16">
      <c r="A16" s="55">
        <v>13</v>
      </c>
      <c r="B16" s="240">
        <v>45790</v>
      </c>
      <c r="C16" s="83"/>
      <c r="D16" s="84"/>
      <c r="E16" s="177">
        <v>0</v>
      </c>
      <c r="F16" s="177">
        <v>0</v>
      </c>
      <c r="G16" s="158">
        <f t="shared" si="0"/>
        <v>0</v>
      </c>
      <c r="H16" s="177">
        <v>0</v>
      </c>
      <c r="I16" s="178">
        <v>0</v>
      </c>
      <c r="J16" s="308">
        <f t="shared" si="1"/>
        <v>0</v>
      </c>
      <c r="K16" s="308">
        <f t="shared" si="2"/>
        <v>0</v>
      </c>
      <c r="L16" s="160"/>
      <c r="M16" s="309">
        <f>M15+K16-L16</f>
        <v>37701.200000000004</v>
      </c>
      <c r="N16" s="47"/>
      <c r="O16" s="82"/>
    </row>
    <row r="17" spans="1:18">
      <c r="A17" s="55">
        <v>14</v>
      </c>
      <c r="B17" s="240">
        <v>45791</v>
      </c>
      <c r="C17" s="83"/>
      <c r="D17" s="84"/>
      <c r="E17" s="177">
        <v>0</v>
      </c>
      <c r="F17" s="177">
        <v>0</v>
      </c>
      <c r="G17" s="158">
        <f t="shared" si="0"/>
        <v>0</v>
      </c>
      <c r="H17" s="177">
        <v>0</v>
      </c>
      <c r="I17" s="178">
        <v>0</v>
      </c>
      <c r="J17" s="22">
        <f t="shared" si="1"/>
        <v>0</v>
      </c>
      <c r="K17" s="22">
        <f t="shared" si="2"/>
        <v>0</v>
      </c>
      <c r="L17" s="160"/>
      <c r="M17" s="16">
        <f>M16+K17-L17</f>
        <v>37701.200000000004</v>
      </c>
      <c r="N17" s="47"/>
      <c r="O17" s="82"/>
    </row>
    <row r="18" spans="1:18">
      <c r="A18" s="55">
        <v>15</v>
      </c>
      <c r="B18" s="240">
        <v>45792</v>
      </c>
      <c r="C18" s="83"/>
      <c r="D18" s="84"/>
      <c r="E18" s="177">
        <v>0</v>
      </c>
      <c r="F18" s="177">
        <v>0</v>
      </c>
      <c r="G18" s="158">
        <f t="shared" si="0"/>
        <v>0</v>
      </c>
      <c r="H18" s="177">
        <v>0</v>
      </c>
      <c r="I18" s="178">
        <v>0</v>
      </c>
      <c r="J18" s="22">
        <f t="shared" si="1"/>
        <v>0</v>
      </c>
      <c r="K18" s="22">
        <f t="shared" si="2"/>
        <v>0</v>
      </c>
      <c r="L18" s="160"/>
      <c r="M18" s="16">
        <f>M17+K18-L18</f>
        <v>37701.200000000004</v>
      </c>
      <c r="N18" s="47"/>
      <c r="O18" s="82"/>
    </row>
    <row r="19" spans="1:18">
      <c r="A19" s="55">
        <v>16</v>
      </c>
      <c r="B19" s="240">
        <v>45793</v>
      </c>
      <c r="C19" s="225"/>
      <c r="D19" s="226"/>
      <c r="E19" s="177">
        <v>0</v>
      </c>
      <c r="F19" s="177">
        <v>0</v>
      </c>
      <c r="G19" s="158">
        <f t="shared" si="0"/>
        <v>0</v>
      </c>
      <c r="H19" s="177">
        <v>0</v>
      </c>
      <c r="I19" s="178">
        <v>0</v>
      </c>
      <c r="J19" s="22">
        <f t="shared" si="1"/>
        <v>0</v>
      </c>
      <c r="K19" s="22">
        <f t="shared" si="2"/>
        <v>0</v>
      </c>
      <c r="L19" s="160"/>
      <c r="M19" s="17">
        <f>M18+K19-L19</f>
        <v>37701.200000000004</v>
      </c>
      <c r="N19" s="228"/>
      <c r="O19" s="82"/>
    </row>
    <row r="20" spans="1:18">
      <c r="A20" s="55">
        <v>17</v>
      </c>
      <c r="B20" s="240">
        <v>45794</v>
      </c>
      <c r="C20" s="80"/>
      <c r="D20" s="84"/>
      <c r="E20" s="177">
        <v>0</v>
      </c>
      <c r="F20" s="177">
        <v>0</v>
      </c>
      <c r="G20" s="158">
        <f t="shared" si="0"/>
        <v>0</v>
      </c>
      <c r="H20" s="177">
        <v>0</v>
      </c>
      <c r="I20" s="178">
        <v>0</v>
      </c>
      <c r="J20" s="22">
        <f t="shared" si="1"/>
        <v>0</v>
      </c>
      <c r="K20" s="22">
        <f t="shared" si="2"/>
        <v>0</v>
      </c>
      <c r="L20" s="160"/>
      <c r="M20" s="17">
        <f>M19+K20-L20</f>
        <v>37701.200000000004</v>
      </c>
      <c r="N20" s="47"/>
      <c r="O20" s="82"/>
    </row>
    <row r="21" spans="1:18">
      <c r="A21" s="55">
        <v>18</v>
      </c>
      <c r="B21" s="240">
        <v>45795</v>
      </c>
      <c r="C21" s="80"/>
      <c r="D21" s="84"/>
      <c r="E21" s="177">
        <v>0</v>
      </c>
      <c r="F21" s="177">
        <v>0</v>
      </c>
      <c r="G21" s="158">
        <f t="shared" si="0"/>
        <v>0</v>
      </c>
      <c r="H21" s="177">
        <v>0</v>
      </c>
      <c r="I21" s="178">
        <v>0</v>
      </c>
      <c r="J21" s="22">
        <f t="shared" si="1"/>
        <v>0</v>
      </c>
      <c r="K21" s="22">
        <f t="shared" si="2"/>
        <v>0</v>
      </c>
      <c r="L21" s="160"/>
      <c r="M21" s="17">
        <f>M20+K21-L21</f>
        <v>37701.200000000004</v>
      </c>
      <c r="N21" s="47"/>
      <c r="O21" s="82"/>
    </row>
    <row r="22" spans="1:18">
      <c r="A22" s="55">
        <v>19</v>
      </c>
      <c r="B22" s="240">
        <v>45796</v>
      </c>
      <c r="C22" s="80"/>
      <c r="D22" s="84"/>
      <c r="E22" s="177">
        <v>0</v>
      </c>
      <c r="F22" s="177">
        <v>0</v>
      </c>
      <c r="G22" s="158">
        <f t="shared" si="0"/>
        <v>0</v>
      </c>
      <c r="H22" s="177">
        <v>0</v>
      </c>
      <c r="I22" s="178">
        <v>0</v>
      </c>
      <c r="J22" s="22">
        <f t="shared" si="1"/>
        <v>0</v>
      </c>
      <c r="K22" s="22">
        <f t="shared" si="2"/>
        <v>0</v>
      </c>
      <c r="L22" s="160"/>
      <c r="M22" s="17">
        <f t="shared" ref="M22:M30" si="3">M21+K22-L22</f>
        <v>37701.200000000004</v>
      </c>
      <c r="N22" s="47"/>
      <c r="O22" s="82"/>
    </row>
    <row r="23" spans="1:18">
      <c r="A23" s="55">
        <v>20</v>
      </c>
      <c r="B23" s="240">
        <v>45797</v>
      </c>
      <c r="C23" s="80"/>
      <c r="D23" s="84"/>
      <c r="E23" s="177">
        <v>0</v>
      </c>
      <c r="F23" s="177">
        <v>0</v>
      </c>
      <c r="G23" s="158">
        <f t="shared" si="0"/>
        <v>0</v>
      </c>
      <c r="H23" s="177">
        <v>0</v>
      </c>
      <c r="I23" s="178">
        <v>0</v>
      </c>
      <c r="J23" s="22">
        <f t="shared" si="1"/>
        <v>0</v>
      </c>
      <c r="K23" s="22">
        <f t="shared" si="2"/>
        <v>0</v>
      </c>
      <c r="L23" s="160"/>
      <c r="M23" s="17">
        <f t="shared" si="3"/>
        <v>37701.200000000004</v>
      </c>
      <c r="N23" s="47"/>
      <c r="O23" s="82"/>
    </row>
    <row r="24" spans="1:18">
      <c r="A24" s="55">
        <v>21</v>
      </c>
      <c r="B24" s="240">
        <v>45798</v>
      </c>
      <c r="C24" s="80"/>
      <c r="D24" s="84"/>
      <c r="E24" s="177">
        <v>0</v>
      </c>
      <c r="F24" s="177">
        <v>0</v>
      </c>
      <c r="G24" s="158">
        <f t="shared" si="0"/>
        <v>0</v>
      </c>
      <c r="H24" s="177">
        <v>0</v>
      </c>
      <c r="I24" s="178">
        <v>0</v>
      </c>
      <c r="J24" s="22">
        <f t="shared" si="1"/>
        <v>0</v>
      </c>
      <c r="K24" s="22">
        <f t="shared" si="2"/>
        <v>0</v>
      </c>
      <c r="L24" s="160"/>
      <c r="M24" s="17">
        <f t="shared" si="3"/>
        <v>37701.200000000004</v>
      </c>
      <c r="N24" s="47"/>
      <c r="O24" s="82"/>
    </row>
    <row r="25" spans="1:18">
      <c r="A25" s="55">
        <v>22</v>
      </c>
      <c r="B25" s="240">
        <v>45799</v>
      </c>
      <c r="C25" s="80"/>
      <c r="D25" s="84"/>
      <c r="E25" s="177">
        <v>0</v>
      </c>
      <c r="F25" s="177">
        <v>0</v>
      </c>
      <c r="G25" s="158">
        <f t="shared" si="0"/>
        <v>0</v>
      </c>
      <c r="H25" s="177">
        <v>15</v>
      </c>
      <c r="I25" s="178">
        <v>103.8</v>
      </c>
      <c r="J25" s="22">
        <f t="shared" si="1"/>
        <v>1557</v>
      </c>
      <c r="K25" s="22">
        <f t="shared" si="2"/>
        <v>1557</v>
      </c>
      <c r="L25" s="160"/>
      <c r="M25" s="17">
        <f t="shared" si="3"/>
        <v>39258.200000000004</v>
      </c>
      <c r="N25" s="47"/>
      <c r="O25" s="82"/>
    </row>
    <row r="26" spans="1:18">
      <c r="A26" s="55">
        <v>23</v>
      </c>
      <c r="B26" s="240">
        <v>45800</v>
      </c>
      <c r="C26" s="80"/>
      <c r="D26" s="84"/>
      <c r="E26" s="177">
        <v>40</v>
      </c>
      <c r="F26" s="177">
        <v>91.83</v>
      </c>
      <c r="G26" s="158">
        <f t="shared" si="0"/>
        <v>3673.2</v>
      </c>
      <c r="H26" s="177">
        <v>0</v>
      </c>
      <c r="I26" s="178">
        <v>0</v>
      </c>
      <c r="J26" s="22">
        <f t="shared" si="1"/>
        <v>0</v>
      </c>
      <c r="K26" s="22">
        <f t="shared" si="2"/>
        <v>3673.2</v>
      </c>
      <c r="L26" s="160"/>
      <c r="M26" s="17">
        <f t="shared" si="3"/>
        <v>42931.4</v>
      </c>
      <c r="N26" s="47"/>
      <c r="O26" s="82"/>
    </row>
    <row r="27" spans="1:18">
      <c r="A27" s="55">
        <v>24</v>
      </c>
      <c r="B27" s="240">
        <v>45801</v>
      </c>
      <c r="C27" s="80"/>
      <c r="D27" s="84"/>
      <c r="E27" s="177">
        <v>0</v>
      </c>
      <c r="F27" s="177">
        <v>0</v>
      </c>
      <c r="G27" s="158">
        <f t="shared" si="0"/>
        <v>0</v>
      </c>
      <c r="H27" s="177">
        <v>0</v>
      </c>
      <c r="I27" s="178">
        <v>0</v>
      </c>
      <c r="J27" s="22">
        <f t="shared" si="1"/>
        <v>0</v>
      </c>
      <c r="K27" s="22">
        <f t="shared" si="2"/>
        <v>0</v>
      </c>
      <c r="L27" s="160"/>
      <c r="M27" s="17">
        <f t="shared" si="3"/>
        <v>42931.4</v>
      </c>
      <c r="N27" s="47"/>
      <c r="O27" s="82"/>
      <c r="R27">
        <v>66742</v>
      </c>
    </row>
    <row r="28" spans="1:18">
      <c r="A28" s="267">
        <v>25</v>
      </c>
      <c r="B28" s="240">
        <v>45802</v>
      </c>
      <c r="C28" s="233"/>
      <c r="D28" s="226"/>
      <c r="E28" s="177">
        <v>30</v>
      </c>
      <c r="F28" s="177">
        <v>91.83</v>
      </c>
      <c r="G28" s="158">
        <f t="shared" si="0"/>
        <v>2754.9</v>
      </c>
      <c r="H28" s="177">
        <v>0</v>
      </c>
      <c r="I28" s="178">
        <v>0</v>
      </c>
      <c r="J28" s="22">
        <f t="shared" si="1"/>
        <v>0</v>
      </c>
      <c r="K28" s="22">
        <f t="shared" si="2"/>
        <v>2754.9</v>
      </c>
      <c r="L28" s="160"/>
      <c r="M28" s="17">
        <f t="shared" si="3"/>
        <v>45686.3</v>
      </c>
      <c r="N28" s="228"/>
      <c r="O28" s="82"/>
    </row>
    <row r="29" spans="1:18">
      <c r="A29" s="55">
        <v>26</v>
      </c>
      <c r="B29" s="240">
        <v>45803</v>
      </c>
      <c r="C29" s="80"/>
      <c r="D29" s="84"/>
      <c r="E29" s="177">
        <v>30</v>
      </c>
      <c r="F29" s="177">
        <v>91.83</v>
      </c>
      <c r="G29" s="158">
        <f t="shared" si="0"/>
        <v>2754.9</v>
      </c>
      <c r="H29" s="177">
        <v>0</v>
      </c>
      <c r="I29" s="178">
        <v>0</v>
      </c>
      <c r="J29" s="22">
        <f t="shared" si="1"/>
        <v>0</v>
      </c>
      <c r="K29" s="22">
        <f t="shared" si="2"/>
        <v>2754.9</v>
      </c>
      <c r="L29" s="160"/>
      <c r="M29" s="17">
        <f t="shared" si="3"/>
        <v>48441.200000000004</v>
      </c>
      <c r="N29" s="47"/>
      <c r="O29" s="82"/>
    </row>
    <row r="30" spans="1:18">
      <c r="A30" s="55">
        <v>27</v>
      </c>
      <c r="B30" s="240">
        <v>45804</v>
      </c>
      <c r="C30" s="80"/>
      <c r="D30" s="84"/>
      <c r="E30" s="177">
        <v>30</v>
      </c>
      <c r="F30" s="177">
        <v>91.83</v>
      </c>
      <c r="G30" s="158">
        <f t="shared" si="0"/>
        <v>2754.9</v>
      </c>
      <c r="H30" s="177">
        <v>0</v>
      </c>
      <c r="I30" s="178">
        <v>0</v>
      </c>
      <c r="J30" s="22">
        <f t="shared" si="1"/>
        <v>0</v>
      </c>
      <c r="K30" s="22">
        <f t="shared" si="2"/>
        <v>2754.9</v>
      </c>
      <c r="L30" s="160"/>
      <c r="M30" s="17">
        <f t="shared" si="3"/>
        <v>51196.100000000006</v>
      </c>
      <c r="N30" s="47"/>
      <c r="O30" s="82"/>
    </row>
    <row r="31" spans="1:18">
      <c r="A31" s="55">
        <v>28</v>
      </c>
      <c r="B31" s="240">
        <v>45805</v>
      </c>
      <c r="C31" s="80"/>
      <c r="D31" s="84"/>
      <c r="E31" s="177">
        <v>30</v>
      </c>
      <c r="F31" s="177">
        <v>91.83</v>
      </c>
      <c r="G31" s="158">
        <f t="shared" si="0"/>
        <v>2754.9</v>
      </c>
      <c r="H31" s="177">
        <v>0</v>
      </c>
      <c r="I31" s="178">
        <v>0</v>
      </c>
      <c r="J31" s="22">
        <f t="shared" si="1"/>
        <v>0</v>
      </c>
      <c r="K31" s="22">
        <f t="shared" si="2"/>
        <v>2754.9</v>
      </c>
      <c r="L31" s="160"/>
      <c r="M31" s="17">
        <f>M30+K31-L31</f>
        <v>53951.000000000007</v>
      </c>
      <c r="N31" s="47"/>
      <c r="O31" s="82"/>
    </row>
    <row r="32" spans="1:18">
      <c r="A32" s="55">
        <v>29</v>
      </c>
      <c r="B32" s="240">
        <v>45806</v>
      </c>
      <c r="C32" s="80"/>
      <c r="D32" s="84"/>
      <c r="E32" s="177">
        <v>0</v>
      </c>
      <c r="F32" s="177">
        <v>0</v>
      </c>
      <c r="G32" s="158">
        <f t="shared" si="0"/>
        <v>0</v>
      </c>
      <c r="H32" s="177">
        <v>0</v>
      </c>
      <c r="I32" s="178">
        <v>0</v>
      </c>
      <c r="J32" s="22">
        <f t="shared" si="1"/>
        <v>0</v>
      </c>
      <c r="K32" s="22">
        <f t="shared" si="2"/>
        <v>0</v>
      </c>
      <c r="L32" s="160"/>
      <c r="M32" s="17">
        <f>M31+K32-L32</f>
        <v>53951.000000000007</v>
      </c>
      <c r="N32" s="47"/>
      <c r="O32" s="82"/>
    </row>
    <row r="33" spans="1:16">
      <c r="A33" s="55">
        <v>30</v>
      </c>
      <c r="B33" s="240">
        <v>45807</v>
      </c>
      <c r="C33" s="80"/>
      <c r="D33" s="84"/>
      <c r="E33" s="177">
        <v>30</v>
      </c>
      <c r="F33" s="177">
        <v>91.83</v>
      </c>
      <c r="G33" s="158">
        <f t="shared" si="0"/>
        <v>2754.9</v>
      </c>
      <c r="H33" s="177">
        <v>0</v>
      </c>
      <c r="I33" s="178">
        <v>0</v>
      </c>
      <c r="J33" s="8"/>
      <c r="K33" s="22">
        <f t="shared" si="2"/>
        <v>2754.9</v>
      </c>
      <c r="L33" s="81"/>
      <c r="M33" s="17">
        <f>M32+K33-L33</f>
        <v>56705.900000000009</v>
      </c>
      <c r="N33" s="47"/>
      <c r="O33" s="82"/>
    </row>
    <row r="34" spans="1:16">
      <c r="A34" s="55">
        <v>31</v>
      </c>
      <c r="B34" s="240">
        <v>45808</v>
      </c>
      <c r="C34" s="80"/>
      <c r="D34" s="84"/>
      <c r="E34" s="177">
        <v>30</v>
      </c>
      <c r="F34" s="177">
        <v>91.83</v>
      </c>
      <c r="G34" s="158">
        <f t="shared" si="0"/>
        <v>2754.9</v>
      </c>
      <c r="H34" s="78"/>
      <c r="I34" s="79"/>
      <c r="J34" s="8"/>
      <c r="K34" s="22">
        <f t="shared" si="2"/>
        <v>2754.9</v>
      </c>
      <c r="L34" s="81"/>
      <c r="M34" s="17">
        <f>M33+K34-L34</f>
        <v>59460.80000000001</v>
      </c>
      <c r="N34" s="47"/>
      <c r="O34" s="82">
        <v>60720.56</v>
      </c>
      <c r="P34" s="201">
        <v>1280.1714999999986</v>
      </c>
    </row>
    <row r="35" spans="1:16">
      <c r="A35" s="184"/>
      <c r="B35" s="184"/>
      <c r="C35" s="184"/>
      <c r="D35" s="184"/>
      <c r="E35" s="185">
        <f>SUM(E4:E34)</f>
        <v>280</v>
      </c>
      <c r="F35" s="185"/>
      <c r="G35" s="185">
        <f>SUM(G4:G34)</f>
        <v>25712.400000000005</v>
      </c>
      <c r="H35" s="185">
        <f>SUM(H4:H34)</f>
        <v>33</v>
      </c>
      <c r="I35" s="185"/>
      <c r="J35" s="185">
        <f>SUM(J4:J34)</f>
        <v>3425.4</v>
      </c>
      <c r="K35" s="185">
        <f>SUM(K4:K34)</f>
        <v>29137.800000000007</v>
      </c>
      <c r="L35" s="185">
        <f>SUM(L4:L34)</f>
        <v>0</v>
      </c>
      <c r="M35" s="185"/>
      <c r="N35" s="185"/>
      <c r="O35" s="72"/>
    </row>
    <row r="36" spans="1:16">
      <c r="A36" s="86"/>
      <c r="B36" s="87"/>
      <c r="C36" s="86"/>
      <c r="D36" s="86"/>
      <c r="E36" s="88"/>
      <c r="F36" s="88"/>
      <c r="G36" s="88"/>
      <c r="H36" s="88"/>
      <c r="I36" s="88"/>
      <c r="J36" s="89"/>
      <c r="K36" s="89"/>
      <c r="L36" s="89"/>
      <c r="M36" s="89"/>
      <c r="N36" s="88"/>
      <c r="O36" s="82"/>
    </row>
    <row r="37" spans="1:16">
      <c r="O37" s="82"/>
    </row>
    <row r="38" spans="1:16">
      <c r="O38" s="82"/>
    </row>
    <row r="39" spans="1:16">
      <c r="O39" s="82"/>
    </row>
    <row r="40" spans="1:16">
      <c r="O40" s="82"/>
    </row>
    <row r="41" spans="1:16">
      <c r="O41" s="82"/>
    </row>
    <row r="42" spans="1:16">
      <c r="A42" s="82"/>
      <c r="B42" s="72"/>
      <c r="C42" s="82"/>
      <c r="D42" s="82"/>
      <c r="E42" s="82"/>
      <c r="F42" s="82"/>
      <c r="G42" s="90"/>
      <c r="H42" s="82"/>
      <c r="I42" s="82"/>
      <c r="J42" s="72"/>
      <c r="K42" s="72"/>
      <c r="L42" s="72"/>
      <c r="M42" s="72"/>
      <c r="N42" s="82"/>
      <c r="O42" s="88"/>
    </row>
    <row r="43" spans="1:16">
      <c r="A43" s="82"/>
      <c r="B43" s="452"/>
      <c r="C43" s="452"/>
      <c r="D43" s="452"/>
      <c r="E43" s="452"/>
      <c r="F43" s="82"/>
      <c r="G43" s="82"/>
      <c r="H43" s="82"/>
      <c r="I43" s="452"/>
      <c r="J43" s="452"/>
      <c r="K43" s="452"/>
      <c r="L43" s="452"/>
      <c r="M43" s="452"/>
      <c r="N43" s="452"/>
      <c r="O43" s="88"/>
    </row>
    <row r="44" spans="1:16">
      <c r="A44" s="82"/>
      <c r="B44" s="72"/>
      <c r="C44" s="82"/>
      <c r="D44" s="82"/>
      <c r="E44" s="82"/>
      <c r="F44" s="82"/>
      <c r="G44" s="82"/>
      <c r="H44" s="82"/>
      <c r="I44" s="82"/>
      <c r="J44" s="72"/>
      <c r="K44" s="72"/>
      <c r="L44" s="72"/>
      <c r="M44" s="72"/>
      <c r="N44" s="82"/>
      <c r="O44" s="8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4"/>
  <sheetViews>
    <sheetView workbookViewId="0">
      <pane ySplit="2" topLeftCell="A15" activePane="bottomLeft" state="frozen"/>
      <selection pane="bottomLeft" activeCell="T19" sqref="T18:T19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17" bestFit="1" customWidth="1"/>
    <col min="8" max="8" width="11.140625" style="5" customWidth="1"/>
    <col min="9" max="9" width="9.140625" style="5"/>
    <col min="10" max="10" width="10.85546875" style="117" bestFit="1" customWidth="1"/>
    <col min="11" max="11" width="12.85546875" style="5" customWidth="1"/>
    <col min="12" max="12" width="13.5703125" style="117" bestFit="1" customWidth="1"/>
    <col min="13" max="13" width="13.5703125" style="117" customWidth="1"/>
    <col min="14" max="14" width="13.5703125" style="5" bestFit="1" customWidth="1"/>
    <col min="15" max="16384" width="9.140625" style="5"/>
  </cols>
  <sheetData>
    <row r="1" spans="1:14" ht="15.75">
      <c r="A1" s="442" t="s">
        <v>80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14" ht="18" customHeight="1">
      <c r="A2" s="77" t="s">
        <v>99</v>
      </c>
      <c r="B2" s="97" t="s">
        <v>100</v>
      </c>
      <c r="C2" s="97" t="s">
        <v>101</v>
      </c>
      <c r="D2" s="97" t="s">
        <v>122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108</v>
      </c>
      <c r="M2" s="99" t="s">
        <v>115</v>
      </c>
      <c r="N2" s="97" t="s">
        <v>110</v>
      </c>
    </row>
    <row r="3" spans="1:14" ht="18" customHeight="1">
      <c r="A3" s="464" t="s">
        <v>111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7">
        <v>0</v>
      </c>
      <c r="N3" s="468"/>
    </row>
    <row r="4" spans="1:14">
      <c r="A4" s="6">
        <v>1</v>
      </c>
      <c r="B4" s="92" t="s">
        <v>128</v>
      </c>
      <c r="C4" s="6"/>
      <c r="D4" s="6"/>
      <c r="E4" s="78">
        <v>0</v>
      </c>
      <c r="F4" s="6">
        <v>0</v>
      </c>
      <c r="G4" s="79">
        <f>E4*F4</f>
        <v>0</v>
      </c>
      <c r="H4" s="78">
        <v>4.83</v>
      </c>
      <c r="I4" s="6">
        <v>103.44</v>
      </c>
      <c r="J4" s="79">
        <f>H4*I4</f>
        <v>499.61520000000002</v>
      </c>
      <c r="K4" s="79">
        <f>G4+J4</f>
        <v>499.61520000000002</v>
      </c>
      <c r="L4" s="79">
        <v>499.62</v>
      </c>
      <c r="M4" s="172">
        <f>M3+K4-L4</f>
        <v>-4.7999999999888132E-3</v>
      </c>
      <c r="N4" s="55" t="s">
        <v>129</v>
      </c>
    </row>
    <row r="5" spans="1:14">
      <c r="A5" s="6">
        <v>3</v>
      </c>
      <c r="B5" s="92" t="s">
        <v>130</v>
      </c>
      <c r="C5" s="6"/>
      <c r="D5" s="6"/>
      <c r="E5" s="78">
        <v>81.48</v>
      </c>
      <c r="F5" s="6">
        <v>91.5</v>
      </c>
      <c r="G5" s="79">
        <f t="shared" ref="G5:G34" si="0">E5*F5</f>
        <v>7455.42</v>
      </c>
      <c r="H5" s="78">
        <v>4.83</v>
      </c>
      <c r="I5" s="6">
        <v>103.44</v>
      </c>
      <c r="J5" s="79">
        <f t="shared" ref="J5:J34" si="1">H5*I5</f>
        <v>499.61520000000002</v>
      </c>
      <c r="K5" s="79">
        <f t="shared" ref="K5:K34" si="2">G5+J5</f>
        <v>7955.0352000000003</v>
      </c>
      <c r="L5" s="186">
        <f t="shared" ref="L5:L43" si="3">+K5</f>
        <v>7955.0352000000003</v>
      </c>
      <c r="M5" s="172">
        <f t="shared" ref="M5:M29" si="4">M4+K5-L5</f>
        <v>-4.7999999997045961E-3</v>
      </c>
      <c r="N5" s="55" t="s">
        <v>129</v>
      </c>
    </row>
    <row r="6" spans="1:14">
      <c r="A6" s="6">
        <v>4</v>
      </c>
      <c r="B6" s="92" t="s">
        <v>131</v>
      </c>
      <c r="C6" s="6"/>
      <c r="D6" s="6"/>
      <c r="E6" s="78">
        <v>80</v>
      </c>
      <c r="F6" s="6">
        <v>91.5</v>
      </c>
      <c r="G6" s="79">
        <f t="shared" si="0"/>
        <v>7320</v>
      </c>
      <c r="H6" s="78">
        <v>1.93</v>
      </c>
      <c r="I6" s="6">
        <v>103.44</v>
      </c>
      <c r="J6" s="79">
        <f t="shared" si="1"/>
        <v>199.63919999999999</v>
      </c>
      <c r="K6" s="79">
        <f t="shared" si="2"/>
        <v>7519.6391999999996</v>
      </c>
      <c r="L6" s="186">
        <f t="shared" si="3"/>
        <v>7519.6391999999996</v>
      </c>
      <c r="M6" s="172">
        <f t="shared" si="4"/>
        <v>-4.7999999997045961E-3</v>
      </c>
      <c r="N6" s="55" t="s">
        <v>129</v>
      </c>
    </row>
    <row r="7" spans="1:14">
      <c r="A7" s="6">
        <v>5</v>
      </c>
      <c r="B7" s="92" t="s">
        <v>132</v>
      </c>
      <c r="C7" s="6"/>
      <c r="D7" s="6"/>
      <c r="E7" s="78">
        <v>30</v>
      </c>
      <c r="F7" s="6">
        <v>91.5</v>
      </c>
      <c r="G7" s="79">
        <f t="shared" si="0"/>
        <v>2745</v>
      </c>
      <c r="H7" s="78">
        <v>0</v>
      </c>
      <c r="I7" s="6">
        <v>0</v>
      </c>
      <c r="J7" s="79">
        <f t="shared" si="1"/>
        <v>0</v>
      </c>
      <c r="K7" s="79">
        <f t="shared" si="2"/>
        <v>2745</v>
      </c>
      <c r="L7" s="186">
        <f t="shared" si="3"/>
        <v>2745</v>
      </c>
      <c r="M7" s="172">
        <f t="shared" si="4"/>
        <v>-4.7999999997045961E-3</v>
      </c>
      <c r="N7" s="55" t="s">
        <v>129</v>
      </c>
    </row>
    <row r="8" spans="1:14">
      <c r="A8" s="6">
        <v>7</v>
      </c>
      <c r="B8" s="92" t="s">
        <v>133</v>
      </c>
      <c r="C8" s="6"/>
      <c r="D8" s="6"/>
      <c r="E8" s="78">
        <v>94.38</v>
      </c>
      <c r="F8" s="6">
        <v>91.5</v>
      </c>
      <c r="G8" s="79">
        <f t="shared" si="0"/>
        <v>8635.77</v>
      </c>
      <c r="H8" s="78">
        <v>9.83</v>
      </c>
      <c r="I8" s="6">
        <v>103.44</v>
      </c>
      <c r="J8" s="79">
        <f t="shared" si="1"/>
        <v>1016.8152</v>
      </c>
      <c r="K8" s="79">
        <f t="shared" si="2"/>
        <v>9652.5852000000014</v>
      </c>
      <c r="L8" s="186">
        <f t="shared" si="3"/>
        <v>9652.5852000000014</v>
      </c>
      <c r="M8" s="172">
        <f t="shared" si="4"/>
        <v>-4.7999999987951014E-3</v>
      </c>
      <c r="N8" s="55" t="s">
        <v>129</v>
      </c>
    </row>
    <row r="9" spans="1:14">
      <c r="A9" s="6">
        <v>8</v>
      </c>
      <c r="B9" s="92" t="s">
        <v>134</v>
      </c>
      <c r="C9" s="6"/>
      <c r="D9" s="6"/>
      <c r="E9" s="78">
        <v>0</v>
      </c>
      <c r="F9" s="6">
        <v>0</v>
      </c>
      <c r="G9" s="79">
        <f t="shared" si="0"/>
        <v>0</v>
      </c>
      <c r="H9" s="78">
        <v>4.83</v>
      </c>
      <c r="I9" s="6">
        <v>103.44</v>
      </c>
      <c r="J9" s="79">
        <f t="shared" si="1"/>
        <v>499.61520000000002</v>
      </c>
      <c r="K9" s="79">
        <f t="shared" si="2"/>
        <v>499.61520000000002</v>
      </c>
      <c r="L9" s="186">
        <f>+K9</f>
        <v>499.61520000000002</v>
      </c>
      <c r="M9" s="172">
        <f>M8+K9-L9</f>
        <v>-4.7999999987951014E-3</v>
      </c>
      <c r="N9" s="55" t="s">
        <v>129</v>
      </c>
    </row>
    <row r="10" spans="1:14">
      <c r="A10" s="6">
        <v>9</v>
      </c>
      <c r="B10" s="92" t="s">
        <v>135</v>
      </c>
      <c r="C10" s="6"/>
      <c r="D10" s="6"/>
      <c r="E10" s="78">
        <v>104.92</v>
      </c>
      <c r="F10" s="6">
        <v>91.5</v>
      </c>
      <c r="G10" s="79">
        <f t="shared" si="0"/>
        <v>9600.18</v>
      </c>
      <c r="H10" s="78">
        <v>0</v>
      </c>
      <c r="I10" s="6">
        <v>0</v>
      </c>
      <c r="J10" s="79">
        <f t="shared" si="1"/>
        <v>0</v>
      </c>
      <c r="K10" s="79">
        <f t="shared" si="2"/>
        <v>9600.18</v>
      </c>
      <c r="L10" s="186">
        <f t="shared" si="3"/>
        <v>9600.18</v>
      </c>
      <c r="M10" s="172">
        <f>M9+K10-L10</f>
        <v>-4.7999999987951014E-3</v>
      </c>
      <c r="N10" s="55" t="s">
        <v>129</v>
      </c>
    </row>
    <row r="11" spans="1:14">
      <c r="A11" s="6">
        <v>10</v>
      </c>
      <c r="B11" s="92" t="s">
        <v>136</v>
      </c>
      <c r="C11" s="6"/>
      <c r="D11" s="6"/>
      <c r="E11" s="78">
        <v>50</v>
      </c>
      <c r="F11" s="6">
        <v>91.5</v>
      </c>
      <c r="G11" s="79">
        <f t="shared" si="0"/>
        <v>4575</v>
      </c>
      <c r="H11" s="78">
        <v>0</v>
      </c>
      <c r="I11" s="6">
        <v>0</v>
      </c>
      <c r="J11" s="79">
        <f t="shared" si="1"/>
        <v>0</v>
      </c>
      <c r="K11" s="79">
        <f t="shared" si="2"/>
        <v>4575</v>
      </c>
      <c r="L11" s="186">
        <f t="shared" si="3"/>
        <v>4575</v>
      </c>
      <c r="M11" s="172">
        <f>M10+K11-L11</f>
        <v>-4.7999999987951014E-3</v>
      </c>
      <c r="N11" s="55" t="s">
        <v>129</v>
      </c>
    </row>
    <row r="12" spans="1:14">
      <c r="A12" s="6">
        <v>11</v>
      </c>
      <c r="B12" s="92" t="s">
        <v>137</v>
      </c>
      <c r="C12" s="6"/>
      <c r="D12" s="6"/>
      <c r="E12" s="78">
        <v>42.19</v>
      </c>
      <c r="F12" s="6">
        <v>91.5</v>
      </c>
      <c r="G12" s="79">
        <f t="shared" si="0"/>
        <v>3860.3849999999998</v>
      </c>
      <c r="H12" s="78">
        <v>9.66</v>
      </c>
      <c r="I12" s="6">
        <v>103.44</v>
      </c>
      <c r="J12" s="79">
        <f t="shared" si="1"/>
        <v>999.23040000000003</v>
      </c>
      <c r="K12" s="79">
        <f t="shared" si="2"/>
        <v>4859.6153999999997</v>
      </c>
      <c r="L12" s="186">
        <f t="shared" si="3"/>
        <v>4859.6153999999997</v>
      </c>
      <c r="M12" s="172">
        <f t="shared" si="4"/>
        <v>-4.7999999987951014E-3</v>
      </c>
      <c r="N12" s="55" t="s">
        <v>129</v>
      </c>
    </row>
    <row r="13" spans="1:14">
      <c r="A13" s="6">
        <v>12</v>
      </c>
      <c r="B13" s="92" t="s">
        <v>138</v>
      </c>
      <c r="C13" s="6"/>
      <c r="D13" s="6"/>
      <c r="E13" s="78">
        <v>74.23</v>
      </c>
      <c r="F13" s="6">
        <v>91.5</v>
      </c>
      <c r="G13" s="79">
        <f t="shared" si="0"/>
        <v>6792.0450000000001</v>
      </c>
      <c r="H13" s="78">
        <v>4.83</v>
      </c>
      <c r="I13" s="6">
        <v>103.44</v>
      </c>
      <c r="J13" s="79">
        <f t="shared" si="1"/>
        <v>499.61520000000002</v>
      </c>
      <c r="K13" s="79">
        <f t="shared" si="2"/>
        <v>7291.6602000000003</v>
      </c>
      <c r="L13" s="186">
        <f t="shared" si="3"/>
        <v>7291.6602000000003</v>
      </c>
      <c r="M13" s="172">
        <f t="shared" si="4"/>
        <v>-4.7999999987951014E-3</v>
      </c>
      <c r="N13" s="55" t="s">
        <v>129</v>
      </c>
    </row>
    <row r="14" spans="1:14">
      <c r="A14" s="6">
        <v>13</v>
      </c>
      <c r="B14" s="92" t="s">
        <v>139</v>
      </c>
      <c r="C14" s="6"/>
      <c r="D14" s="6"/>
      <c r="E14" s="78">
        <v>40.53</v>
      </c>
      <c r="F14" s="6">
        <v>91.5</v>
      </c>
      <c r="G14" s="79">
        <f t="shared" si="0"/>
        <v>3708.4949999999999</v>
      </c>
      <c r="H14" s="78">
        <v>0</v>
      </c>
      <c r="I14" s="6">
        <v>0</v>
      </c>
      <c r="J14" s="79">
        <f t="shared" si="1"/>
        <v>0</v>
      </c>
      <c r="K14" s="79">
        <f t="shared" si="2"/>
        <v>3708.4949999999999</v>
      </c>
      <c r="L14" s="186">
        <f t="shared" si="3"/>
        <v>3708.4949999999999</v>
      </c>
      <c r="M14" s="172">
        <f t="shared" si="4"/>
        <v>-4.7999999987951014E-3</v>
      </c>
      <c r="N14" s="55" t="s">
        <v>129</v>
      </c>
    </row>
    <row r="15" spans="1:14">
      <c r="A15" s="6">
        <v>14</v>
      </c>
      <c r="B15" s="92" t="s">
        <v>140</v>
      </c>
      <c r="C15" s="6"/>
      <c r="D15" s="6"/>
      <c r="E15" s="78">
        <v>0</v>
      </c>
      <c r="F15" s="6">
        <v>0</v>
      </c>
      <c r="G15" s="79">
        <f t="shared" si="0"/>
        <v>0</v>
      </c>
      <c r="H15" s="78">
        <v>0</v>
      </c>
      <c r="I15" s="6">
        <v>103.44</v>
      </c>
      <c r="J15" s="79">
        <f t="shared" si="1"/>
        <v>0</v>
      </c>
      <c r="K15" s="79">
        <f t="shared" si="2"/>
        <v>0</v>
      </c>
      <c r="L15" s="186">
        <f t="shared" si="3"/>
        <v>0</v>
      </c>
      <c r="M15" s="172">
        <f t="shared" si="4"/>
        <v>-4.7999999987951014E-3</v>
      </c>
      <c r="N15" s="55" t="s">
        <v>129</v>
      </c>
    </row>
    <row r="16" spans="1:14">
      <c r="A16" s="6">
        <v>15</v>
      </c>
      <c r="B16" s="92" t="s">
        <v>141</v>
      </c>
      <c r="C16" s="6"/>
      <c r="D16" s="6"/>
      <c r="E16" s="78">
        <v>40.07</v>
      </c>
      <c r="F16" s="6">
        <v>91.5</v>
      </c>
      <c r="G16" s="79">
        <f t="shared" si="0"/>
        <v>3666.4050000000002</v>
      </c>
      <c r="H16" s="78">
        <v>21.25</v>
      </c>
      <c r="I16" s="6">
        <v>103.44</v>
      </c>
      <c r="J16" s="79">
        <f t="shared" si="1"/>
        <v>2198.1</v>
      </c>
      <c r="K16" s="79">
        <f t="shared" si="2"/>
        <v>5864.5050000000001</v>
      </c>
      <c r="L16" s="186">
        <f t="shared" si="3"/>
        <v>5864.5050000000001</v>
      </c>
      <c r="M16" s="172">
        <f t="shared" si="4"/>
        <v>-4.7999999987951014E-3</v>
      </c>
      <c r="N16" s="55" t="s">
        <v>129</v>
      </c>
    </row>
    <row r="17" spans="1:14">
      <c r="A17" s="6">
        <v>16</v>
      </c>
      <c r="B17" s="92" t="s">
        <v>142</v>
      </c>
      <c r="C17" s="6"/>
      <c r="D17" s="6"/>
      <c r="E17" s="78">
        <v>123.86</v>
      </c>
      <c r="F17" s="6">
        <v>91.5</v>
      </c>
      <c r="G17" s="79">
        <f t="shared" si="0"/>
        <v>11333.19</v>
      </c>
      <c r="H17" s="78">
        <v>0</v>
      </c>
      <c r="I17" s="6">
        <v>0</v>
      </c>
      <c r="J17" s="79">
        <f t="shared" si="1"/>
        <v>0</v>
      </c>
      <c r="K17" s="79">
        <f t="shared" si="2"/>
        <v>11333.19</v>
      </c>
      <c r="L17" s="186">
        <f t="shared" si="3"/>
        <v>11333.19</v>
      </c>
      <c r="M17" s="172">
        <f t="shared" si="4"/>
        <v>-4.7999999987951014E-3</v>
      </c>
      <c r="N17" s="55" t="s">
        <v>129</v>
      </c>
    </row>
    <row r="18" spans="1:14">
      <c r="A18" s="6">
        <v>17</v>
      </c>
      <c r="B18" s="92" t="s">
        <v>143</v>
      </c>
      <c r="C18" s="6"/>
      <c r="D18" s="6"/>
      <c r="E18" s="78">
        <v>59.46</v>
      </c>
      <c r="F18" s="6">
        <v>91.5</v>
      </c>
      <c r="G18" s="79">
        <f t="shared" si="0"/>
        <v>5440.59</v>
      </c>
      <c r="H18" s="78">
        <v>9.66</v>
      </c>
      <c r="I18" s="6">
        <v>103.44</v>
      </c>
      <c r="J18" s="79">
        <f t="shared" si="1"/>
        <v>999.23040000000003</v>
      </c>
      <c r="K18" s="79">
        <f t="shared" si="2"/>
        <v>6439.8204000000005</v>
      </c>
      <c r="L18" s="186">
        <f t="shared" si="3"/>
        <v>6439.8204000000005</v>
      </c>
      <c r="M18" s="172">
        <f t="shared" si="4"/>
        <v>-4.7999999987951014E-3</v>
      </c>
      <c r="N18" s="55" t="s">
        <v>129</v>
      </c>
    </row>
    <row r="19" spans="1:14">
      <c r="A19" s="6">
        <v>18</v>
      </c>
      <c r="B19" s="92" t="s">
        <v>144</v>
      </c>
      <c r="C19" s="6"/>
      <c r="D19" s="6"/>
      <c r="E19" s="78">
        <v>0</v>
      </c>
      <c r="F19" s="6">
        <v>0</v>
      </c>
      <c r="G19" s="79">
        <f t="shared" si="0"/>
        <v>0</v>
      </c>
      <c r="H19" s="78">
        <v>4.83</v>
      </c>
      <c r="I19" s="6">
        <v>103.44</v>
      </c>
      <c r="J19" s="79">
        <f t="shared" si="1"/>
        <v>499.61520000000002</v>
      </c>
      <c r="K19" s="79">
        <f t="shared" si="2"/>
        <v>499.61520000000002</v>
      </c>
      <c r="L19" s="186">
        <f t="shared" si="3"/>
        <v>499.61520000000002</v>
      </c>
      <c r="M19" s="172">
        <f t="shared" si="4"/>
        <v>-4.7999999987951014E-3</v>
      </c>
      <c r="N19" s="55" t="s">
        <v>129</v>
      </c>
    </row>
    <row r="20" spans="1:14">
      <c r="A20" s="6">
        <v>19</v>
      </c>
      <c r="B20" s="92" t="s">
        <v>145</v>
      </c>
      <c r="C20" s="6"/>
      <c r="D20" s="6"/>
      <c r="E20" s="78">
        <v>38.380000000000003</v>
      </c>
      <c r="F20" s="6">
        <v>91.45</v>
      </c>
      <c r="G20" s="79">
        <f t="shared" si="0"/>
        <v>3509.8510000000006</v>
      </c>
      <c r="H20" s="78">
        <v>0</v>
      </c>
      <c r="I20" s="6">
        <v>0</v>
      </c>
      <c r="J20" s="79">
        <f t="shared" si="1"/>
        <v>0</v>
      </c>
      <c r="K20" s="79">
        <f t="shared" si="2"/>
        <v>3509.8510000000006</v>
      </c>
      <c r="L20" s="186">
        <v>0</v>
      </c>
      <c r="M20" s="172">
        <f t="shared" si="4"/>
        <v>3509.8462000000018</v>
      </c>
      <c r="N20" s="55" t="s">
        <v>129</v>
      </c>
    </row>
    <row r="21" spans="1:14">
      <c r="A21" s="6">
        <v>20</v>
      </c>
      <c r="B21" s="92" t="s">
        <v>146</v>
      </c>
      <c r="C21" s="6"/>
      <c r="D21" s="6"/>
      <c r="E21" s="78">
        <v>43.24</v>
      </c>
      <c r="F21" s="6">
        <v>91.45</v>
      </c>
      <c r="G21" s="79">
        <f t="shared" si="0"/>
        <v>3954.2980000000002</v>
      </c>
      <c r="H21" s="78">
        <v>4.83</v>
      </c>
      <c r="I21" s="6">
        <v>103.44</v>
      </c>
      <c r="J21" s="79">
        <f t="shared" si="1"/>
        <v>499.61520000000002</v>
      </c>
      <c r="K21" s="79">
        <f t="shared" si="2"/>
        <v>4453.9132</v>
      </c>
      <c r="L21" s="186">
        <f t="shared" si="3"/>
        <v>4453.9132</v>
      </c>
      <c r="M21" s="172">
        <f t="shared" si="4"/>
        <v>3509.8462000000018</v>
      </c>
      <c r="N21" s="55" t="s">
        <v>129</v>
      </c>
    </row>
    <row r="22" spans="1:14">
      <c r="A22" s="6">
        <v>21</v>
      </c>
      <c r="B22" s="92" t="s">
        <v>147</v>
      </c>
      <c r="C22" s="6"/>
      <c r="D22" s="6"/>
      <c r="E22" s="78">
        <v>41.81</v>
      </c>
      <c r="F22" s="6">
        <v>91.5</v>
      </c>
      <c r="G22" s="79">
        <f t="shared" si="0"/>
        <v>3825.6150000000002</v>
      </c>
      <c r="H22" s="78">
        <v>4.83</v>
      </c>
      <c r="I22" s="6">
        <v>103.44</v>
      </c>
      <c r="J22" s="79">
        <f t="shared" si="1"/>
        <v>499.61520000000002</v>
      </c>
      <c r="K22" s="79">
        <f t="shared" si="2"/>
        <v>4325.2302</v>
      </c>
      <c r="L22" s="186">
        <f t="shared" si="3"/>
        <v>4325.2302</v>
      </c>
      <c r="M22" s="172">
        <f t="shared" si="4"/>
        <v>3509.8462000000018</v>
      </c>
      <c r="N22" s="55" t="s">
        <v>129</v>
      </c>
    </row>
    <row r="23" spans="1:14">
      <c r="A23" s="6">
        <v>22</v>
      </c>
      <c r="B23" s="92" t="s">
        <v>148</v>
      </c>
      <c r="C23" s="6"/>
      <c r="D23" s="6"/>
      <c r="E23" s="78">
        <v>63</v>
      </c>
      <c r="F23" s="6">
        <v>91.5</v>
      </c>
      <c r="G23" s="79">
        <f t="shared" si="0"/>
        <v>5764.5</v>
      </c>
      <c r="H23" s="78">
        <v>4.38</v>
      </c>
      <c r="I23" s="6">
        <v>103.44</v>
      </c>
      <c r="J23" s="79">
        <f t="shared" si="1"/>
        <v>453.06719999999996</v>
      </c>
      <c r="K23" s="79">
        <f t="shared" si="2"/>
        <v>6217.5671999999995</v>
      </c>
      <c r="L23" s="186">
        <v>9727.4699999999993</v>
      </c>
      <c r="M23" s="172">
        <f t="shared" si="4"/>
        <v>-5.6599999998070416E-2</v>
      </c>
      <c r="N23" s="55" t="s">
        <v>129</v>
      </c>
    </row>
    <row r="24" spans="1:14">
      <c r="A24" s="6">
        <v>23</v>
      </c>
      <c r="B24" s="92" t="s">
        <v>149</v>
      </c>
      <c r="C24" s="6"/>
      <c r="D24" s="6"/>
      <c r="E24" s="78">
        <v>77.2</v>
      </c>
      <c r="F24" s="6">
        <v>91.5</v>
      </c>
      <c r="G24" s="79">
        <f t="shared" si="0"/>
        <v>7063.8</v>
      </c>
      <c r="H24" s="78">
        <v>0</v>
      </c>
      <c r="I24" s="6">
        <v>0</v>
      </c>
      <c r="J24" s="79">
        <f t="shared" si="1"/>
        <v>0</v>
      </c>
      <c r="K24" s="79">
        <f t="shared" si="2"/>
        <v>7063.8</v>
      </c>
      <c r="L24" s="186">
        <v>4575</v>
      </c>
      <c r="M24" s="172">
        <f t="shared" si="4"/>
        <v>2488.7434000000021</v>
      </c>
      <c r="N24" s="55" t="s">
        <v>129</v>
      </c>
    </row>
    <row r="25" spans="1:14">
      <c r="A25" s="6">
        <v>24</v>
      </c>
      <c r="B25" s="92"/>
      <c r="C25" s="6"/>
      <c r="D25" s="6"/>
      <c r="E25" s="78">
        <v>0</v>
      </c>
      <c r="F25" s="6">
        <v>0</v>
      </c>
      <c r="G25" s="79">
        <f t="shared" si="0"/>
        <v>0</v>
      </c>
      <c r="H25" s="78">
        <v>0</v>
      </c>
      <c r="I25" s="6">
        <v>0</v>
      </c>
      <c r="J25" s="79">
        <f t="shared" si="1"/>
        <v>0</v>
      </c>
      <c r="K25" s="79">
        <f t="shared" si="2"/>
        <v>0</v>
      </c>
      <c r="L25" s="186">
        <f t="shared" si="3"/>
        <v>0</v>
      </c>
      <c r="M25" s="172">
        <f t="shared" si="4"/>
        <v>2488.7434000000021</v>
      </c>
      <c r="N25" s="55" t="s">
        <v>129</v>
      </c>
    </row>
    <row r="26" spans="1:14">
      <c r="A26" s="6">
        <v>25</v>
      </c>
      <c r="B26" s="92"/>
      <c r="C26" s="6"/>
      <c r="D26" s="6"/>
      <c r="E26" s="78">
        <v>0</v>
      </c>
      <c r="F26" s="6">
        <v>0</v>
      </c>
      <c r="G26" s="79">
        <f t="shared" si="0"/>
        <v>0</v>
      </c>
      <c r="H26" s="78">
        <v>0</v>
      </c>
      <c r="I26" s="6">
        <v>0</v>
      </c>
      <c r="J26" s="79">
        <f t="shared" si="1"/>
        <v>0</v>
      </c>
      <c r="K26" s="79">
        <f t="shared" si="2"/>
        <v>0</v>
      </c>
      <c r="L26" s="186">
        <f t="shared" si="3"/>
        <v>0</v>
      </c>
      <c r="M26" s="172">
        <f t="shared" si="4"/>
        <v>2488.7434000000021</v>
      </c>
      <c r="N26" s="55" t="s">
        <v>129</v>
      </c>
    </row>
    <row r="27" spans="1:14">
      <c r="A27" s="6">
        <v>26</v>
      </c>
      <c r="B27" s="92"/>
      <c r="C27" s="6"/>
      <c r="D27" s="6"/>
      <c r="E27" s="78">
        <v>0</v>
      </c>
      <c r="F27" s="6">
        <v>0</v>
      </c>
      <c r="G27" s="79">
        <f t="shared" si="0"/>
        <v>0</v>
      </c>
      <c r="H27" s="78">
        <v>0</v>
      </c>
      <c r="I27" s="6">
        <v>0</v>
      </c>
      <c r="J27" s="79">
        <f t="shared" si="1"/>
        <v>0</v>
      </c>
      <c r="K27" s="79">
        <f t="shared" si="2"/>
        <v>0</v>
      </c>
      <c r="L27" s="186">
        <f t="shared" si="3"/>
        <v>0</v>
      </c>
      <c r="M27" s="172">
        <f t="shared" si="4"/>
        <v>2488.7434000000021</v>
      </c>
      <c r="N27" s="55" t="s">
        <v>129</v>
      </c>
    </row>
    <row r="28" spans="1:14">
      <c r="A28" s="6">
        <v>27</v>
      </c>
      <c r="B28" s="92"/>
      <c r="C28" s="6"/>
      <c r="D28" s="6"/>
      <c r="E28" s="78">
        <v>0</v>
      </c>
      <c r="F28" s="6">
        <v>0</v>
      </c>
      <c r="G28" s="79">
        <f t="shared" si="0"/>
        <v>0</v>
      </c>
      <c r="H28" s="78">
        <v>0</v>
      </c>
      <c r="I28" s="6">
        <v>0</v>
      </c>
      <c r="J28" s="79">
        <f t="shared" si="1"/>
        <v>0</v>
      </c>
      <c r="K28" s="79">
        <f t="shared" si="2"/>
        <v>0</v>
      </c>
      <c r="L28" s="186">
        <f t="shared" si="3"/>
        <v>0</v>
      </c>
      <c r="M28" s="172">
        <f t="shared" si="4"/>
        <v>2488.7434000000021</v>
      </c>
      <c r="N28" s="55" t="s">
        <v>129</v>
      </c>
    </row>
    <row r="29" spans="1:14">
      <c r="A29" s="6">
        <v>28</v>
      </c>
      <c r="B29" s="92"/>
      <c r="C29" s="6"/>
      <c r="D29" s="6"/>
      <c r="E29" s="78">
        <v>0</v>
      </c>
      <c r="F29" s="6">
        <v>0</v>
      </c>
      <c r="G29" s="79">
        <f t="shared" si="0"/>
        <v>0</v>
      </c>
      <c r="H29" s="78">
        <v>0</v>
      </c>
      <c r="I29" s="6">
        <v>0</v>
      </c>
      <c r="J29" s="79">
        <f t="shared" si="1"/>
        <v>0</v>
      </c>
      <c r="K29" s="79">
        <f t="shared" si="2"/>
        <v>0</v>
      </c>
      <c r="L29" s="186">
        <f t="shared" si="3"/>
        <v>0</v>
      </c>
      <c r="M29" s="172">
        <f t="shared" si="4"/>
        <v>2488.7434000000021</v>
      </c>
      <c r="N29" s="55" t="s">
        <v>129</v>
      </c>
    </row>
    <row r="30" spans="1:14">
      <c r="A30" s="6">
        <v>29</v>
      </c>
      <c r="B30" s="92"/>
      <c r="C30" s="6"/>
      <c r="D30" s="6"/>
      <c r="E30" s="78">
        <v>0</v>
      </c>
      <c r="F30" s="6">
        <v>0</v>
      </c>
      <c r="G30" s="79">
        <f t="shared" si="0"/>
        <v>0</v>
      </c>
      <c r="H30" s="78">
        <v>0</v>
      </c>
      <c r="I30" s="6">
        <v>0</v>
      </c>
      <c r="J30" s="79">
        <f t="shared" si="1"/>
        <v>0</v>
      </c>
      <c r="K30" s="79">
        <f t="shared" si="2"/>
        <v>0</v>
      </c>
      <c r="L30" s="186">
        <f t="shared" si="3"/>
        <v>0</v>
      </c>
      <c r="M30" s="172">
        <v>0</v>
      </c>
      <c r="N30" s="55" t="s">
        <v>129</v>
      </c>
    </row>
    <row r="31" spans="1:14">
      <c r="A31" s="6">
        <v>30</v>
      </c>
      <c r="B31" s="92"/>
      <c r="C31" s="6"/>
      <c r="D31" s="6"/>
      <c r="E31" s="78">
        <v>0</v>
      </c>
      <c r="F31" s="6">
        <v>0</v>
      </c>
      <c r="G31" s="79">
        <f t="shared" si="0"/>
        <v>0</v>
      </c>
      <c r="H31" s="78">
        <v>0</v>
      </c>
      <c r="I31" s="6">
        <v>0</v>
      </c>
      <c r="J31" s="79">
        <f t="shared" si="1"/>
        <v>0</v>
      </c>
      <c r="K31" s="79">
        <f t="shared" si="2"/>
        <v>0</v>
      </c>
      <c r="L31" s="186">
        <f t="shared" si="3"/>
        <v>0</v>
      </c>
      <c r="M31" s="172">
        <v>0</v>
      </c>
      <c r="N31" s="55" t="s">
        <v>129</v>
      </c>
    </row>
    <row r="32" spans="1:14">
      <c r="A32" s="6">
        <v>31</v>
      </c>
      <c r="B32" s="92"/>
      <c r="C32" s="6"/>
      <c r="D32" s="6"/>
      <c r="E32" s="78">
        <v>0</v>
      </c>
      <c r="F32" s="6">
        <v>0</v>
      </c>
      <c r="G32" s="79">
        <f t="shared" si="0"/>
        <v>0</v>
      </c>
      <c r="H32" s="78">
        <v>0</v>
      </c>
      <c r="I32" s="6">
        <v>0</v>
      </c>
      <c r="J32" s="79">
        <f t="shared" si="1"/>
        <v>0</v>
      </c>
      <c r="K32" s="79">
        <f t="shared" si="2"/>
        <v>0</v>
      </c>
      <c r="L32" s="186">
        <f t="shared" si="3"/>
        <v>0</v>
      </c>
      <c r="M32" s="172">
        <v>0</v>
      </c>
      <c r="N32" s="55" t="s">
        <v>129</v>
      </c>
    </row>
    <row r="33" spans="1:15">
      <c r="A33" s="6">
        <v>32</v>
      </c>
      <c r="B33" s="92"/>
      <c r="C33" s="6"/>
      <c r="D33" s="6"/>
      <c r="E33" s="78">
        <v>0</v>
      </c>
      <c r="F33" s="6">
        <v>0</v>
      </c>
      <c r="G33" s="79">
        <f t="shared" si="0"/>
        <v>0</v>
      </c>
      <c r="H33" s="78">
        <v>0</v>
      </c>
      <c r="I33" s="6">
        <v>0</v>
      </c>
      <c r="J33" s="79">
        <f t="shared" si="1"/>
        <v>0</v>
      </c>
      <c r="K33" s="79">
        <f t="shared" si="2"/>
        <v>0</v>
      </c>
      <c r="L33" s="186">
        <f t="shared" si="3"/>
        <v>0</v>
      </c>
      <c r="M33" s="172">
        <v>0</v>
      </c>
      <c r="N33" s="55" t="s">
        <v>129</v>
      </c>
    </row>
    <row r="34" spans="1:15">
      <c r="A34" s="6">
        <v>33</v>
      </c>
      <c r="B34" s="92"/>
      <c r="C34" s="6"/>
      <c r="D34" s="6"/>
      <c r="E34" s="78">
        <v>0</v>
      </c>
      <c r="F34" s="6">
        <v>0</v>
      </c>
      <c r="G34" s="79">
        <f t="shared" si="0"/>
        <v>0</v>
      </c>
      <c r="H34" s="78">
        <v>0</v>
      </c>
      <c r="I34" s="6">
        <v>0</v>
      </c>
      <c r="J34" s="79">
        <f t="shared" si="1"/>
        <v>0</v>
      </c>
      <c r="K34" s="79">
        <f t="shared" si="2"/>
        <v>0</v>
      </c>
      <c r="L34" s="186">
        <f t="shared" si="3"/>
        <v>0</v>
      </c>
      <c r="M34" s="172">
        <v>0</v>
      </c>
      <c r="N34" s="55" t="s">
        <v>129</v>
      </c>
    </row>
    <row r="35" spans="1:15">
      <c r="A35" s="6">
        <v>34</v>
      </c>
      <c r="B35" s="92"/>
      <c r="C35" s="6"/>
      <c r="D35" s="6"/>
      <c r="E35" s="78">
        <v>0</v>
      </c>
      <c r="F35" s="6">
        <v>0</v>
      </c>
      <c r="G35" s="79">
        <f t="shared" ref="G5:G43" si="5">E35*F35</f>
        <v>0</v>
      </c>
      <c r="H35" s="78">
        <v>0</v>
      </c>
      <c r="I35" s="6">
        <v>0</v>
      </c>
      <c r="J35" s="79">
        <f>H35*I35</f>
        <v>0</v>
      </c>
      <c r="K35" s="79">
        <f t="shared" ref="K5:K43" si="6">G35+J35</f>
        <v>0</v>
      </c>
      <c r="L35" s="186">
        <f t="shared" si="3"/>
        <v>0</v>
      </c>
      <c r="M35" s="172">
        <v>0</v>
      </c>
      <c r="N35" s="55" t="s">
        <v>129</v>
      </c>
    </row>
    <row r="36" spans="1:15">
      <c r="A36" s="6">
        <v>35</v>
      </c>
      <c r="B36" s="92"/>
      <c r="C36" s="6"/>
      <c r="D36" s="6"/>
      <c r="E36" s="78">
        <v>0</v>
      </c>
      <c r="F36" s="6">
        <v>0</v>
      </c>
      <c r="G36" s="79">
        <f t="shared" si="5"/>
        <v>0</v>
      </c>
      <c r="H36" s="78">
        <v>0</v>
      </c>
      <c r="I36" s="6">
        <v>0</v>
      </c>
      <c r="J36" s="79">
        <f>H36*I36</f>
        <v>0</v>
      </c>
      <c r="K36" s="79">
        <f t="shared" si="6"/>
        <v>0</v>
      </c>
      <c r="L36" s="186">
        <f t="shared" si="3"/>
        <v>0</v>
      </c>
      <c r="M36" s="172">
        <v>0</v>
      </c>
      <c r="N36" s="55" t="s">
        <v>129</v>
      </c>
    </row>
    <row r="37" spans="1:15">
      <c r="A37" s="6">
        <v>36</v>
      </c>
      <c r="B37" s="92"/>
      <c r="C37" s="6"/>
      <c r="D37" s="6"/>
      <c r="E37" s="78">
        <v>0</v>
      </c>
      <c r="F37" s="6">
        <v>0</v>
      </c>
      <c r="G37" s="79">
        <f t="shared" si="5"/>
        <v>0</v>
      </c>
      <c r="H37" s="78">
        <v>0</v>
      </c>
      <c r="I37" s="6">
        <v>0</v>
      </c>
      <c r="J37" s="79">
        <f>H37*I37</f>
        <v>0</v>
      </c>
      <c r="K37" s="79">
        <f t="shared" si="6"/>
        <v>0</v>
      </c>
      <c r="L37" s="186">
        <f t="shared" si="3"/>
        <v>0</v>
      </c>
      <c r="M37" s="172">
        <v>0</v>
      </c>
      <c r="N37" s="55" t="s">
        <v>129</v>
      </c>
    </row>
    <row r="38" spans="1:15">
      <c r="A38" s="6">
        <v>37</v>
      </c>
      <c r="B38" s="92"/>
      <c r="C38" s="6"/>
      <c r="D38" s="6"/>
      <c r="E38" s="78">
        <v>0</v>
      </c>
      <c r="F38" s="6">
        <v>0</v>
      </c>
      <c r="G38" s="79">
        <f t="shared" si="5"/>
        <v>0</v>
      </c>
      <c r="H38" s="78">
        <v>0</v>
      </c>
      <c r="I38" s="6">
        <v>0</v>
      </c>
      <c r="J38" s="79">
        <f>H38*I38</f>
        <v>0</v>
      </c>
      <c r="K38" s="79">
        <f t="shared" si="6"/>
        <v>0</v>
      </c>
      <c r="L38" s="186">
        <f t="shared" si="3"/>
        <v>0</v>
      </c>
      <c r="M38" s="172">
        <v>0</v>
      </c>
      <c r="N38" s="55" t="s">
        <v>129</v>
      </c>
    </row>
    <row r="39" spans="1:15">
      <c r="A39" s="6">
        <v>38</v>
      </c>
      <c r="B39" s="92"/>
      <c r="C39" s="6"/>
      <c r="D39" s="6"/>
      <c r="E39" s="78">
        <v>0</v>
      </c>
      <c r="F39" s="6">
        <v>0</v>
      </c>
      <c r="G39" s="79">
        <f t="shared" si="5"/>
        <v>0</v>
      </c>
      <c r="H39" s="78">
        <v>0</v>
      </c>
      <c r="I39" s="6">
        <v>0</v>
      </c>
      <c r="J39" s="79">
        <f>H39*I39</f>
        <v>0</v>
      </c>
      <c r="K39" s="79">
        <f t="shared" si="6"/>
        <v>0</v>
      </c>
      <c r="L39" s="186">
        <f t="shared" si="3"/>
        <v>0</v>
      </c>
      <c r="M39" s="172">
        <v>0</v>
      </c>
      <c r="N39" s="55" t="s">
        <v>129</v>
      </c>
    </row>
    <row r="40" spans="1:15">
      <c r="A40" s="196">
        <v>39</v>
      </c>
      <c r="B40" s="197"/>
      <c r="C40" s="196"/>
      <c r="D40" s="6"/>
      <c r="E40" s="78">
        <v>0</v>
      </c>
      <c r="F40" s="6">
        <v>0</v>
      </c>
      <c r="G40" s="79">
        <f t="shared" si="5"/>
        <v>0</v>
      </c>
      <c r="H40" s="78">
        <v>0</v>
      </c>
      <c r="I40" s="6">
        <v>0</v>
      </c>
      <c r="J40" s="79">
        <f>H40*I40</f>
        <v>0</v>
      </c>
      <c r="K40" s="79">
        <f t="shared" si="6"/>
        <v>0</v>
      </c>
      <c r="L40" s="186">
        <f t="shared" si="3"/>
        <v>0</v>
      </c>
      <c r="M40" s="172">
        <v>0</v>
      </c>
      <c r="N40" s="55" t="s">
        <v>129</v>
      </c>
    </row>
    <row r="41" spans="1:15">
      <c r="A41" s="6">
        <v>40</v>
      </c>
      <c r="B41" s="6"/>
      <c r="C41" s="6"/>
      <c r="D41" s="6"/>
      <c r="E41" s="78">
        <v>0</v>
      </c>
      <c r="F41" s="6">
        <v>0</v>
      </c>
      <c r="G41" s="79">
        <f t="shared" si="5"/>
        <v>0</v>
      </c>
      <c r="H41" s="78">
        <v>0</v>
      </c>
      <c r="I41" s="6">
        <v>0</v>
      </c>
      <c r="J41" s="79">
        <f>H41*I41</f>
        <v>0</v>
      </c>
      <c r="K41" s="79">
        <f t="shared" si="6"/>
        <v>0</v>
      </c>
      <c r="L41" s="186">
        <f t="shared" si="3"/>
        <v>0</v>
      </c>
      <c r="M41" s="172">
        <v>0</v>
      </c>
      <c r="N41" s="55" t="s">
        <v>129</v>
      </c>
    </row>
    <row r="42" spans="1:15">
      <c r="A42" s="196">
        <v>41</v>
      </c>
      <c r="B42" s="196"/>
      <c r="C42" s="196"/>
      <c r="D42" s="6"/>
      <c r="E42" s="78">
        <v>0</v>
      </c>
      <c r="F42" s="6">
        <v>0</v>
      </c>
      <c r="G42" s="79">
        <f t="shared" si="5"/>
        <v>0</v>
      </c>
      <c r="H42" s="78">
        <v>0</v>
      </c>
      <c r="I42" s="6">
        <v>0</v>
      </c>
      <c r="J42" s="79">
        <f>H42*I42</f>
        <v>0</v>
      </c>
      <c r="K42" s="79">
        <f t="shared" si="6"/>
        <v>0</v>
      </c>
      <c r="L42" s="186">
        <f t="shared" si="3"/>
        <v>0</v>
      </c>
      <c r="M42" s="172">
        <v>0</v>
      </c>
      <c r="N42" s="55" t="s">
        <v>129</v>
      </c>
    </row>
    <row r="43" spans="1:15">
      <c r="A43" s="196">
        <v>42</v>
      </c>
      <c r="B43" s="196"/>
      <c r="C43" s="196"/>
      <c r="D43" s="6"/>
      <c r="E43" s="78">
        <v>0</v>
      </c>
      <c r="F43" s="6">
        <v>0</v>
      </c>
      <c r="G43" s="79">
        <f t="shared" si="5"/>
        <v>0</v>
      </c>
      <c r="H43" s="78">
        <v>0</v>
      </c>
      <c r="I43" s="6">
        <v>0</v>
      </c>
      <c r="J43" s="79">
        <f>H43*I43</f>
        <v>0</v>
      </c>
      <c r="K43" s="79">
        <f t="shared" si="6"/>
        <v>0</v>
      </c>
      <c r="L43" s="186">
        <f t="shared" si="3"/>
        <v>0</v>
      </c>
      <c r="M43" s="172">
        <v>0</v>
      </c>
      <c r="N43" s="55" t="s">
        <v>129</v>
      </c>
    </row>
    <row r="44" spans="1:15">
      <c r="A44" s="75"/>
      <c r="B44" s="75"/>
      <c r="C44" s="75"/>
      <c r="D44" s="75"/>
      <c r="E44" s="76">
        <f>SUM(E4:E43)</f>
        <v>1084.7500000000002</v>
      </c>
      <c r="F44" s="76"/>
      <c r="G44" s="76">
        <f>SUM(G4:G43)</f>
        <v>99250.543999999994</v>
      </c>
      <c r="H44" s="76">
        <f>SUM(H4:H43)</f>
        <v>90.519999999999982</v>
      </c>
      <c r="I44" s="76"/>
      <c r="J44" s="76">
        <f>SUM(J4:J43)</f>
        <v>9363.3888000000006</v>
      </c>
      <c r="K44" s="76">
        <f>SUM(K4:K43)</f>
        <v>108613.9328</v>
      </c>
      <c r="L44" s="76">
        <f>SUM(L4:L43)</f>
        <v>106125.1894</v>
      </c>
      <c r="M44" s="76"/>
      <c r="N44" s="76"/>
      <c r="O44" s="72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3"/>
  <sheetViews>
    <sheetView topLeftCell="A31" workbookViewId="0">
      <selection activeCell="Q34" sqref="Q34"/>
    </sheetView>
  </sheetViews>
  <sheetFormatPr defaultRowHeight="15"/>
  <cols>
    <col min="2" max="2" width="10.5703125" bestFit="1" customWidth="1"/>
    <col min="7" max="7" width="10.85546875" bestFit="1" customWidth="1"/>
    <col min="11" max="11" width="13.140625" bestFit="1" customWidth="1"/>
    <col min="12" max="12" width="12.140625" bestFit="1" customWidth="1"/>
    <col min="13" max="13" width="17.42578125" customWidth="1"/>
  </cols>
  <sheetData>
    <row r="1" spans="1:18" ht="15.75">
      <c r="A1" s="442" t="s">
        <v>92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</row>
    <row r="2" spans="1:18" ht="30.75">
      <c r="A2" s="77" t="s">
        <v>99</v>
      </c>
      <c r="B2" s="97" t="s">
        <v>100</v>
      </c>
      <c r="C2" s="97" t="s">
        <v>101</v>
      </c>
      <c r="D2" s="97" t="s">
        <v>122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108</v>
      </c>
      <c r="M2" s="99" t="s">
        <v>115</v>
      </c>
      <c r="N2" s="97" t="s">
        <v>110</v>
      </c>
    </row>
    <row r="3" spans="1:18">
      <c r="A3" s="464" t="s">
        <v>111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7">
        <v>48315</v>
      </c>
      <c r="N3" s="468"/>
    </row>
    <row r="4" spans="1:18">
      <c r="A4" s="234">
        <v>1</v>
      </c>
      <c r="B4" s="270">
        <v>45778</v>
      </c>
      <c r="C4" s="6"/>
      <c r="D4" s="6"/>
      <c r="E4" s="78">
        <v>0</v>
      </c>
      <c r="F4" s="6">
        <v>0</v>
      </c>
      <c r="G4" s="79">
        <f>E4*F4</f>
        <v>0</v>
      </c>
      <c r="H4" s="78">
        <v>0</v>
      </c>
      <c r="I4" s="6">
        <v>0</v>
      </c>
      <c r="J4" s="79">
        <f>H4*I4</f>
        <v>0</v>
      </c>
      <c r="K4" s="79">
        <f>G4+J4</f>
        <v>0</v>
      </c>
      <c r="L4" s="186">
        <f>+K4</f>
        <v>0</v>
      </c>
      <c r="M4" s="172">
        <f>M3+K4-L4</f>
        <v>48315</v>
      </c>
      <c r="N4" s="55" t="s">
        <v>129</v>
      </c>
    </row>
    <row r="5" spans="1:18">
      <c r="A5" s="55">
        <v>2</v>
      </c>
      <c r="B5" s="270">
        <v>45779</v>
      </c>
      <c r="C5" s="6"/>
      <c r="D5" s="6"/>
      <c r="E5" s="78">
        <v>0</v>
      </c>
      <c r="F5" s="6">
        <v>0</v>
      </c>
      <c r="G5" s="79">
        <f t="shared" ref="G5:G40" si="0">E5*F5</f>
        <v>0</v>
      </c>
      <c r="H5" s="78">
        <v>0</v>
      </c>
      <c r="I5" s="6">
        <v>0</v>
      </c>
      <c r="J5" s="79">
        <f t="shared" ref="J5:J40" si="1">H5*I5</f>
        <v>0</v>
      </c>
      <c r="K5" s="79">
        <f t="shared" ref="K5:K40" si="2">G5+J5</f>
        <v>0</v>
      </c>
      <c r="L5" s="186">
        <f t="shared" ref="L5:L40" si="3">+K5</f>
        <v>0</v>
      </c>
      <c r="M5" s="172">
        <f t="shared" ref="M5:M33" si="4">M4+K5-L5</f>
        <v>48315</v>
      </c>
      <c r="N5" s="55" t="s">
        <v>129</v>
      </c>
    </row>
    <row r="6" spans="1:18">
      <c r="A6" s="55">
        <v>3</v>
      </c>
      <c r="B6" s="270">
        <v>45780</v>
      </c>
      <c r="C6" s="6"/>
      <c r="D6" s="6"/>
      <c r="E6" s="78">
        <v>0</v>
      </c>
      <c r="F6" s="6">
        <v>0</v>
      </c>
      <c r="G6" s="79">
        <f t="shared" si="0"/>
        <v>0</v>
      </c>
      <c r="H6" s="78">
        <v>0</v>
      </c>
      <c r="I6" s="6">
        <v>0</v>
      </c>
      <c r="J6" s="79">
        <f t="shared" si="1"/>
        <v>0</v>
      </c>
      <c r="K6" s="79">
        <f t="shared" si="2"/>
        <v>0</v>
      </c>
      <c r="L6" s="186">
        <f t="shared" si="3"/>
        <v>0</v>
      </c>
      <c r="M6" s="172">
        <f t="shared" si="4"/>
        <v>48315</v>
      </c>
      <c r="N6" s="55" t="s">
        <v>129</v>
      </c>
    </row>
    <row r="7" spans="1:18">
      <c r="A7" s="55">
        <v>4</v>
      </c>
      <c r="B7" s="270">
        <v>45781</v>
      </c>
      <c r="C7" s="6"/>
      <c r="D7" s="6"/>
      <c r="E7" s="78">
        <v>0</v>
      </c>
      <c r="F7" s="6">
        <v>0</v>
      </c>
      <c r="G7" s="79">
        <f t="shared" si="0"/>
        <v>0</v>
      </c>
      <c r="H7" s="78">
        <v>0</v>
      </c>
      <c r="I7" s="6">
        <v>0</v>
      </c>
      <c r="J7" s="79">
        <f t="shared" si="1"/>
        <v>0</v>
      </c>
      <c r="K7" s="79">
        <f t="shared" si="2"/>
        <v>0</v>
      </c>
      <c r="L7" s="186">
        <f t="shared" si="3"/>
        <v>0</v>
      </c>
      <c r="M7" s="172">
        <f t="shared" si="4"/>
        <v>48315</v>
      </c>
      <c r="N7" s="55" t="s">
        <v>129</v>
      </c>
    </row>
    <row r="8" spans="1:18">
      <c r="A8" s="55">
        <v>5</v>
      </c>
      <c r="B8" s="270">
        <v>45782</v>
      </c>
      <c r="C8" s="6"/>
      <c r="D8" s="6"/>
      <c r="E8" s="78">
        <v>0</v>
      </c>
      <c r="F8" s="6">
        <v>0</v>
      </c>
      <c r="G8" s="79">
        <f t="shared" si="0"/>
        <v>0</v>
      </c>
      <c r="H8" s="78">
        <v>0</v>
      </c>
      <c r="I8" s="6">
        <v>0</v>
      </c>
      <c r="J8" s="79">
        <f t="shared" si="1"/>
        <v>0</v>
      </c>
      <c r="K8" s="79">
        <f t="shared" si="2"/>
        <v>0</v>
      </c>
      <c r="L8" s="186">
        <f t="shared" si="3"/>
        <v>0</v>
      </c>
      <c r="M8" s="172">
        <f t="shared" si="4"/>
        <v>48315</v>
      </c>
      <c r="N8" s="55" t="s">
        <v>129</v>
      </c>
    </row>
    <row r="9" spans="1:18">
      <c r="A9" s="55">
        <v>6</v>
      </c>
      <c r="B9" s="270">
        <v>45783</v>
      </c>
      <c r="C9" s="6"/>
      <c r="D9" s="6"/>
      <c r="E9" s="78">
        <v>36.1</v>
      </c>
      <c r="F9" s="6">
        <v>91.62</v>
      </c>
      <c r="G9" s="79">
        <f t="shared" si="0"/>
        <v>3307.4820000000004</v>
      </c>
      <c r="H9" s="78">
        <v>0</v>
      </c>
      <c r="I9" s="6">
        <v>0</v>
      </c>
      <c r="J9" s="79">
        <f t="shared" si="1"/>
        <v>0</v>
      </c>
      <c r="K9" s="79">
        <f t="shared" si="2"/>
        <v>3307.4820000000004</v>
      </c>
      <c r="L9" s="186">
        <v>0</v>
      </c>
      <c r="M9" s="172">
        <f t="shared" si="4"/>
        <v>51622.482000000004</v>
      </c>
      <c r="N9" s="55" t="s">
        <v>129</v>
      </c>
    </row>
    <row r="10" spans="1:18">
      <c r="A10" s="55">
        <v>7</v>
      </c>
      <c r="B10" s="270">
        <v>45784</v>
      </c>
      <c r="C10" s="6"/>
      <c r="D10" s="6"/>
      <c r="E10" s="78">
        <v>50</v>
      </c>
      <c r="F10" s="6">
        <v>91.62</v>
      </c>
      <c r="G10" s="79">
        <f t="shared" si="0"/>
        <v>4581</v>
      </c>
      <c r="H10" s="78">
        <v>0</v>
      </c>
      <c r="I10" s="6">
        <v>0</v>
      </c>
      <c r="J10" s="79">
        <f t="shared" si="1"/>
        <v>0</v>
      </c>
      <c r="K10" s="79">
        <f t="shared" si="2"/>
        <v>4581</v>
      </c>
      <c r="L10" s="186">
        <v>0</v>
      </c>
      <c r="M10" s="172">
        <f t="shared" si="4"/>
        <v>56203.482000000004</v>
      </c>
      <c r="N10" s="55" t="s">
        <v>129</v>
      </c>
    </row>
    <row r="11" spans="1:18">
      <c r="A11" s="55">
        <v>8</v>
      </c>
      <c r="B11" s="270">
        <v>45785</v>
      </c>
      <c r="C11" s="6"/>
      <c r="D11" s="6"/>
      <c r="E11" s="78">
        <v>100</v>
      </c>
      <c r="F11" s="6">
        <v>91.62</v>
      </c>
      <c r="G11" s="79">
        <f t="shared" si="0"/>
        <v>9162</v>
      </c>
      <c r="H11" s="78">
        <v>0</v>
      </c>
      <c r="I11" s="6">
        <v>0</v>
      </c>
      <c r="J11" s="79">
        <f t="shared" si="1"/>
        <v>0</v>
      </c>
      <c r="K11" s="79">
        <f t="shared" si="2"/>
        <v>9162</v>
      </c>
      <c r="L11" s="186">
        <v>0</v>
      </c>
      <c r="M11" s="172">
        <f t="shared" si="4"/>
        <v>65365.482000000004</v>
      </c>
      <c r="N11" s="55" t="s">
        <v>129</v>
      </c>
    </row>
    <row r="12" spans="1:18">
      <c r="A12" s="55">
        <v>9</v>
      </c>
      <c r="B12" s="270">
        <v>45786</v>
      </c>
      <c r="C12" s="6"/>
      <c r="D12" s="6"/>
      <c r="E12" s="78">
        <v>3.91</v>
      </c>
      <c r="F12" s="6">
        <v>91.62</v>
      </c>
      <c r="G12" s="79">
        <f t="shared" si="0"/>
        <v>358.23420000000004</v>
      </c>
      <c r="H12" s="78">
        <v>9.66</v>
      </c>
      <c r="I12" s="6">
        <v>103.57</v>
      </c>
      <c r="J12" s="79">
        <f t="shared" si="1"/>
        <v>1000.4861999999999</v>
      </c>
      <c r="K12" s="79">
        <f t="shared" si="2"/>
        <v>1358.7203999999999</v>
      </c>
      <c r="L12" s="186">
        <v>0</v>
      </c>
      <c r="M12" s="172">
        <f t="shared" si="4"/>
        <v>66724.202400000009</v>
      </c>
      <c r="N12" s="55" t="s">
        <v>129</v>
      </c>
      <c r="R12" s="303"/>
    </row>
    <row r="13" spans="1:18">
      <c r="A13" s="55">
        <v>10</v>
      </c>
      <c r="B13" s="270">
        <v>45787</v>
      </c>
      <c r="C13" s="6"/>
      <c r="D13" s="6"/>
      <c r="E13" s="78">
        <v>48.02</v>
      </c>
      <c r="F13" s="6">
        <v>91.62</v>
      </c>
      <c r="G13" s="79">
        <f t="shared" si="0"/>
        <v>4399.5924000000005</v>
      </c>
      <c r="H13" s="78">
        <v>6.76</v>
      </c>
      <c r="I13" s="6">
        <v>103.57</v>
      </c>
      <c r="J13" s="79">
        <f t="shared" si="1"/>
        <v>700.13319999999999</v>
      </c>
      <c r="K13" s="79">
        <f t="shared" si="2"/>
        <v>5099.7256000000007</v>
      </c>
      <c r="L13" s="186">
        <v>0</v>
      </c>
      <c r="M13" s="172">
        <f t="shared" si="4"/>
        <v>71823.928000000014</v>
      </c>
      <c r="N13" s="55" t="s">
        <v>129</v>
      </c>
    </row>
    <row r="14" spans="1:18">
      <c r="A14" s="55">
        <v>11</v>
      </c>
      <c r="B14" s="270">
        <v>45788</v>
      </c>
      <c r="C14" s="6"/>
      <c r="D14" s="6"/>
      <c r="E14" s="78">
        <v>0</v>
      </c>
      <c r="F14" s="6">
        <v>0</v>
      </c>
      <c r="G14" s="79">
        <f t="shared" si="0"/>
        <v>0</v>
      </c>
      <c r="H14" s="78">
        <v>0</v>
      </c>
      <c r="I14" s="6">
        <v>0</v>
      </c>
      <c r="J14" s="79">
        <f t="shared" si="1"/>
        <v>0</v>
      </c>
      <c r="K14" s="79">
        <f t="shared" si="2"/>
        <v>0</v>
      </c>
      <c r="L14" s="186">
        <f t="shared" si="3"/>
        <v>0</v>
      </c>
      <c r="M14" s="172">
        <f t="shared" si="4"/>
        <v>71823.928000000014</v>
      </c>
      <c r="N14" s="55" t="s">
        <v>129</v>
      </c>
    </row>
    <row r="15" spans="1:18">
      <c r="A15" s="55">
        <v>12</v>
      </c>
      <c r="B15" s="270">
        <v>45789</v>
      </c>
      <c r="C15" s="6"/>
      <c r="D15" s="6"/>
      <c r="E15" s="78">
        <v>0</v>
      </c>
      <c r="F15" s="6">
        <v>0</v>
      </c>
      <c r="G15" s="79">
        <f t="shared" si="0"/>
        <v>0</v>
      </c>
      <c r="H15" s="78">
        <v>0</v>
      </c>
      <c r="I15" s="6">
        <v>0</v>
      </c>
      <c r="J15" s="79">
        <f t="shared" si="1"/>
        <v>0</v>
      </c>
      <c r="K15" s="79">
        <f t="shared" si="2"/>
        <v>0</v>
      </c>
      <c r="L15" s="186">
        <v>50000</v>
      </c>
      <c r="M15" s="172">
        <f t="shared" si="4"/>
        <v>21823.928000000014</v>
      </c>
      <c r="N15" s="55" t="s">
        <v>129</v>
      </c>
    </row>
    <row r="16" spans="1:18">
      <c r="A16" s="55">
        <v>13</v>
      </c>
      <c r="B16" s="270">
        <v>45790</v>
      </c>
      <c r="C16" s="6"/>
      <c r="D16" s="6"/>
      <c r="E16" s="78">
        <v>10</v>
      </c>
      <c r="F16" s="6">
        <v>91.62</v>
      </c>
      <c r="G16" s="79">
        <f t="shared" si="0"/>
        <v>916.2</v>
      </c>
      <c r="H16" s="78">
        <v>0</v>
      </c>
      <c r="I16" s="6">
        <v>0</v>
      </c>
      <c r="J16" s="79">
        <f t="shared" si="1"/>
        <v>0</v>
      </c>
      <c r="K16" s="79">
        <f t="shared" si="2"/>
        <v>916.2</v>
      </c>
      <c r="L16" s="186">
        <v>0</v>
      </c>
      <c r="M16" s="172">
        <f t="shared" si="4"/>
        <v>22740.128000000015</v>
      </c>
      <c r="N16" s="55" t="s">
        <v>129</v>
      </c>
    </row>
    <row r="17" spans="1:14">
      <c r="A17" s="55">
        <v>14</v>
      </c>
      <c r="B17" s="270">
        <v>45791</v>
      </c>
      <c r="C17" s="6"/>
      <c r="D17" s="6"/>
      <c r="E17" s="78">
        <v>93.89</v>
      </c>
      <c r="F17" s="6">
        <v>91.62</v>
      </c>
      <c r="G17" s="79">
        <f t="shared" si="0"/>
        <v>8602.2018000000007</v>
      </c>
      <c r="H17" s="78">
        <v>0</v>
      </c>
      <c r="I17" s="6">
        <v>0</v>
      </c>
      <c r="J17" s="79">
        <f t="shared" si="1"/>
        <v>0</v>
      </c>
      <c r="K17" s="79">
        <f t="shared" si="2"/>
        <v>8602.2018000000007</v>
      </c>
      <c r="L17" s="186">
        <v>0</v>
      </c>
      <c r="M17" s="172">
        <f t="shared" si="4"/>
        <v>31342.329800000014</v>
      </c>
      <c r="N17" s="55" t="s">
        <v>129</v>
      </c>
    </row>
    <row r="18" spans="1:14">
      <c r="A18" s="55">
        <v>15</v>
      </c>
      <c r="B18" s="270">
        <v>45792</v>
      </c>
      <c r="C18" s="6"/>
      <c r="D18" s="6"/>
      <c r="E18" s="78">
        <v>0</v>
      </c>
      <c r="F18" s="6">
        <v>0</v>
      </c>
      <c r="G18" s="79">
        <f t="shared" si="0"/>
        <v>0</v>
      </c>
      <c r="H18" s="78">
        <v>0</v>
      </c>
      <c r="I18" s="6">
        <v>0</v>
      </c>
      <c r="J18" s="79">
        <f t="shared" si="1"/>
        <v>0</v>
      </c>
      <c r="K18" s="79">
        <f t="shared" si="2"/>
        <v>0</v>
      </c>
      <c r="L18" s="186">
        <f t="shared" si="3"/>
        <v>0</v>
      </c>
      <c r="M18" s="172">
        <f t="shared" si="4"/>
        <v>31342.329800000014</v>
      </c>
      <c r="N18" s="55" t="s">
        <v>129</v>
      </c>
    </row>
    <row r="19" spans="1:14">
      <c r="A19" s="55">
        <v>16</v>
      </c>
      <c r="B19" s="270">
        <v>45793</v>
      </c>
      <c r="C19" s="6"/>
      <c r="D19" s="6"/>
      <c r="E19" s="78">
        <v>0</v>
      </c>
      <c r="F19" s="6">
        <v>0</v>
      </c>
      <c r="G19" s="79">
        <f t="shared" si="0"/>
        <v>0</v>
      </c>
      <c r="H19" s="78">
        <v>4.83</v>
      </c>
      <c r="I19" s="6">
        <v>103.57</v>
      </c>
      <c r="J19" s="79">
        <f t="shared" si="1"/>
        <v>500.24309999999997</v>
      </c>
      <c r="K19" s="79">
        <f t="shared" si="2"/>
        <v>500.24309999999997</v>
      </c>
      <c r="L19" s="186">
        <v>0</v>
      </c>
      <c r="M19" s="172">
        <f>M18+K19-L19</f>
        <v>31842.572900000014</v>
      </c>
      <c r="N19" s="55" t="s">
        <v>129</v>
      </c>
    </row>
    <row r="20" spans="1:14">
      <c r="A20" s="55">
        <v>17</v>
      </c>
      <c r="B20" s="270">
        <v>45794</v>
      </c>
      <c r="C20" s="6"/>
      <c r="D20" s="6"/>
      <c r="E20" s="78">
        <v>0</v>
      </c>
      <c r="F20" s="6">
        <v>0</v>
      </c>
      <c r="G20" s="79">
        <f t="shared" si="0"/>
        <v>0</v>
      </c>
      <c r="H20" s="78">
        <v>0</v>
      </c>
      <c r="I20" s="6">
        <v>0</v>
      </c>
      <c r="J20" s="79">
        <f t="shared" si="1"/>
        <v>0</v>
      </c>
      <c r="K20" s="79">
        <f t="shared" si="2"/>
        <v>0</v>
      </c>
      <c r="L20" s="186">
        <f t="shared" si="3"/>
        <v>0</v>
      </c>
      <c r="M20" s="172">
        <f t="shared" si="4"/>
        <v>31842.572900000014</v>
      </c>
      <c r="N20" s="55" t="s">
        <v>129</v>
      </c>
    </row>
    <row r="21" spans="1:14">
      <c r="A21" s="55">
        <v>18</v>
      </c>
      <c r="B21" s="270">
        <v>45795</v>
      </c>
      <c r="C21" s="6"/>
      <c r="D21" s="6"/>
      <c r="E21" s="78">
        <v>0</v>
      </c>
      <c r="F21" s="6">
        <v>0</v>
      </c>
      <c r="G21" s="79">
        <f t="shared" si="0"/>
        <v>0</v>
      </c>
      <c r="H21" s="78">
        <v>0</v>
      </c>
      <c r="I21" s="6">
        <v>0</v>
      </c>
      <c r="J21" s="79">
        <f t="shared" si="1"/>
        <v>0</v>
      </c>
      <c r="K21" s="79">
        <f t="shared" si="2"/>
        <v>0</v>
      </c>
      <c r="L21" s="186">
        <f t="shared" si="3"/>
        <v>0</v>
      </c>
      <c r="M21" s="172">
        <f t="shared" si="4"/>
        <v>31842.572900000014</v>
      </c>
      <c r="N21" s="55" t="s">
        <v>129</v>
      </c>
    </row>
    <row r="22" spans="1:14">
      <c r="A22" s="55">
        <v>19</v>
      </c>
      <c r="B22" s="270">
        <v>45796</v>
      </c>
      <c r="C22" s="6"/>
      <c r="D22" s="6"/>
      <c r="E22" s="78">
        <v>0</v>
      </c>
      <c r="F22" s="6">
        <v>0</v>
      </c>
      <c r="G22" s="79">
        <f t="shared" si="0"/>
        <v>0</v>
      </c>
      <c r="H22" s="78">
        <v>0</v>
      </c>
      <c r="I22" s="6">
        <v>0</v>
      </c>
      <c r="J22" s="79">
        <f t="shared" si="1"/>
        <v>0</v>
      </c>
      <c r="K22" s="79">
        <f t="shared" si="2"/>
        <v>0</v>
      </c>
      <c r="L22" s="186">
        <f t="shared" si="3"/>
        <v>0</v>
      </c>
      <c r="M22" s="172">
        <f t="shared" si="4"/>
        <v>31842.572900000014</v>
      </c>
      <c r="N22" s="55" t="s">
        <v>129</v>
      </c>
    </row>
    <row r="23" spans="1:14">
      <c r="A23" s="55">
        <v>20</v>
      </c>
      <c r="B23" s="270">
        <v>45797</v>
      </c>
      <c r="C23" s="6"/>
      <c r="D23" s="6"/>
      <c r="E23" s="78">
        <v>94.97</v>
      </c>
      <c r="F23" s="6">
        <v>91.62</v>
      </c>
      <c r="G23" s="79">
        <f t="shared" si="0"/>
        <v>8701.1514000000006</v>
      </c>
      <c r="H23" s="78">
        <v>0</v>
      </c>
      <c r="I23" s="6">
        <v>0</v>
      </c>
      <c r="J23" s="79">
        <f t="shared" si="1"/>
        <v>0</v>
      </c>
      <c r="K23" s="79">
        <f t="shared" si="2"/>
        <v>8701.1514000000006</v>
      </c>
      <c r="L23" s="186">
        <v>0</v>
      </c>
      <c r="M23" s="172">
        <f t="shared" si="4"/>
        <v>40543.724300000016</v>
      </c>
      <c r="N23" s="55"/>
    </row>
    <row r="24" spans="1:14">
      <c r="A24" s="55">
        <v>21</v>
      </c>
      <c r="B24" s="270">
        <v>45798</v>
      </c>
      <c r="C24" s="6"/>
      <c r="D24" s="6"/>
      <c r="E24" s="78">
        <v>0</v>
      </c>
      <c r="F24" s="6">
        <v>0</v>
      </c>
      <c r="G24" s="79">
        <f t="shared" si="0"/>
        <v>0</v>
      </c>
      <c r="H24" s="78">
        <v>0</v>
      </c>
      <c r="I24" s="6">
        <v>0</v>
      </c>
      <c r="J24" s="79">
        <f t="shared" si="1"/>
        <v>0</v>
      </c>
      <c r="K24" s="79">
        <f t="shared" si="2"/>
        <v>0</v>
      </c>
      <c r="L24" s="186">
        <v>40535.839999999997</v>
      </c>
      <c r="M24" s="172">
        <f t="shared" si="4"/>
        <v>7.8843000000197208</v>
      </c>
      <c r="N24" s="55"/>
    </row>
    <row r="25" spans="1:14">
      <c r="A25" s="55">
        <v>22</v>
      </c>
      <c r="B25" s="270">
        <v>45799</v>
      </c>
      <c r="C25" s="6"/>
      <c r="D25" s="6"/>
      <c r="E25" s="78">
        <v>10</v>
      </c>
      <c r="F25" s="6">
        <v>91.62</v>
      </c>
      <c r="G25" s="79">
        <f t="shared" si="0"/>
        <v>916.2</v>
      </c>
      <c r="H25" s="78">
        <v>4.83</v>
      </c>
      <c r="I25" s="6">
        <v>103.57</v>
      </c>
      <c r="J25" s="79">
        <f t="shared" si="1"/>
        <v>500.24309999999997</v>
      </c>
      <c r="K25" s="79">
        <f t="shared" si="2"/>
        <v>1416.4431</v>
      </c>
      <c r="L25" s="186">
        <v>0</v>
      </c>
      <c r="M25" s="172">
        <f t="shared" si="4"/>
        <v>1424.3274000000197</v>
      </c>
      <c r="N25" s="55"/>
    </row>
    <row r="26" spans="1:14">
      <c r="A26" s="55">
        <v>23</v>
      </c>
      <c r="B26" s="270">
        <v>45800</v>
      </c>
      <c r="C26" s="6"/>
      <c r="D26" s="6"/>
      <c r="E26" s="78">
        <v>10</v>
      </c>
      <c r="F26" s="6">
        <v>91.62</v>
      </c>
      <c r="G26" s="79">
        <f t="shared" si="0"/>
        <v>916.2</v>
      </c>
      <c r="H26" s="78">
        <v>0</v>
      </c>
      <c r="I26" s="6">
        <v>0</v>
      </c>
      <c r="J26" s="79">
        <f t="shared" si="1"/>
        <v>0</v>
      </c>
      <c r="K26" s="79">
        <f t="shared" si="2"/>
        <v>916.2</v>
      </c>
      <c r="L26" s="186">
        <v>0</v>
      </c>
      <c r="M26" s="172">
        <f t="shared" si="4"/>
        <v>2340.52740000002</v>
      </c>
      <c r="N26" s="6"/>
    </row>
    <row r="27" spans="1:14">
      <c r="A27" s="55">
        <v>24</v>
      </c>
      <c r="B27" s="270">
        <v>45801</v>
      </c>
      <c r="C27" s="6"/>
      <c r="D27" s="6"/>
      <c r="E27" s="78">
        <v>0</v>
      </c>
      <c r="F27" s="6">
        <v>0</v>
      </c>
      <c r="G27" s="79">
        <f t="shared" si="0"/>
        <v>0</v>
      </c>
      <c r="H27" s="78">
        <v>0</v>
      </c>
      <c r="I27" s="6">
        <v>0</v>
      </c>
      <c r="J27" s="79">
        <f t="shared" si="1"/>
        <v>0</v>
      </c>
      <c r="K27" s="79">
        <f t="shared" si="2"/>
        <v>0</v>
      </c>
      <c r="L27" s="186">
        <f t="shared" si="3"/>
        <v>0</v>
      </c>
      <c r="M27" s="172">
        <f t="shared" si="4"/>
        <v>2340.52740000002</v>
      </c>
      <c r="N27" s="6"/>
    </row>
    <row r="28" spans="1:14">
      <c r="A28" s="272">
        <v>25</v>
      </c>
      <c r="B28" s="270">
        <v>45802</v>
      </c>
      <c r="C28" s="6"/>
      <c r="D28" s="6"/>
      <c r="E28" s="78">
        <v>0</v>
      </c>
      <c r="F28" s="6">
        <v>0</v>
      </c>
      <c r="G28" s="79">
        <f t="shared" si="0"/>
        <v>0</v>
      </c>
      <c r="H28" s="78">
        <v>0</v>
      </c>
      <c r="I28" s="6">
        <v>0</v>
      </c>
      <c r="J28" s="79">
        <f t="shared" si="1"/>
        <v>0</v>
      </c>
      <c r="K28" s="79">
        <f t="shared" si="2"/>
        <v>0</v>
      </c>
      <c r="L28" s="186">
        <f t="shared" si="3"/>
        <v>0</v>
      </c>
      <c r="M28" s="172">
        <f t="shared" si="4"/>
        <v>2340.52740000002</v>
      </c>
      <c r="N28" s="6"/>
    </row>
    <row r="29" spans="1:14">
      <c r="A29" s="272">
        <v>26</v>
      </c>
      <c r="B29" s="270">
        <v>45803</v>
      </c>
      <c r="C29" s="6"/>
      <c r="D29" s="6"/>
      <c r="E29" s="78">
        <v>97</v>
      </c>
      <c r="F29" s="6">
        <v>91.62</v>
      </c>
      <c r="G29" s="79">
        <f t="shared" si="0"/>
        <v>8887.1400000000012</v>
      </c>
      <c r="H29" s="78">
        <v>4.83</v>
      </c>
      <c r="I29" s="6">
        <v>103.57</v>
      </c>
      <c r="J29" s="79">
        <f t="shared" si="1"/>
        <v>500.24309999999997</v>
      </c>
      <c r="K29" s="79">
        <f t="shared" si="2"/>
        <v>9387.3831000000009</v>
      </c>
      <c r="L29" s="186">
        <v>0</v>
      </c>
      <c r="M29" s="172">
        <f t="shared" si="4"/>
        <v>11727.91050000002</v>
      </c>
      <c r="N29" s="6"/>
    </row>
    <row r="30" spans="1:14">
      <c r="A30" s="272">
        <v>27</v>
      </c>
      <c r="B30" s="270">
        <v>45804</v>
      </c>
      <c r="C30" s="6"/>
      <c r="D30" s="6"/>
      <c r="E30" s="78">
        <v>0</v>
      </c>
      <c r="F30" s="6">
        <v>0</v>
      </c>
      <c r="G30" s="79">
        <f t="shared" si="0"/>
        <v>0</v>
      </c>
      <c r="H30" s="78">
        <v>0</v>
      </c>
      <c r="I30" s="6">
        <v>0</v>
      </c>
      <c r="J30" s="79">
        <f t="shared" si="1"/>
        <v>0</v>
      </c>
      <c r="K30" s="79">
        <f t="shared" si="2"/>
        <v>0</v>
      </c>
      <c r="L30" s="186">
        <f t="shared" si="3"/>
        <v>0</v>
      </c>
      <c r="M30" s="172">
        <f t="shared" si="4"/>
        <v>11727.91050000002</v>
      </c>
      <c r="N30" s="6"/>
    </row>
    <row r="31" spans="1:14">
      <c r="A31" s="272">
        <v>28</v>
      </c>
      <c r="B31" s="270">
        <v>45805</v>
      </c>
      <c r="C31" s="6"/>
      <c r="D31" s="6"/>
      <c r="E31" s="78">
        <v>0</v>
      </c>
      <c r="F31" s="6">
        <v>0</v>
      </c>
      <c r="G31" s="79">
        <f t="shared" si="0"/>
        <v>0</v>
      </c>
      <c r="H31" s="78">
        <v>0</v>
      </c>
      <c r="I31" s="6">
        <v>0</v>
      </c>
      <c r="J31" s="79">
        <f t="shared" si="1"/>
        <v>0</v>
      </c>
      <c r="K31" s="79">
        <f t="shared" si="2"/>
        <v>0</v>
      </c>
      <c r="L31" s="186">
        <f t="shared" si="3"/>
        <v>0</v>
      </c>
      <c r="M31" s="172">
        <f t="shared" si="4"/>
        <v>11727.91050000002</v>
      </c>
      <c r="N31" s="6"/>
    </row>
    <row r="32" spans="1:14">
      <c r="A32" s="273">
        <v>29</v>
      </c>
      <c r="B32" s="270">
        <v>45806</v>
      </c>
      <c r="C32" s="6"/>
      <c r="D32" s="6"/>
      <c r="E32" s="78">
        <v>0</v>
      </c>
      <c r="F32" s="6">
        <v>0</v>
      </c>
      <c r="G32" s="79">
        <f t="shared" si="0"/>
        <v>0</v>
      </c>
      <c r="H32" s="78">
        <v>0</v>
      </c>
      <c r="I32" s="6">
        <v>0</v>
      </c>
      <c r="J32" s="79">
        <f t="shared" si="1"/>
        <v>0</v>
      </c>
      <c r="K32" s="79">
        <f t="shared" si="2"/>
        <v>0</v>
      </c>
      <c r="L32" s="186">
        <f t="shared" si="3"/>
        <v>0</v>
      </c>
      <c r="M32" s="172">
        <f t="shared" si="4"/>
        <v>11727.91050000002</v>
      </c>
      <c r="N32" s="6"/>
    </row>
    <row r="33" spans="1:14">
      <c r="A33" s="273">
        <v>30</v>
      </c>
      <c r="B33" s="270">
        <v>45807</v>
      </c>
      <c r="C33" s="6"/>
      <c r="D33" s="6"/>
      <c r="E33" s="78">
        <v>93</v>
      </c>
      <c r="F33" s="6">
        <v>91.62</v>
      </c>
      <c r="G33" s="79">
        <f t="shared" si="0"/>
        <v>8520.66</v>
      </c>
      <c r="H33" s="78">
        <v>0</v>
      </c>
      <c r="I33" s="6">
        <v>0</v>
      </c>
      <c r="J33" s="79">
        <f t="shared" si="1"/>
        <v>0</v>
      </c>
      <c r="K33" s="79">
        <f t="shared" si="2"/>
        <v>8520.66</v>
      </c>
      <c r="L33" s="186">
        <v>0</v>
      </c>
      <c r="M33" s="172">
        <f t="shared" si="4"/>
        <v>20248.57050000002</v>
      </c>
      <c r="N33" s="6"/>
    </row>
    <row r="34" spans="1:14">
      <c r="A34" s="273">
        <v>31</v>
      </c>
      <c r="B34" s="270">
        <v>45808</v>
      </c>
      <c r="C34" s="6"/>
      <c r="D34" s="6"/>
      <c r="E34" s="78">
        <v>0</v>
      </c>
      <c r="F34" s="6">
        <v>0</v>
      </c>
      <c r="G34" s="79">
        <f t="shared" si="0"/>
        <v>0</v>
      </c>
      <c r="H34" s="78">
        <v>0</v>
      </c>
      <c r="I34" s="6">
        <v>0</v>
      </c>
      <c r="J34" s="79">
        <f t="shared" si="1"/>
        <v>0</v>
      </c>
      <c r="K34" s="79">
        <f t="shared" si="2"/>
        <v>0</v>
      </c>
      <c r="L34" s="186">
        <v>0</v>
      </c>
      <c r="M34" s="172">
        <f t="shared" ref="M17:M39" si="5">M33+K34-L34</f>
        <v>20248.57050000002</v>
      </c>
      <c r="N34" s="6"/>
    </row>
    <row r="35" spans="1:14">
      <c r="A35" s="6">
        <v>35</v>
      </c>
      <c r="B35" s="92"/>
      <c r="C35" s="6"/>
      <c r="D35" s="6"/>
      <c r="E35" s="78">
        <v>0</v>
      </c>
      <c r="F35" s="6">
        <v>0</v>
      </c>
      <c r="G35" s="79">
        <f t="shared" si="0"/>
        <v>0</v>
      </c>
      <c r="H35" s="78">
        <v>0</v>
      </c>
      <c r="I35" s="6">
        <v>0</v>
      </c>
      <c r="J35" s="79">
        <f t="shared" si="1"/>
        <v>0</v>
      </c>
      <c r="K35" s="79">
        <f t="shared" si="2"/>
        <v>0</v>
      </c>
      <c r="L35" s="186">
        <f t="shared" si="3"/>
        <v>0</v>
      </c>
      <c r="M35" s="172">
        <f t="shared" si="5"/>
        <v>20248.57050000002</v>
      </c>
      <c r="N35" s="6"/>
    </row>
    <row r="36" spans="1:14">
      <c r="A36" s="6">
        <v>36</v>
      </c>
      <c r="B36" s="92"/>
      <c r="C36" s="6"/>
      <c r="D36" s="6"/>
      <c r="E36" s="78">
        <v>0</v>
      </c>
      <c r="F36" s="6">
        <v>0</v>
      </c>
      <c r="G36" s="79">
        <f t="shared" si="0"/>
        <v>0</v>
      </c>
      <c r="H36" s="78">
        <v>0</v>
      </c>
      <c r="I36" s="6">
        <v>0</v>
      </c>
      <c r="J36" s="79">
        <f t="shared" si="1"/>
        <v>0</v>
      </c>
      <c r="K36" s="79">
        <f t="shared" si="2"/>
        <v>0</v>
      </c>
      <c r="L36" s="186">
        <f t="shared" si="3"/>
        <v>0</v>
      </c>
      <c r="M36" s="172">
        <f t="shared" si="5"/>
        <v>20248.57050000002</v>
      </c>
      <c r="N36" s="6"/>
    </row>
    <row r="37" spans="1:14">
      <c r="A37" s="6">
        <v>37</v>
      </c>
      <c r="B37" s="92"/>
      <c r="C37" s="6"/>
      <c r="D37" s="6"/>
      <c r="E37" s="78">
        <v>0</v>
      </c>
      <c r="F37" s="6">
        <v>0</v>
      </c>
      <c r="G37" s="79">
        <f t="shared" si="0"/>
        <v>0</v>
      </c>
      <c r="H37" s="78">
        <v>0</v>
      </c>
      <c r="I37" s="6">
        <v>0</v>
      </c>
      <c r="J37" s="79">
        <f t="shared" si="1"/>
        <v>0</v>
      </c>
      <c r="K37" s="79">
        <f t="shared" si="2"/>
        <v>0</v>
      </c>
      <c r="L37" s="186">
        <f t="shared" si="3"/>
        <v>0</v>
      </c>
      <c r="M37" s="172">
        <f t="shared" si="5"/>
        <v>20248.57050000002</v>
      </c>
      <c r="N37" s="6"/>
    </row>
    <row r="38" spans="1:14">
      <c r="A38" s="6">
        <v>38</v>
      </c>
      <c r="B38" s="92"/>
      <c r="C38" s="6"/>
      <c r="D38" s="6"/>
      <c r="E38" s="78">
        <v>0</v>
      </c>
      <c r="F38" s="6">
        <v>0</v>
      </c>
      <c r="G38" s="79">
        <f t="shared" si="0"/>
        <v>0</v>
      </c>
      <c r="H38" s="78">
        <v>0</v>
      </c>
      <c r="I38" s="6">
        <v>0</v>
      </c>
      <c r="J38" s="79">
        <f t="shared" si="1"/>
        <v>0</v>
      </c>
      <c r="K38" s="79">
        <f t="shared" si="2"/>
        <v>0</v>
      </c>
      <c r="L38" s="186">
        <f t="shared" si="3"/>
        <v>0</v>
      </c>
      <c r="M38" s="172">
        <f t="shared" si="5"/>
        <v>20248.57050000002</v>
      </c>
      <c r="N38" s="6"/>
    </row>
    <row r="39" spans="1:14">
      <c r="A39" s="196">
        <v>39</v>
      </c>
      <c r="B39" s="197"/>
      <c r="C39" s="196"/>
      <c r="D39" s="6"/>
      <c r="E39" s="78">
        <v>0</v>
      </c>
      <c r="F39" s="6">
        <v>0</v>
      </c>
      <c r="G39" s="79">
        <f t="shared" si="0"/>
        <v>0</v>
      </c>
      <c r="H39" s="78">
        <v>0</v>
      </c>
      <c r="I39" s="6">
        <v>0</v>
      </c>
      <c r="J39" s="79">
        <f t="shared" si="1"/>
        <v>0</v>
      </c>
      <c r="K39" s="79">
        <f t="shared" si="2"/>
        <v>0</v>
      </c>
      <c r="L39" s="186">
        <f t="shared" si="3"/>
        <v>0</v>
      </c>
      <c r="M39" s="172">
        <f t="shared" si="5"/>
        <v>20248.57050000002</v>
      </c>
      <c r="N39" s="196"/>
    </row>
    <row r="40" spans="1:14">
      <c r="A40" s="6">
        <v>40</v>
      </c>
      <c r="B40" s="6"/>
      <c r="C40" s="6"/>
      <c r="D40" s="6"/>
      <c r="E40" s="78">
        <v>0</v>
      </c>
      <c r="F40" s="6">
        <v>0</v>
      </c>
      <c r="G40" s="79">
        <f t="shared" si="0"/>
        <v>0</v>
      </c>
      <c r="H40" s="78">
        <v>0</v>
      </c>
      <c r="I40" s="6">
        <v>0</v>
      </c>
      <c r="J40" s="79">
        <f t="shared" si="1"/>
        <v>0</v>
      </c>
      <c r="K40" s="79">
        <f t="shared" si="2"/>
        <v>0</v>
      </c>
      <c r="L40" s="186">
        <f t="shared" si="3"/>
        <v>0</v>
      </c>
      <c r="M40" s="172">
        <v>0</v>
      </c>
      <c r="N40" s="6"/>
    </row>
    <row r="41" spans="1:14">
      <c r="A41" s="196">
        <v>41</v>
      </c>
      <c r="B41" s="196"/>
      <c r="C41" s="196"/>
      <c r="D41" s="6"/>
      <c r="E41" s="78">
        <v>0</v>
      </c>
      <c r="F41" s="6">
        <v>0</v>
      </c>
      <c r="G41" s="79">
        <f t="shared" ref="G5:G42" si="6">E41*F41</f>
        <v>0</v>
      </c>
      <c r="H41" s="78">
        <v>0</v>
      </c>
      <c r="I41" s="6">
        <v>0</v>
      </c>
      <c r="J41" s="79">
        <f t="shared" ref="J5:J42" si="7">H41*I41</f>
        <v>0</v>
      </c>
      <c r="K41" s="79">
        <f t="shared" ref="K5:K42" si="8">G41+J41</f>
        <v>0</v>
      </c>
      <c r="L41" s="186">
        <f t="shared" ref="L5:L42" si="9">+K41</f>
        <v>0</v>
      </c>
      <c r="M41" s="200">
        <v>0</v>
      </c>
      <c r="N41" s="196"/>
    </row>
    <row r="42" spans="1:14">
      <c r="A42" s="196">
        <v>42</v>
      </c>
      <c r="B42" s="196"/>
      <c r="C42" s="196"/>
      <c r="D42" s="6"/>
      <c r="E42" s="78">
        <v>0</v>
      </c>
      <c r="F42" s="6">
        <v>0</v>
      </c>
      <c r="G42" s="79">
        <f t="shared" si="6"/>
        <v>0</v>
      </c>
      <c r="H42" s="78"/>
      <c r="I42" s="6"/>
      <c r="J42" s="79">
        <f t="shared" si="7"/>
        <v>0</v>
      </c>
      <c r="K42" s="198">
        <f t="shared" si="8"/>
        <v>0</v>
      </c>
      <c r="L42" s="199">
        <f t="shared" si="9"/>
        <v>0</v>
      </c>
      <c r="M42" s="200">
        <v>0</v>
      </c>
      <c r="N42" s="196"/>
    </row>
    <row r="43" spans="1:14">
      <c r="A43" s="75"/>
      <c r="B43" s="75"/>
      <c r="C43" s="75"/>
      <c r="D43" s="75"/>
      <c r="E43" s="76">
        <f>SUM(E4:E42)</f>
        <v>646.89</v>
      </c>
      <c r="F43" s="76"/>
      <c r="G43" s="76">
        <f>SUM(G4:G42)</f>
        <v>59268.061799999996</v>
      </c>
      <c r="H43" s="76">
        <f>SUM(H4:H42)</f>
        <v>30.909999999999997</v>
      </c>
      <c r="I43" s="76"/>
      <c r="J43" s="76">
        <f>SUM(J4:J42)</f>
        <v>3201.3487000000005</v>
      </c>
      <c r="K43" s="76">
        <f>SUM(K4:K42)</f>
        <v>62469.410499999998</v>
      </c>
      <c r="L43" s="76">
        <f>SUM(L4:L42)</f>
        <v>90535.84</v>
      </c>
      <c r="M43" s="76"/>
      <c r="N43" s="7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O48"/>
  <sheetViews>
    <sheetView topLeftCell="A28" workbookViewId="0">
      <selection activeCell="K51" sqref="K51"/>
    </sheetView>
  </sheetViews>
  <sheetFormatPr defaultRowHeight="15"/>
  <cols>
    <col min="2" max="2" width="10.85546875" bestFit="1" customWidth="1"/>
    <col min="4" max="4" width="16.140625" customWidth="1"/>
    <col min="7" max="7" width="10.85546875" bestFit="1" customWidth="1"/>
    <col min="11" max="12" width="16" customWidth="1"/>
    <col min="13" max="13" width="11.28515625" bestFit="1" customWidth="1"/>
    <col min="14" max="14" width="14.7109375" bestFit="1" customWidth="1"/>
  </cols>
  <sheetData>
    <row r="1" spans="1:15" ht="15.75">
      <c r="A1" s="442" t="s">
        <v>86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5"/>
    </row>
    <row r="2" spans="1:15" ht="30.75">
      <c r="A2" s="77" t="s">
        <v>99</v>
      </c>
      <c r="B2" s="97" t="s">
        <v>100</v>
      </c>
      <c r="C2" s="97" t="s">
        <v>101</v>
      </c>
      <c r="D2" s="97" t="s">
        <v>122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108</v>
      </c>
      <c r="M2" s="99" t="s">
        <v>115</v>
      </c>
      <c r="N2" s="97" t="s">
        <v>110</v>
      </c>
      <c r="O2" s="5"/>
    </row>
    <row r="3" spans="1:15">
      <c r="A3" s="464" t="s">
        <v>111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7" t="s">
        <v>150</v>
      </c>
      <c r="N3" s="468"/>
      <c r="O3" s="5"/>
    </row>
    <row r="4" spans="1:15">
      <c r="A4" s="234">
        <v>1</v>
      </c>
      <c r="B4" s="270" t="s">
        <v>131</v>
      </c>
      <c r="C4" s="6"/>
      <c r="D4" s="6"/>
      <c r="E4" s="78">
        <v>0</v>
      </c>
      <c r="F4" s="6">
        <v>0</v>
      </c>
      <c r="G4" s="79">
        <f>E4*F4</f>
        <v>0</v>
      </c>
      <c r="H4" s="78">
        <v>9.66</v>
      </c>
      <c r="I4" s="6">
        <v>103.39</v>
      </c>
      <c r="J4" s="79">
        <f>H4*I4</f>
        <v>998.74739999999997</v>
      </c>
      <c r="K4" s="79">
        <f>G4+J4</f>
        <v>998.74739999999997</v>
      </c>
      <c r="L4" s="186">
        <f>+K4</f>
        <v>998.74739999999997</v>
      </c>
      <c r="M4" s="172">
        <v>0</v>
      </c>
      <c r="N4" s="55" t="s">
        <v>129</v>
      </c>
      <c r="O4" s="5"/>
    </row>
    <row r="5" spans="1:15">
      <c r="A5" s="55">
        <v>2</v>
      </c>
      <c r="B5" s="270" t="s">
        <v>135</v>
      </c>
      <c r="C5" s="6"/>
      <c r="D5" s="6"/>
      <c r="E5" s="78">
        <v>98.41</v>
      </c>
      <c r="F5" s="6">
        <v>91.45</v>
      </c>
      <c r="G5" s="79">
        <f t="shared" ref="G5:G37" si="0">E5*F5</f>
        <v>8999.5944999999992</v>
      </c>
      <c r="H5" s="78">
        <v>9.66</v>
      </c>
      <c r="I5" s="6">
        <v>103.39</v>
      </c>
      <c r="J5" s="79">
        <f t="shared" ref="J5:J37" si="1">H5*I5</f>
        <v>998.74739999999997</v>
      </c>
      <c r="K5" s="79">
        <f t="shared" ref="K5:K37" si="2">G5+J5</f>
        <v>9998.3418999999994</v>
      </c>
      <c r="L5" s="186">
        <f t="shared" ref="L5:L37" si="3">+K5</f>
        <v>9998.3418999999994</v>
      </c>
      <c r="M5" s="172">
        <v>0</v>
      </c>
      <c r="N5" s="55" t="s">
        <v>129</v>
      </c>
      <c r="O5" s="5"/>
    </row>
    <row r="6" spans="1:15">
      <c r="A6" s="55">
        <v>3</v>
      </c>
      <c r="B6" s="270" t="s">
        <v>137</v>
      </c>
      <c r="C6" s="6"/>
      <c r="D6" s="6"/>
      <c r="E6" s="78">
        <v>0</v>
      </c>
      <c r="F6" s="6">
        <v>0</v>
      </c>
      <c r="G6" s="79">
        <f t="shared" si="0"/>
        <v>0</v>
      </c>
      <c r="H6" s="78">
        <v>4.83</v>
      </c>
      <c r="I6" s="6">
        <v>103.39</v>
      </c>
      <c r="J6" s="79">
        <f t="shared" si="1"/>
        <v>499.37369999999999</v>
      </c>
      <c r="K6" s="79">
        <f t="shared" si="2"/>
        <v>499.37369999999999</v>
      </c>
      <c r="L6" s="186">
        <f t="shared" si="3"/>
        <v>499.37369999999999</v>
      </c>
      <c r="M6" s="172">
        <v>0</v>
      </c>
      <c r="N6" s="55" t="s">
        <v>129</v>
      </c>
      <c r="O6" s="5"/>
    </row>
    <row r="7" spans="1:15">
      <c r="A7" s="55">
        <v>4</v>
      </c>
      <c r="B7" s="270" t="s">
        <v>138</v>
      </c>
      <c r="C7" s="6"/>
      <c r="D7" s="6"/>
      <c r="E7" s="78">
        <v>0</v>
      </c>
      <c r="F7" s="6">
        <v>0</v>
      </c>
      <c r="G7" s="79">
        <f t="shared" si="0"/>
        <v>0</v>
      </c>
      <c r="H7" s="78">
        <v>4.83</v>
      </c>
      <c r="I7" s="6">
        <v>103.39</v>
      </c>
      <c r="J7" s="79">
        <f t="shared" si="1"/>
        <v>499.37369999999999</v>
      </c>
      <c r="K7" s="79">
        <f t="shared" si="2"/>
        <v>499.37369999999999</v>
      </c>
      <c r="L7" s="186">
        <f t="shared" si="3"/>
        <v>499.37369999999999</v>
      </c>
      <c r="M7" s="172">
        <v>0</v>
      </c>
      <c r="N7" s="55" t="s">
        <v>129</v>
      </c>
      <c r="O7" s="5"/>
    </row>
    <row r="8" spans="1:15">
      <c r="A8" s="55">
        <v>5</v>
      </c>
      <c r="B8" s="270" t="s">
        <v>141</v>
      </c>
      <c r="C8" s="6"/>
      <c r="D8" s="6"/>
      <c r="E8" s="78">
        <v>0</v>
      </c>
      <c r="F8" s="6">
        <v>0</v>
      </c>
      <c r="G8" s="79">
        <f t="shared" si="0"/>
        <v>0</v>
      </c>
      <c r="H8" s="78">
        <v>4.83</v>
      </c>
      <c r="I8" s="6">
        <v>103.39</v>
      </c>
      <c r="J8" s="79">
        <f t="shared" si="1"/>
        <v>499.37369999999999</v>
      </c>
      <c r="K8" s="79">
        <f t="shared" si="2"/>
        <v>499.37369999999999</v>
      </c>
      <c r="L8" s="186">
        <f t="shared" si="3"/>
        <v>499.37369999999999</v>
      </c>
      <c r="M8" s="172">
        <v>0</v>
      </c>
      <c r="N8" s="55" t="s">
        <v>129</v>
      </c>
      <c r="O8" s="5"/>
    </row>
    <row r="9" spans="1:15">
      <c r="A9" s="55">
        <v>6</v>
      </c>
      <c r="B9" s="270" t="s">
        <v>151</v>
      </c>
      <c r="C9" s="6"/>
      <c r="D9" s="6"/>
      <c r="E9" s="78">
        <v>48.3</v>
      </c>
      <c r="F9" s="6">
        <v>91.45</v>
      </c>
      <c r="G9" s="79">
        <f t="shared" si="0"/>
        <v>4417.0349999999999</v>
      </c>
      <c r="H9" s="78">
        <v>0</v>
      </c>
      <c r="I9" s="6">
        <v>0</v>
      </c>
      <c r="J9" s="79">
        <f t="shared" si="1"/>
        <v>0</v>
      </c>
      <c r="K9" s="79">
        <f t="shared" si="2"/>
        <v>4417.0349999999999</v>
      </c>
      <c r="L9" s="186">
        <f t="shared" si="3"/>
        <v>4417.0349999999999</v>
      </c>
      <c r="M9" s="172">
        <v>0</v>
      </c>
      <c r="N9" s="55" t="s">
        <v>129</v>
      </c>
      <c r="O9" s="5"/>
    </row>
    <row r="10" spans="1:15">
      <c r="A10" s="55">
        <v>7</v>
      </c>
      <c r="B10" s="270" t="s">
        <v>147</v>
      </c>
      <c r="C10" s="6"/>
      <c r="D10" s="6"/>
      <c r="E10" s="78">
        <v>0</v>
      </c>
      <c r="F10" s="6">
        <v>0</v>
      </c>
      <c r="G10" s="79">
        <f t="shared" si="0"/>
        <v>0</v>
      </c>
      <c r="H10" s="78">
        <v>4.83</v>
      </c>
      <c r="I10" s="6">
        <v>103.39</v>
      </c>
      <c r="J10" s="79">
        <f t="shared" si="1"/>
        <v>499.37369999999999</v>
      </c>
      <c r="K10" s="79">
        <f t="shared" si="2"/>
        <v>499.37369999999999</v>
      </c>
      <c r="L10" s="186">
        <f t="shared" si="3"/>
        <v>499.37369999999999</v>
      </c>
      <c r="M10" s="172">
        <v>0</v>
      </c>
      <c r="N10" s="55" t="s">
        <v>129</v>
      </c>
      <c r="O10" s="5"/>
    </row>
    <row r="11" spans="1:15">
      <c r="A11" s="55">
        <v>8</v>
      </c>
      <c r="B11" s="270"/>
      <c r="C11" s="6"/>
      <c r="D11" s="6"/>
      <c r="E11" s="78">
        <v>0</v>
      </c>
      <c r="F11" s="6">
        <v>0</v>
      </c>
      <c r="G11" s="79">
        <f t="shared" si="0"/>
        <v>0</v>
      </c>
      <c r="H11" s="78">
        <v>0</v>
      </c>
      <c r="I11" s="6">
        <v>0</v>
      </c>
      <c r="J11" s="79">
        <f t="shared" si="1"/>
        <v>0</v>
      </c>
      <c r="K11" s="79">
        <f t="shared" si="2"/>
        <v>0</v>
      </c>
      <c r="L11" s="186">
        <f t="shared" si="3"/>
        <v>0</v>
      </c>
      <c r="M11" s="172">
        <v>0</v>
      </c>
      <c r="N11" s="55" t="s">
        <v>129</v>
      </c>
      <c r="O11" s="5"/>
    </row>
    <row r="12" spans="1:15">
      <c r="A12" s="55">
        <v>9</v>
      </c>
      <c r="B12" s="270"/>
      <c r="C12" s="6"/>
      <c r="D12" s="6"/>
      <c r="E12" s="78">
        <v>0</v>
      </c>
      <c r="F12" s="6">
        <v>0</v>
      </c>
      <c r="G12" s="79">
        <f t="shared" si="0"/>
        <v>0</v>
      </c>
      <c r="H12" s="78">
        <v>0</v>
      </c>
      <c r="I12" s="6">
        <v>0</v>
      </c>
      <c r="J12" s="79">
        <f t="shared" si="1"/>
        <v>0</v>
      </c>
      <c r="K12" s="79">
        <f t="shared" si="2"/>
        <v>0</v>
      </c>
      <c r="L12" s="186">
        <f t="shared" si="3"/>
        <v>0</v>
      </c>
      <c r="M12" s="172">
        <v>0</v>
      </c>
      <c r="N12" s="55" t="s">
        <v>129</v>
      </c>
      <c r="O12" s="5"/>
    </row>
    <row r="13" spans="1:15">
      <c r="A13" s="55">
        <v>10</v>
      </c>
      <c r="B13" s="270"/>
      <c r="C13" s="6"/>
      <c r="D13" s="6"/>
      <c r="E13" s="78">
        <v>0</v>
      </c>
      <c r="F13" s="6">
        <v>0</v>
      </c>
      <c r="G13" s="79">
        <f t="shared" si="0"/>
        <v>0</v>
      </c>
      <c r="H13" s="78">
        <v>0</v>
      </c>
      <c r="I13" s="6">
        <v>0</v>
      </c>
      <c r="J13" s="79">
        <f t="shared" si="1"/>
        <v>0</v>
      </c>
      <c r="K13" s="79">
        <f t="shared" si="2"/>
        <v>0</v>
      </c>
      <c r="L13" s="186">
        <f t="shared" si="3"/>
        <v>0</v>
      </c>
      <c r="M13" s="172">
        <v>0</v>
      </c>
      <c r="N13" s="55" t="s">
        <v>129</v>
      </c>
      <c r="O13" s="5"/>
    </row>
    <row r="14" spans="1:15">
      <c r="A14" s="55">
        <v>11</v>
      </c>
      <c r="B14" s="270"/>
      <c r="C14" s="6"/>
      <c r="D14" s="6"/>
      <c r="E14" s="78">
        <v>0</v>
      </c>
      <c r="F14" s="6">
        <v>0</v>
      </c>
      <c r="G14" s="79">
        <f t="shared" si="0"/>
        <v>0</v>
      </c>
      <c r="H14" s="78">
        <v>0</v>
      </c>
      <c r="I14" s="6">
        <v>0</v>
      </c>
      <c r="J14" s="79">
        <f t="shared" si="1"/>
        <v>0</v>
      </c>
      <c r="K14" s="79">
        <f t="shared" si="2"/>
        <v>0</v>
      </c>
      <c r="L14" s="186">
        <f t="shared" si="3"/>
        <v>0</v>
      </c>
      <c r="M14" s="172">
        <v>0</v>
      </c>
      <c r="N14" s="55" t="s">
        <v>129</v>
      </c>
      <c r="O14" s="5"/>
    </row>
    <row r="15" spans="1:15">
      <c r="A15" s="55">
        <v>12</v>
      </c>
      <c r="B15" s="270"/>
      <c r="C15" s="6"/>
      <c r="D15" s="6"/>
      <c r="E15" s="78">
        <v>0</v>
      </c>
      <c r="F15" s="6">
        <v>0</v>
      </c>
      <c r="G15" s="79">
        <f t="shared" si="0"/>
        <v>0</v>
      </c>
      <c r="H15" s="78">
        <v>0</v>
      </c>
      <c r="I15" s="6">
        <v>0</v>
      </c>
      <c r="J15" s="79">
        <f t="shared" si="1"/>
        <v>0</v>
      </c>
      <c r="K15" s="79">
        <f t="shared" si="2"/>
        <v>0</v>
      </c>
      <c r="L15" s="186">
        <f t="shared" si="3"/>
        <v>0</v>
      </c>
      <c r="M15" s="172">
        <v>0</v>
      </c>
      <c r="N15" s="55" t="s">
        <v>129</v>
      </c>
      <c r="O15" s="5"/>
    </row>
    <row r="16" spans="1:15">
      <c r="A16" s="55"/>
      <c r="B16" s="270"/>
      <c r="C16" s="6"/>
      <c r="D16" s="6"/>
      <c r="E16" s="78">
        <v>0</v>
      </c>
      <c r="F16" s="6">
        <v>0</v>
      </c>
      <c r="G16" s="79">
        <f t="shared" si="0"/>
        <v>0</v>
      </c>
      <c r="H16" s="78">
        <v>0</v>
      </c>
      <c r="I16" s="6">
        <v>0</v>
      </c>
      <c r="J16" s="79">
        <f t="shared" si="1"/>
        <v>0</v>
      </c>
      <c r="K16" s="79">
        <f t="shared" si="2"/>
        <v>0</v>
      </c>
      <c r="L16" s="186">
        <f t="shared" si="3"/>
        <v>0</v>
      </c>
      <c r="M16" s="172"/>
      <c r="N16" s="55" t="s">
        <v>129</v>
      </c>
      <c r="O16" s="5"/>
    </row>
    <row r="17" spans="1:15">
      <c r="A17" s="55">
        <v>13</v>
      </c>
      <c r="B17" s="270"/>
      <c r="C17" s="6"/>
      <c r="D17" s="6"/>
      <c r="E17" s="78">
        <v>0</v>
      </c>
      <c r="F17" s="6">
        <v>0</v>
      </c>
      <c r="G17" s="79">
        <f t="shared" si="0"/>
        <v>0</v>
      </c>
      <c r="H17" s="78">
        <v>0</v>
      </c>
      <c r="I17" s="6">
        <v>0</v>
      </c>
      <c r="J17" s="79">
        <f t="shared" si="1"/>
        <v>0</v>
      </c>
      <c r="K17" s="79">
        <f t="shared" si="2"/>
        <v>0</v>
      </c>
      <c r="L17" s="186">
        <f t="shared" si="3"/>
        <v>0</v>
      </c>
      <c r="M17" s="172">
        <v>0</v>
      </c>
      <c r="N17" s="55" t="s">
        <v>129</v>
      </c>
      <c r="O17" s="5"/>
    </row>
    <row r="18" spans="1:15">
      <c r="A18" s="55">
        <v>14</v>
      </c>
      <c r="B18" s="270"/>
      <c r="C18" s="6"/>
      <c r="D18" s="6"/>
      <c r="E18" s="78">
        <v>0</v>
      </c>
      <c r="F18" s="6">
        <v>0</v>
      </c>
      <c r="G18" s="79">
        <f t="shared" si="0"/>
        <v>0</v>
      </c>
      <c r="H18" s="78">
        <v>0</v>
      </c>
      <c r="I18" s="6">
        <v>0</v>
      </c>
      <c r="J18" s="79">
        <f t="shared" si="1"/>
        <v>0</v>
      </c>
      <c r="K18" s="79">
        <f t="shared" si="2"/>
        <v>0</v>
      </c>
      <c r="L18" s="186">
        <f t="shared" si="3"/>
        <v>0</v>
      </c>
      <c r="M18" s="172">
        <v>0</v>
      </c>
      <c r="N18" s="55" t="s">
        <v>129</v>
      </c>
      <c r="O18" s="5"/>
    </row>
    <row r="19" spans="1:15">
      <c r="A19" s="55">
        <v>15</v>
      </c>
      <c r="B19" s="270"/>
      <c r="C19" s="6"/>
      <c r="D19" s="6"/>
      <c r="E19" s="78">
        <v>0</v>
      </c>
      <c r="F19" s="6">
        <v>0</v>
      </c>
      <c r="G19" s="79">
        <f t="shared" si="0"/>
        <v>0</v>
      </c>
      <c r="H19" s="78">
        <v>0</v>
      </c>
      <c r="I19" s="6">
        <v>0</v>
      </c>
      <c r="J19" s="79">
        <f t="shared" si="1"/>
        <v>0</v>
      </c>
      <c r="K19" s="79">
        <f t="shared" si="2"/>
        <v>0</v>
      </c>
      <c r="L19" s="186">
        <f t="shared" si="3"/>
        <v>0</v>
      </c>
      <c r="M19" s="172">
        <v>0</v>
      </c>
      <c r="N19" s="55" t="s">
        <v>129</v>
      </c>
      <c r="O19" s="5"/>
    </row>
    <row r="20" spans="1:15">
      <c r="A20" s="55">
        <v>16</v>
      </c>
      <c r="B20" s="270"/>
      <c r="C20" s="6"/>
      <c r="D20" s="6"/>
      <c r="E20" s="78">
        <v>0</v>
      </c>
      <c r="F20" s="6">
        <v>0</v>
      </c>
      <c r="G20" s="79">
        <f t="shared" si="0"/>
        <v>0</v>
      </c>
      <c r="H20" s="78">
        <v>0</v>
      </c>
      <c r="I20" s="6">
        <v>0</v>
      </c>
      <c r="J20" s="79">
        <f t="shared" si="1"/>
        <v>0</v>
      </c>
      <c r="K20" s="79">
        <f t="shared" si="2"/>
        <v>0</v>
      </c>
      <c r="L20" s="186">
        <f t="shared" si="3"/>
        <v>0</v>
      </c>
      <c r="M20" s="172">
        <v>0</v>
      </c>
      <c r="N20" s="55" t="s">
        <v>129</v>
      </c>
      <c r="O20" s="5"/>
    </row>
    <row r="21" spans="1:15">
      <c r="A21" s="55">
        <v>17</v>
      </c>
      <c r="B21" s="270"/>
      <c r="C21" s="6"/>
      <c r="D21" s="6"/>
      <c r="E21" s="78">
        <v>0</v>
      </c>
      <c r="F21" s="6">
        <v>0</v>
      </c>
      <c r="G21" s="79">
        <f t="shared" si="0"/>
        <v>0</v>
      </c>
      <c r="H21" s="78">
        <v>0</v>
      </c>
      <c r="I21" s="6">
        <v>0</v>
      </c>
      <c r="J21" s="79">
        <f t="shared" si="1"/>
        <v>0</v>
      </c>
      <c r="K21" s="79">
        <f t="shared" si="2"/>
        <v>0</v>
      </c>
      <c r="L21" s="186">
        <f t="shared" si="3"/>
        <v>0</v>
      </c>
      <c r="M21" s="172">
        <v>0</v>
      </c>
      <c r="N21" s="55" t="s">
        <v>129</v>
      </c>
      <c r="O21" s="5"/>
    </row>
    <row r="22" spans="1:15">
      <c r="A22" s="55">
        <v>18</v>
      </c>
      <c r="B22" s="270"/>
      <c r="C22" s="6"/>
      <c r="D22" s="6"/>
      <c r="E22" s="78">
        <v>0</v>
      </c>
      <c r="F22" s="6">
        <v>0</v>
      </c>
      <c r="G22" s="79">
        <f t="shared" si="0"/>
        <v>0</v>
      </c>
      <c r="H22" s="78">
        <v>0</v>
      </c>
      <c r="I22" s="6">
        <v>0</v>
      </c>
      <c r="J22" s="79">
        <f t="shared" si="1"/>
        <v>0</v>
      </c>
      <c r="K22" s="79">
        <f t="shared" si="2"/>
        <v>0</v>
      </c>
      <c r="L22" s="186">
        <f t="shared" si="3"/>
        <v>0</v>
      </c>
      <c r="M22" s="172">
        <v>0</v>
      </c>
      <c r="N22" s="55" t="s">
        <v>129</v>
      </c>
      <c r="O22" s="5"/>
    </row>
    <row r="23" spans="1:15">
      <c r="A23" s="55">
        <v>19</v>
      </c>
      <c r="B23" s="270"/>
      <c r="C23" s="6"/>
      <c r="D23" s="6"/>
      <c r="E23" s="78">
        <v>0</v>
      </c>
      <c r="F23" s="6">
        <v>0</v>
      </c>
      <c r="G23" s="79">
        <f t="shared" si="0"/>
        <v>0</v>
      </c>
      <c r="H23" s="78">
        <v>0</v>
      </c>
      <c r="I23" s="6">
        <v>0</v>
      </c>
      <c r="J23" s="79">
        <f t="shared" si="1"/>
        <v>0</v>
      </c>
      <c r="K23" s="79">
        <f t="shared" si="2"/>
        <v>0</v>
      </c>
      <c r="L23" s="186">
        <f t="shared" si="3"/>
        <v>0</v>
      </c>
      <c r="M23" s="172">
        <v>0</v>
      </c>
      <c r="N23" s="55" t="s">
        <v>129</v>
      </c>
      <c r="O23" s="5"/>
    </row>
    <row r="24" spans="1:15">
      <c r="A24" s="55">
        <v>20</v>
      </c>
      <c r="B24" s="270"/>
      <c r="C24" s="6"/>
      <c r="D24" s="6"/>
      <c r="E24" s="78">
        <v>0</v>
      </c>
      <c r="F24" s="6">
        <v>0</v>
      </c>
      <c r="G24" s="79">
        <f t="shared" si="0"/>
        <v>0</v>
      </c>
      <c r="H24" s="78">
        <v>0</v>
      </c>
      <c r="I24" s="6">
        <v>0</v>
      </c>
      <c r="J24" s="79">
        <f t="shared" si="1"/>
        <v>0</v>
      </c>
      <c r="K24" s="79">
        <f t="shared" si="2"/>
        <v>0</v>
      </c>
      <c r="L24" s="186">
        <f t="shared" si="3"/>
        <v>0</v>
      </c>
      <c r="M24" s="172">
        <v>0</v>
      </c>
      <c r="N24" s="55" t="s">
        <v>129</v>
      </c>
      <c r="O24" s="5"/>
    </row>
    <row r="25" spans="1:15">
      <c r="A25" s="55">
        <v>21</v>
      </c>
      <c r="B25" s="270"/>
      <c r="C25" s="6"/>
      <c r="D25" s="6"/>
      <c r="E25" s="78">
        <v>0</v>
      </c>
      <c r="F25" s="6">
        <v>0</v>
      </c>
      <c r="G25" s="79">
        <f t="shared" si="0"/>
        <v>0</v>
      </c>
      <c r="H25" s="78">
        <v>0</v>
      </c>
      <c r="I25" s="6">
        <v>0</v>
      </c>
      <c r="J25" s="79">
        <f t="shared" si="1"/>
        <v>0</v>
      </c>
      <c r="K25" s="79">
        <f t="shared" si="2"/>
        <v>0</v>
      </c>
      <c r="L25" s="186">
        <f t="shared" si="3"/>
        <v>0</v>
      </c>
      <c r="M25" s="172">
        <v>0</v>
      </c>
      <c r="N25" s="55" t="s">
        <v>129</v>
      </c>
      <c r="O25" s="5"/>
    </row>
    <row r="26" spans="1:15">
      <c r="A26" s="55">
        <v>22</v>
      </c>
      <c r="B26" s="270"/>
      <c r="C26" s="6"/>
      <c r="D26" s="6"/>
      <c r="E26" s="78">
        <v>0</v>
      </c>
      <c r="F26" s="6">
        <v>0</v>
      </c>
      <c r="G26" s="79">
        <f t="shared" si="0"/>
        <v>0</v>
      </c>
      <c r="H26" s="78">
        <v>0</v>
      </c>
      <c r="I26" s="6">
        <v>0</v>
      </c>
      <c r="J26" s="79">
        <f t="shared" si="1"/>
        <v>0</v>
      </c>
      <c r="K26" s="79">
        <f t="shared" si="2"/>
        <v>0</v>
      </c>
      <c r="L26" s="186">
        <f t="shared" si="3"/>
        <v>0</v>
      </c>
      <c r="M26" s="172">
        <v>0</v>
      </c>
      <c r="N26" s="55" t="s">
        <v>129</v>
      </c>
      <c r="O26" s="5"/>
    </row>
    <row r="27" spans="1:15">
      <c r="A27" s="55">
        <v>23</v>
      </c>
      <c r="B27" s="270"/>
      <c r="C27" s="6"/>
      <c r="D27" s="6"/>
      <c r="E27" s="78">
        <v>0</v>
      </c>
      <c r="F27" s="6">
        <v>0</v>
      </c>
      <c r="G27" s="79">
        <f t="shared" si="0"/>
        <v>0</v>
      </c>
      <c r="H27" s="78">
        <v>0</v>
      </c>
      <c r="I27" s="6">
        <v>0</v>
      </c>
      <c r="J27" s="79">
        <f t="shared" si="1"/>
        <v>0</v>
      </c>
      <c r="K27" s="79">
        <f t="shared" si="2"/>
        <v>0</v>
      </c>
      <c r="L27" s="186">
        <f t="shared" si="3"/>
        <v>0</v>
      </c>
      <c r="M27" s="172">
        <v>0</v>
      </c>
      <c r="N27" s="55" t="s">
        <v>129</v>
      </c>
      <c r="O27" s="5"/>
    </row>
    <row r="28" spans="1:15">
      <c r="A28" s="55">
        <v>24</v>
      </c>
      <c r="B28" s="270"/>
      <c r="C28" s="6"/>
      <c r="D28" s="6"/>
      <c r="E28" s="78">
        <v>0</v>
      </c>
      <c r="F28" s="6">
        <v>0</v>
      </c>
      <c r="G28" s="79">
        <f t="shared" si="0"/>
        <v>0</v>
      </c>
      <c r="H28" s="78">
        <v>0</v>
      </c>
      <c r="I28" s="6">
        <v>0</v>
      </c>
      <c r="J28" s="79">
        <f t="shared" si="1"/>
        <v>0</v>
      </c>
      <c r="K28" s="79">
        <f t="shared" si="2"/>
        <v>0</v>
      </c>
      <c r="L28" s="186">
        <f t="shared" si="3"/>
        <v>0</v>
      </c>
      <c r="M28" s="172">
        <v>0</v>
      </c>
      <c r="N28" s="55" t="s">
        <v>129</v>
      </c>
      <c r="O28" s="5"/>
    </row>
    <row r="29" spans="1:15">
      <c r="A29" s="55">
        <v>24</v>
      </c>
      <c r="B29" s="270"/>
      <c r="C29" s="6"/>
      <c r="D29" s="6"/>
      <c r="E29" s="78">
        <v>0</v>
      </c>
      <c r="F29" s="6">
        <v>0</v>
      </c>
      <c r="G29" s="79">
        <f t="shared" si="0"/>
        <v>0</v>
      </c>
      <c r="H29" s="78">
        <v>0</v>
      </c>
      <c r="I29" s="6">
        <v>0</v>
      </c>
      <c r="J29" s="79">
        <f t="shared" si="1"/>
        <v>0</v>
      </c>
      <c r="K29" s="79">
        <f t="shared" si="2"/>
        <v>0</v>
      </c>
      <c r="L29" s="186">
        <f t="shared" si="3"/>
        <v>0</v>
      </c>
      <c r="M29" s="172">
        <v>0</v>
      </c>
      <c r="N29" s="55" t="s">
        <v>129</v>
      </c>
      <c r="O29" s="5"/>
    </row>
    <row r="30" spans="1:15">
      <c r="A30" s="272">
        <v>25</v>
      </c>
      <c r="B30" s="270"/>
      <c r="C30" s="6"/>
      <c r="D30" s="6"/>
      <c r="E30" s="78">
        <v>0</v>
      </c>
      <c r="F30" s="6">
        <v>0</v>
      </c>
      <c r="G30" s="79">
        <f t="shared" si="0"/>
        <v>0</v>
      </c>
      <c r="H30" s="78">
        <v>0</v>
      </c>
      <c r="I30" s="6">
        <v>0</v>
      </c>
      <c r="J30" s="79">
        <f t="shared" si="1"/>
        <v>0</v>
      </c>
      <c r="K30" s="79">
        <f t="shared" si="2"/>
        <v>0</v>
      </c>
      <c r="L30" s="186">
        <f t="shared" si="3"/>
        <v>0</v>
      </c>
      <c r="M30" s="172">
        <v>0</v>
      </c>
      <c r="N30" s="55" t="s">
        <v>129</v>
      </c>
      <c r="O30" s="5"/>
    </row>
    <row r="31" spans="1:15">
      <c r="A31" s="272">
        <v>26</v>
      </c>
      <c r="B31" s="270"/>
      <c r="C31" s="6"/>
      <c r="D31" s="6"/>
      <c r="E31" s="78">
        <v>0</v>
      </c>
      <c r="F31" s="6">
        <v>0</v>
      </c>
      <c r="G31" s="79">
        <f t="shared" si="0"/>
        <v>0</v>
      </c>
      <c r="H31" s="78">
        <v>0</v>
      </c>
      <c r="I31" s="6">
        <v>0</v>
      </c>
      <c r="J31" s="79">
        <f t="shared" si="1"/>
        <v>0</v>
      </c>
      <c r="K31" s="79">
        <f t="shared" si="2"/>
        <v>0</v>
      </c>
      <c r="L31" s="186">
        <f t="shared" si="3"/>
        <v>0</v>
      </c>
      <c r="M31" s="172">
        <v>0</v>
      </c>
      <c r="N31" s="55" t="s">
        <v>129</v>
      </c>
      <c r="O31" s="5"/>
    </row>
    <row r="32" spans="1:15">
      <c r="A32" s="272">
        <v>27</v>
      </c>
      <c r="B32" s="270"/>
      <c r="C32" s="6"/>
      <c r="D32" s="6"/>
      <c r="E32" s="78">
        <v>0</v>
      </c>
      <c r="F32" s="6">
        <v>0</v>
      </c>
      <c r="G32" s="79">
        <f t="shared" si="0"/>
        <v>0</v>
      </c>
      <c r="H32" s="78">
        <v>0</v>
      </c>
      <c r="I32" s="6">
        <v>0</v>
      </c>
      <c r="J32" s="79">
        <f t="shared" si="1"/>
        <v>0</v>
      </c>
      <c r="K32" s="79">
        <f t="shared" si="2"/>
        <v>0</v>
      </c>
      <c r="L32" s="186">
        <f t="shared" si="3"/>
        <v>0</v>
      </c>
      <c r="M32" s="172">
        <v>0</v>
      </c>
      <c r="N32" s="55" t="s">
        <v>129</v>
      </c>
      <c r="O32" s="5"/>
    </row>
    <row r="33" spans="1:15">
      <c r="A33" s="272">
        <v>28</v>
      </c>
      <c r="B33" s="270"/>
      <c r="C33" s="6"/>
      <c r="D33" s="6"/>
      <c r="E33" s="78">
        <v>0</v>
      </c>
      <c r="F33" s="6">
        <v>0</v>
      </c>
      <c r="G33" s="79">
        <f t="shared" si="0"/>
        <v>0</v>
      </c>
      <c r="H33" s="78">
        <v>0</v>
      </c>
      <c r="I33" s="6">
        <v>0</v>
      </c>
      <c r="J33" s="79">
        <f t="shared" si="1"/>
        <v>0</v>
      </c>
      <c r="K33" s="79">
        <f t="shared" si="2"/>
        <v>0</v>
      </c>
      <c r="L33" s="186">
        <f t="shared" si="3"/>
        <v>0</v>
      </c>
      <c r="M33" s="172">
        <v>0</v>
      </c>
      <c r="N33" s="55" t="s">
        <v>129</v>
      </c>
      <c r="O33" s="5"/>
    </row>
    <row r="34" spans="1:15">
      <c r="A34" s="273">
        <v>29</v>
      </c>
      <c r="B34" s="270"/>
      <c r="C34" s="6"/>
      <c r="D34" s="6"/>
      <c r="E34" s="78">
        <v>0</v>
      </c>
      <c r="F34" s="6">
        <v>0</v>
      </c>
      <c r="G34" s="79">
        <f t="shared" si="0"/>
        <v>0</v>
      </c>
      <c r="H34" s="78">
        <v>0</v>
      </c>
      <c r="I34" s="6">
        <v>0</v>
      </c>
      <c r="J34" s="79">
        <f t="shared" si="1"/>
        <v>0</v>
      </c>
      <c r="K34" s="79">
        <f t="shared" si="2"/>
        <v>0</v>
      </c>
      <c r="L34" s="186">
        <f t="shared" si="3"/>
        <v>0</v>
      </c>
      <c r="M34" s="172">
        <v>0</v>
      </c>
      <c r="N34" s="55" t="s">
        <v>129</v>
      </c>
      <c r="O34" s="5"/>
    </row>
    <row r="35" spans="1:15">
      <c r="A35" s="273">
        <v>30</v>
      </c>
      <c r="B35" s="270"/>
      <c r="C35" s="6"/>
      <c r="D35" s="6"/>
      <c r="E35" s="78">
        <v>0</v>
      </c>
      <c r="F35" s="6">
        <v>0</v>
      </c>
      <c r="G35" s="79">
        <f t="shared" si="0"/>
        <v>0</v>
      </c>
      <c r="H35" s="78">
        <v>0</v>
      </c>
      <c r="I35" s="6">
        <v>0</v>
      </c>
      <c r="J35" s="79">
        <f t="shared" si="1"/>
        <v>0</v>
      </c>
      <c r="K35" s="79">
        <f t="shared" si="2"/>
        <v>0</v>
      </c>
      <c r="L35" s="186">
        <f t="shared" si="3"/>
        <v>0</v>
      </c>
      <c r="M35" s="172">
        <v>0</v>
      </c>
      <c r="N35" s="55" t="s">
        <v>129</v>
      </c>
      <c r="O35" s="5"/>
    </row>
    <row r="36" spans="1:15">
      <c r="A36" s="273">
        <v>31</v>
      </c>
      <c r="B36" s="270"/>
      <c r="C36" s="6"/>
      <c r="D36" s="6"/>
      <c r="E36" s="78">
        <v>0</v>
      </c>
      <c r="F36" s="6">
        <v>0</v>
      </c>
      <c r="G36" s="79">
        <f t="shared" si="0"/>
        <v>0</v>
      </c>
      <c r="H36" s="78">
        <v>0</v>
      </c>
      <c r="I36" s="6">
        <v>0</v>
      </c>
      <c r="J36" s="79">
        <f t="shared" si="1"/>
        <v>0</v>
      </c>
      <c r="K36" s="79">
        <f t="shared" si="2"/>
        <v>0</v>
      </c>
      <c r="L36" s="186">
        <f t="shared" si="3"/>
        <v>0</v>
      </c>
      <c r="M36" s="172">
        <v>0</v>
      </c>
      <c r="N36" s="55" t="s">
        <v>129</v>
      </c>
      <c r="O36" s="5"/>
    </row>
    <row r="37" spans="1:15">
      <c r="A37" s="6">
        <v>34</v>
      </c>
      <c r="B37" s="92"/>
      <c r="C37" s="6"/>
      <c r="D37" s="6"/>
      <c r="E37" s="78">
        <v>0</v>
      </c>
      <c r="F37" s="6">
        <v>0</v>
      </c>
      <c r="G37" s="79">
        <f t="shared" si="0"/>
        <v>0</v>
      </c>
      <c r="H37" s="78">
        <v>0</v>
      </c>
      <c r="I37" s="6">
        <v>0</v>
      </c>
      <c r="J37" s="79">
        <f t="shared" si="1"/>
        <v>0</v>
      </c>
      <c r="K37" s="79">
        <f t="shared" si="2"/>
        <v>0</v>
      </c>
      <c r="L37" s="186">
        <f t="shared" si="3"/>
        <v>0</v>
      </c>
      <c r="M37" s="172">
        <v>0</v>
      </c>
      <c r="N37" s="6"/>
      <c r="O37" s="5"/>
    </row>
    <row r="38" spans="1:15">
      <c r="A38" s="6">
        <v>35</v>
      </c>
      <c r="B38" s="92"/>
      <c r="C38" s="6"/>
      <c r="D38" s="6"/>
      <c r="E38" s="78">
        <v>0</v>
      </c>
      <c r="F38" s="6">
        <v>0</v>
      </c>
      <c r="G38" s="79">
        <f t="shared" ref="G5:G42" si="4">E38*F38</f>
        <v>0</v>
      </c>
      <c r="H38" s="78">
        <v>0</v>
      </c>
      <c r="I38" s="6">
        <v>0</v>
      </c>
      <c r="J38" s="79">
        <f t="shared" ref="J5:J42" si="5">H38*I38</f>
        <v>0</v>
      </c>
      <c r="K38" s="79">
        <f t="shared" ref="K5:K42" si="6">G38+J38</f>
        <v>0</v>
      </c>
      <c r="L38" s="186">
        <f t="shared" ref="L5:L42" si="7">+K38</f>
        <v>0</v>
      </c>
      <c r="M38" s="172">
        <v>0</v>
      </c>
      <c r="N38" s="6"/>
      <c r="O38" s="5"/>
    </row>
    <row r="39" spans="1:15">
      <c r="A39" s="6">
        <v>36</v>
      </c>
      <c r="B39" s="92"/>
      <c r="C39" s="6"/>
      <c r="D39" s="6"/>
      <c r="E39" s="78">
        <v>0</v>
      </c>
      <c r="F39" s="6">
        <v>0</v>
      </c>
      <c r="G39" s="79">
        <f t="shared" si="4"/>
        <v>0</v>
      </c>
      <c r="H39" s="78">
        <v>0</v>
      </c>
      <c r="I39" s="6">
        <v>0</v>
      </c>
      <c r="J39" s="79">
        <f t="shared" si="5"/>
        <v>0</v>
      </c>
      <c r="K39" s="79">
        <f t="shared" si="6"/>
        <v>0</v>
      </c>
      <c r="L39" s="186">
        <f t="shared" si="7"/>
        <v>0</v>
      </c>
      <c r="M39" s="172">
        <v>0</v>
      </c>
      <c r="N39" s="6"/>
      <c r="O39" s="5"/>
    </row>
    <row r="40" spans="1:15">
      <c r="A40" s="6">
        <v>37</v>
      </c>
      <c r="B40" s="92"/>
      <c r="C40" s="6"/>
      <c r="D40" s="6"/>
      <c r="E40" s="78">
        <v>0</v>
      </c>
      <c r="F40" s="6">
        <v>0</v>
      </c>
      <c r="G40" s="79">
        <f t="shared" si="4"/>
        <v>0</v>
      </c>
      <c r="H40" s="78">
        <v>0</v>
      </c>
      <c r="I40" s="6">
        <v>0</v>
      </c>
      <c r="J40" s="79">
        <f t="shared" si="5"/>
        <v>0</v>
      </c>
      <c r="K40" s="79">
        <f t="shared" si="6"/>
        <v>0</v>
      </c>
      <c r="L40" s="186">
        <f t="shared" si="7"/>
        <v>0</v>
      </c>
      <c r="M40" s="172">
        <v>0</v>
      </c>
      <c r="N40" s="6"/>
      <c r="O40" s="5"/>
    </row>
    <row r="41" spans="1:15">
      <c r="A41" s="6">
        <v>38</v>
      </c>
      <c r="B41" s="92"/>
      <c r="C41" s="6"/>
      <c r="D41" s="6"/>
      <c r="E41" s="78">
        <v>0</v>
      </c>
      <c r="F41" s="6">
        <v>0</v>
      </c>
      <c r="G41" s="79">
        <f t="shared" si="4"/>
        <v>0</v>
      </c>
      <c r="H41" s="78">
        <v>0</v>
      </c>
      <c r="I41" s="6">
        <v>0</v>
      </c>
      <c r="J41" s="79">
        <f t="shared" si="5"/>
        <v>0</v>
      </c>
      <c r="K41" s="79">
        <f t="shared" si="6"/>
        <v>0</v>
      </c>
      <c r="L41" s="186">
        <f t="shared" si="7"/>
        <v>0</v>
      </c>
      <c r="M41" s="172">
        <v>0</v>
      </c>
      <c r="N41" s="6"/>
      <c r="O41" s="5"/>
    </row>
    <row r="42" spans="1:15">
      <c r="A42" s="196">
        <v>39</v>
      </c>
      <c r="B42" s="197"/>
      <c r="C42" s="196"/>
      <c r="D42" s="6"/>
      <c r="E42" s="78">
        <v>0</v>
      </c>
      <c r="F42" s="6">
        <v>0</v>
      </c>
      <c r="G42" s="79">
        <f t="shared" si="4"/>
        <v>0</v>
      </c>
      <c r="H42" s="78">
        <v>0</v>
      </c>
      <c r="I42" s="6">
        <v>0</v>
      </c>
      <c r="J42" s="79">
        <f t="shared" si="5"/>
        <v>0</v>
      </c>
      <c r="K42" s="79">
        <f t="shared" si="6"/>
        <v>0</v>
      </c>
      <c r="L42" s="186">
        <f t="shared" si="7"/>
        <v>0</v>
      </c>
      <c r="M42" s="200">
        <v>0</v>
      </c>
      <c r="N42" s="196"/>
      <c r="O42" s="5"/>
    </row>
    <row r="43" spans="1:15">
      <c r="A43" s="6">
        <v>40</v>
      </c>
      <c r="B43" s="6"/>
      <c r="C43" s="6"/>
      <c r="D43" s="6"/>
      <c r="E43" s="78">
        <v>0</v>
      </c>
      <c r="F43" s="6">
        <v>0</v>
      </c>
      <c r="G43" s="79">
        <f t="shared" ref="G30:G45" si="8">E43*F43</f>
        <v>0</v>
      </c>
      <c r="H43" s="78"/>
      <c r="I43" s="6"/>
      <c r="J43" s="79">
        <f t="shared" ref="J30:J45" si="9">H43*I43</f>
        <v>0</v>
      </c>
      <c r="K43" s="79">
        <f t="shared" ref="K30:K45" si="10">G43+J43</f>
        <v>0</v>
      </c>
      <c r="L43" s="186">
        <f t="shared" ref="L30:L45" si="11">+K43</f>
        <v>0</v>
      </c>
      <c r="M43" s="172">
        <v>0</v>
      </c>
      <c r="N43" s="6"/>
      <c r="O43" s="5"/>
    </row>
    <row r="44" spans="1:15">
      <c r="A44" s="196">
        <v>41</v>
      </c>
      <c r="B44" s="196"/>
      <c r="C44" s="196"/>
      <c r="D44" s="6"/>
      <c r="E44" s="78">
        <v>0</v>
      </c>
      <c r="F44" s="6">
        <v>0</v>
      </c>
      <c r="G44" s="79">
        <f t="shared" si="8"/>
        <v>0</v>
      </c>
      <c r="H44" s="78"/>
      <c r="I44" s="6"/>
      <c r="J44" s="79">
        <f t="shared" si="9"/>
        <v>0</v>
      </c>
      <c r="K44" s="198">
        <f t="shared" si="10"/>
        <v>0</v>
      </c>
      <c r="L44" s="186">
        <f t="shared" si="11"/>
        <v>0</v>
      </c>
      <c r="M44" s="200">
        <v>0</v>
      </c>
      <c r="N44" s="196"/>
      <c r="O44" s="5"/>
    </row>
    <row r="45" spans="1:15">
      <c r="A45" s="196">
        <v>42</v>
      </c>
      <c r="B45" s="196"/>
      <c r="C45" s="196"/>
      <c r="D45" s="6"/>
      <c r="E45" s="78">
        <v>0</v>
      </c>
      <c r="F45" s="6">
        <v>0</v>
      </c>
      <c r="G45" s="79">
        <f t="shared" si="8"/>
        <v>0</v>
      </c>
      <c r="H45" s="78"/>
      <c r="I45" s="6"/>
      <c r="J45" s="79">
        <f t="shared" si="9"/>
        <v>0</v>
      </c>
      <c r="K45" s="198">
        <f t="shared" si="10"/>
        <v>0</v>
      </c>
      <c r="L45" s="199">
        <f t="shared" si="11"/>
        <v>0</v>
      </c>
      <c r="M45" s="200">
        <v>0</v>
      </c>
      <c r="N45" s="196"/>
      <c r="O45" s="5"/>
    </row>
    <row r="46" spans="1:15">
      <c r="A46" s="75"/>
      <c r="B46" s="75"/>
      <c r="C46" s="75"/>
      <c r="D46" s="75"/>
      <c r="E46" s="76">
        <f>SUM(E4:E45)</f>
        <v>146.70999999999998</v>
      </c>
      <c r="F46" s="76"/>
      <c r="G46" s="76">
        <f>SUM(G4:G45)</f>
        <v>13416.629499999999</v>
      </c>
      <c r="H46" s="76">
        <f>SUM(H4:H45)</f>
        <v>38.639999999999993</v>
      </c>
      <c r="I46" s="76"/>
      <c r="J46" s="76">
        <f>SUM(J4:J45)</f>
        <v>3994.9896000000003</v>
      </c>
      <c r="K46" s="76">
        <f>SUM(K4:K45)</f>
        <v>17411.6191</v>
      </c>
      <c r="L46" s="76">
        <f>SUM(L4:L45)</f>
        <v>17411.6191</v>
      </c>
      <c r="M46" s="76"/>
      <c r="N46" s="76"/>
      <c r="O46" s="72"/>
    </row>
    <row r="47" spans="1:15">
      <c r="A47" s="5"/>
      <c r="B47" s="5"/>
      <c r="C47" s="5"/>
      <c r="D47" s="5"/>
      <c r="E47" s="5"/>
      <c r="F47" s="5"/>
      <c r="G47" s="117"/>
      <c r="H47" s="5"/>
      <c r="I47" s="5"/>
      <c r="J47" s="117"/>
      <c r="K47" s="5"/>
      <c r="L47" s="117"/>
      <c r="M47" s="117"/>
      <c r="N47" s="5"/>
      <c r="O47" s="5"/>
    </row>
    <row r="48" spans="1:15">
      <c r="A48" s="5"/>
      <c r="B48" s="5"/>
      <c r="C48" s="5"/>
      <c r="D48" s="5"/>
      <c r="E48" s="5"/>
      <c r="F48" s="5"/>
      <c r="G48" s="117"/>
      <c r="H48" s="5"/>
      <c r="I48" s="5"/>
      <c r="J48" s="117"/>
      <c r="K48" s="5"/>
      <c r="L48" s="117"/>
      <c r="M48" s="117"/>
      <c r="N48" s="5"/>
      <c r="O48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Q36"/>
  <sheetViews>
    <sheetView workbookViewId="0">
      <pane ySplit="2" topLeftCell="A19" activePane="bottomLeft" state="frozen"/>
      <selection pane="bottomLeft" activeCell="N40" sqref="N40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5" width="9.28515625" style="5" bestFit="1" customWidth="1"/>
    <col min="16" max="16384" width="9.140625" style="5"/>
  </cols>
  <sheetData>
    <row r="1" spans="1:17" ht="15.75">
      <c r="A1" s="427" t="s">
        <v>82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65"/>
    </row>
    <row r="2" spans="1:17">
      <c r="A2" s="113" t="s">
        <v>99</v>
      </c>
      <c r="B2" s="114" t="s">
        <v>100</v>
      </c>
      <c r="C2" s="114" t="s">
        <v>101</v>
      </c>
      <c r="D2" s="114" t="s">
        <v>122</v>
      </c>
      <c r="E2" s="114" t="s">
        <v>103</v>
      </c>
      <c r="F2" s="114" t="s">
        <v>104</v>
      </c>
      <c r="G2" s="114" t="s">
        <v>105</v>
      </c>
      <c r="H2" s="114" t="s">
        <v>106</v>
      </c>
      <c r="I2" s="114" t="s">
        <v>104</v>
      </c>
      <c r="J2" s="156" t="s">
        <v>105</v>
      </c>
      <c r="K2" s="115" t="s">
        <v>107</v>
      </c>
      <c r="L2" s="157" t="s">
        <v>108</v>
      </c>
      <c r="M2" s="162" t="s">
        <v>115</v>
      </c>
      <c r="N2" s="116" t="s">
        <v>110</v>
      </c>
      <c r="O2" s="72"/>
    </row>
    <row r="3" spans="1:17">
      <c r="A3" s="179"/>
      <c r="B3" s="19" t="s">
        <v>111</v>
      </c>
      <c r="C3" s="180"/>
      <c r="D3" s="180"/>
      <c r="E3" s="180"/>
      <c r="F3" s="180"/>
      <c r="G3" s="180"/>
      <c r="H3" s="180"/>
      <c r="I3" s="180"/>
      <c r="J3" s="181"/>
      <c r="K3" s="252">
        <v>192780</v>
      </c>
      <c r="L3" s="182"/>
      <c r="M3" s="94">
        <f>+K3</f>
        <v>192780</v>
      </c>
      <c r="N3" s="180"/>
      <c r="O3" s="72">
        <v>237866.59349999999</v>
      </c>
    </row>
    <row r="4" spans="1:17">
      <c r="A4" s="234">
        <v>1</v>
      </c>
      <c r="B4" s="270">
        <v>45778</v>
      </c>
      <c r="C4" s="80"/>
      <c r="D4" s="183"/>
      <c r="E4" s="78">
        <v>0</v>
      </c>
      <c r="F4" s="6">
        <v>0</v>
      </c>
      <c r="G4" s="8">
        <v>0</v>
      </c>
      <c r="H4" s="78">
        <v>5.0999999999999996</v>
      </c>
      <c r="I4" s="6">
        <v>102.16</v>
      </c>
      <c r="J4" s="8">
        <f>H4*I4</f>
        <v>521.01599999999996</v>
      </c>
      <c r="K4" s="8">
        <f>G4+J4</f>
        <v>521.01599999999996</v>
      </c>
      <c r="L4" s="81"/>
      <c r="M4" s="81">
        <f>M3+K4-L4</f>
        <v>193301.016</v>
      </c>
      <c r="N4" s="47"/>
      <c r="O4" s="82"/>
    </row>
    <row r="5" spans="1:17">
      <c r="A5" s="55">
        <v>2</v>
      </c>
      <c r="B5" s="270">
        <v>45779</v>
      </c>
      <c r="C5" s="80"/>
      <c r="D5" s="84"/>
      <c r="E5" s="78">
        <v>0</v>
      </c>
      <c r="F5" s="6">
        <v>0</v>
      </c>
      <c r="G5" s="8">
        <v>0</v>
      </c>
      <c r="H5" s="78">
        <v>0</v>
      </c>
      <c r="I5" s="6">
        <v>0</v>
      </c>
      <c r="J5" s="8">
        <f t="shared" ref="J5:J33" si="0">H5*I5</f>
        <v>0</v>
      </c>
      <c r="K5" s="8">
        <f t="shared" ref="K5:K33" si="1">G5+J5</f>
        <v>0</v>
      </c>
      <c r="L5" s="81"/>
      <c r="M5" s="81">
        <f t="shared" ref="M5:M19" si="2">M4+K5-L5</f>
        <v>193301.016</v>
      </c>
      <c r="N5" s="47"/>
      <c r="O5" s="82"/>
    </row>
    <row r="6" spans="1:17">
      <c r="A6" s="55">
        <v>3</v>
      </c>
      <c r="B6" s="270">
        <v>45780</v>
      </c>
      <c r="C6" s="80"/>
      <c r="D6" s="84"/>
      <c r="E6" s="78">
        <v>0</v>
      </c>
      <c r="F6" s="6">
        <v>0</v>
      </c>
      <c r="G6" s="8">
        <v>0</v>
      </c>
      <c r="H6" s="78">
        <v>0</v>
      </c>
      <c r="I6" s="6">
        <v>0</v>
      </c>
      <c r="J6" s="8">
        <f t="shared" si="0"/>
        <v>0</v>
      </c>
      <c r="K6" s="8">
        <f t="shared" si="1"/>
        <v>0</v>
      </c>
      <c r="L6" s="81"/>
      <c r="M6" s="81">
        <f t="shared" si="2"/>
        <v>193301.016</v>
      </c>
      <c r="N6" s="47"/>
      <c r="O6" s="82"/>
    </row>
    <row r="7" spans="1:17">
      <c r="A7" s="55">
        <v>4</v>
      </c>
      <c r="B7" s="270">
        <v>45781</v>
      </c>
      <c r="C7" s="80"/>
      <c r="D7" s="84"/>
      <c r="E7" s="78">
        <v>0</v>
      </c>
      <c r="F7" s="6">
        <v>0</v>
      </c>
      <c r="G7" s="8">
        <v>0</v>
      </c>
      <c r="H7" s="78">
        <v>3.99</v>
      </c>
      <c r="I7" s="6">
        <v>102.16</v>
      </c>
      <c r="J7" s="8">
        <f t="shared" si="0"/>
        <v>407.61840000000001</v>
      </c>
      <c r="K7" s="8">
        <f t="shared" si="1"/>
        <v>407.61840000000001</v>
      </c>
      <c r="L7" s="81"/>
      <c r="M7" s="81">
        <f t="shared" si="2"/>
        <v>193708.63440000001</v>
      </c>
      <c r="N7" s="47"/>
      <c r="O7" s="82"/>
    </row>
    <row r="8" spans="1:17">
      <c r="A8" s="55">
        <v>5</v>
      </c>
      <c r="B8" s="270">
        <v>45782</v>
      </c>
      <c r="C8" s="80"/>
      <c r="D8" s="84"/>
      <c r="E8" s="78">
        <v>0</v>
      </c>
      <c r="F8" s="6">
        <v>0</v>
      </c>
      <c r="G8" s="8">
        <v>0</v>
      </c>
      <c r="H8" s="78">
        <v>0</v>
      </c>
      <c r="I8" s="6">
        <v>0</v>
      </c>
      <c r="J8" s="8">
        <f t="shared" si="0"/>
        <v>0</v>
      </c>
      <c r="K8" s="8">
        <f t="shared" si="1"/>
        <v>0</v>
      </c>
      <c r="L8" s="81"/>
      <c r="M8" s="81">
        <f t="shared" si="2"/>
        <v>193708.63440000001</v>
      </c>
      <c r="N8" s="47"/>
      <c r="O8" s="82"/>
      <c r="Q8" s="5">
        <v>96.71</v>
      </c>
    </row>
    <row r="9" spans="1:17">
      <c r="A9" s="55">
        <v>6</v>
      </c>
      <c r="B9" s="270">
        <v>45783</v>
      </c>
      <c r="C9" s="80"/>
      <c r="D9" s="84"/>
      <c r="E9" s="78">
        <v>0</v>
      </c>
      <c r="F9" s="6">
        <v>0</v>
      </c>
      <c r="G9" s="8">
        <v>0</v>
      </c>
      <c r="H9" s="78">
        <v>0</v>
      </c>
      <c r="I9" s="6">
        <v>0</v>
      </c>
      <c r="J9" s="8">
        <f t="shared" si="0"/>
        <v>0</v>
      </c>
      <c r="K9" s="8">
        <f t="shared" si="1"/>
        <v>0</v>
      </c>
      <c r="L9" s="81"/>
      <c r="M9" s="81">
        <f t="shared" si="2"/>
        <v>193708.63440000001</v>
      </c>
      <c r="N9" s="47"/>
      <c r="O9" s="82"/>
      <c r="Q9" s="5">
        <v>102</v>
      </c>
    </row>
    <row r="10" spans="1:17">
      <c r="A10" s="55">
        <v>7</v>
      </c>
      <c r="B10" s="270">
        <v>45784</v>
      </c>
      <c r="C10" s="80"/>
      <c r="D10" s="84"/>
      <c r="E10" s="78">
        <v>95.77</v>
      </c>
      <c r="F10" s="6">
        <v>90.23</v>
      </c>
      <c r="G10" s="8">
        <f>E10*F10</f>
        <v>8641.3271000000004</v>
      </c>
      <c r="H10" s="78">
        <v>4.91</v>
      </c>
      <c r="I10" s="6">
        <v>102.16</v>
      </c>
      <c r="J10" s="8">
        <f t="shared" si="0"/>
        <v>501.60559999999998</v>
      </c>
      <c r="K10" s="8">
        <f t="shared" si="1"/>
        <v>9142.9327000000012</v>
      </c>
      <c r="L10" s="81"/>
      <c r="M10" s="81">
        <f t="shared" si="2"/>
        <v>202851.56710000001</v>
      </c>
      <c r="N10" s="47"/>
      <c r="O10" s="82"/>
      <c r="Q10" s="5">
        <v>80.44</v>
      </c>
    </row>
    <row r="11" spans="1:17">
      <c r="A11" s="55">
        <v>8</v>
      </c>
      <c r="B11" s="270">
        <v>45785</v>
      </c>
      <c r="C11" s="80"/>
      <c r="D11" s="84"/>
      <c r="E11" s="78">
        <v>180.72</v>
      </c>
      <c r="F11" s="6">
        <v>90.23</v>
      </c>
      <c r="G11" s="8">
        <f>E11*F11</f>
        <v>16306.365600000001</v>
      </c>
      <c r="H11" s="78">
        <v>4.8899999999999997</v>
      </c>
      <c r="I11" s="6">
        <v>102.16</v>
      </c>
      <c r="J11" s="8">
        <f t="shared" si="0"/>
        <v>499.56239999999997</v>
      </c>
      <c r="K11" s="8">
        <f t="shared" si="1"/>
        <v>16805.928</v>
      </c>
      <c r="L11" s="81"/>
      <c r="M11" s="81">
        <f t="shared" si="2"/>
        <v>219657.4951</v>
      </c>
      <c r="N11" s="47"/>
      <c r="O11" s="82"/>
      <c r="Q11" s="5">
        <v>100.02</v>
      </c>
    </row>
    <row r="12" spans="1:17">
      <c r="A12" s="55">
        <v>9</v>
      </c>
      <c r="B12" s="270">
        <v>45786</v>
      </c>
      <c r="C12" s="80"/>
      <c r="D12" s="84"/>
      <c r="E12" s="78">
        <v>30</v>
      </c>
      <c r="F12" s="6">
        <v>90.23</v>
      </c>
      <c r="G12" s="8">
        <f>E12*F12</f>
        <v>2706.9</v>
      </c>
      <c r="H12" s="78">
        <v>0</v>
      </c>
      <c r="I12" s="6">
        <v>0</v>
      </c>
      <c r="J12" s="8">
        <f t="shared" si="0"/>
        <v>0</v>
      </c>
      <c r="K12" s="8">
        <f t="shared" si="1"/>
        <v>2706.9</v>
      </c>
      <c r="L12" s="81"/>
      <c r="M12" s="81">
        <f t="shared" si="2"/>
        <v>222364.39509999999</v>
      </c>
      <c r="N12" s="47"/>
      <c r="O12" s="82"/>
      <c r="Q12" s="5">
        <v>43.57</v>
      </c>
    </row>
    <row r="13" spans="1:17">
      <c r="A13" s="55">
        <v>10</v>
      </c>
      <c r="B13" s="270">
        <v>45787</v>
      </c>
      <c r="C13" s="222"/>
      <c r="D13" s="223"/>
      <c r="E13" s="78">
        <v>0</v>
      </c>
      <c r="F13" s="6">
        <v>0</v>
      </c>
      <c r="G13" s="8">
        <f t="shared" ref="G13:G34" si="3">E13*F13</f>
        <v>0</v>
      </c>
      <c r="H13" s="78">
        <v>0</v>
      </c>
      <c r="I13" s="6">
        <v>0</v>
      </c>
      <c r="J13" s="8">
        <f t="shared" si="0"/>
        <v>0</v>
      </c>
      <c r="K13" s="8">
        <f t="shared" si="1"/>
        <v>0</v>
      </c>
      <c r="L13" s="81"/>
      <c r="M13" s="81">
        <f>M12+K13-L13</f>
        <v>222364.39509999999</v>
      </c>
      <c r="N13" s="47"/>
      <c r="O13" s="82"/>
    </row>
    <row r="14" spans="1:17">
      <c r="A14" s="55">
        <v>11</v>
      </c>
      <c r="B14" s="270">
        <v>45788</v>
      </c>
      <c r="C14" s="203"/>
      <c r="D14" s="203"/>
      <c r="E14" s="78">
        <v>0</v>
      </c>
      <c r="F14" s="6">
        <v>0</v>
      </c>
      <c r="G14" s="8">
        <f t="shared" si="3"/>
        <v>0</v>
      </c>
      <c r="H14" s="78">
        <v>0</v>
      </c>
      <c r="I14" s="6">
        <v>0</v>
      </c>
      <c r="J14" s="8">
        <f t="shared" si="0"/>
        <v>0</v>
      </c>
      <c r="K14" s="8">
        <f t="shared" si="1"/>
        <v>0</v>
      </c>
      <c r="L14" s="81"/>
      <c r="M14" s="81">
        <f t="shared" si="2"/>
        <v>222364.39509999999</v>
      </c>
      <c r="N14" s="47"/>
      <c r="O14" s="82"/>
    </row>
    <row r="15" spans="1:17">
      <c r="A15" s="55">
        <v>12</v>
      </c>
      <c r="B15" s="270">
        <v>45789</v>
      </c>
      <c r="C15" s="203"/>
      <c r="D15" s="203"/>
      <c r="E15" s="78">
        <v>65</v>
      </c>
      <c r="F15" s="6">
        <v>90.23</v>
      </c>
      <c r="G15" s="8">
        <f t="shared" si="3"/>
        <v>5864.95</v>
      </c>
      <c r="H15" s="78">
        <v>1.95</v>
      </c>
      <c r="I15" s="6">
        <v>102.16</v>
      </c>
      <c r="J15" s="8">
        <f t="shared" si="0"/>
        <v>199.21199999999999</v>
      </c>
      <c r="K15" s="8">
        <f t="shared" si="1"/>
        <v>6064.1620000000003</v>
      </c>
      <c r="L15" s="81"/>
      <c r="M15" s="81">
        <f t="shared" si="2"/>
        <v>228428.55710000001</v>
      </c>
      <c r="N15" s="47"/>
      <c r="O15" s="82"/>
    </row>
    <row r="16" spans="1:17">
      <c r="A16" s="55">
        <v>13</v>
      </c>
      <c r="B16" s="270">
        <v>45790</v>
      </c>
      <c r="C16" s="203"/>
      <c r="D16" s="203"/>
      <c r="E16" s="78">
        <v>0</v>
      </c>
      <c r="F16" s="6">
        <v>0</v>
      </c>
      <c r="G16" s="8">
        <f t="shared" si="3"/>
        <v>0</v>
      </c>
      <c r="H16" s="78">
        <v>6.98</v>
      </c>
      <c r="I16" s="6">
        <v>102.16</v>
      </c>
      <c r="J16" s="8">
        <f t="shared" si="0"/>
        <v>713.07680000000005</v>
      </c>
      <c r="K16" s="8">
        <f t="shared" si="1"/>
        <v>713.07680000000005</v>
      </c>
      <c r="L16" s="81"/>
      <c r="M16" s="81">
        <f t="shared" si="2"/>
        <v>229141.63390000002</v>
      </c>
      <c r="N16" s="47"/>
      <c r="O16" s="82"/>
    </row>
    <row r="17" spans="1:15">
      <c r="A17" s="55">
        <v>14</v>
      </c>
      <c r="B17" s="270">
        <v>45791</v>
      </c>
      <c r="C17" s="203"/>
      <c r="D17" s="203"/>
      <c r="E17" s="78">
        <v>0</v>
      </c>
      <c r="F17" s="6">
        <v>0</v>
      </c>
      <c r="G17" s="8">
        <f t="shared" si="3"/>
        <v>0</v>
      </c>
      <c r="H17" s="78">
        <v>0</v>
      </c>
      <c r="I17" s="6">
        <v>0</v>
      </c>
      <c r="J17" s="8">
        <f t="shared" si="0"/>
        <v>0</v>
      </c>
      <c r="K17" s="8">
        <f t="shared" si="1"/>
        <v>0</v>
      </c>
      <c r="L17" s="81"/>
      <c r="M17" s="81">
        <f t="shared" si="2"/>
        <v>229141.63390000002</v>
      </c>
      <c r="N17" s="47"/>
      <c r="O17" s="82"/>
    </row>
    <row r="18" spans="1:15">
      <c r="A18" s="55">
        <v>15</v>
      </c>
      <c r="B18" s="270">
        <v>45792</v>
      </c>
      <c r="C18" s="203"/>
      <c r="D18" s="203"/>
      <c r="E18" s="78">
        <v>45</v>
      </c>
      <c r="F18" s="6">
        <v>90.23</v>
      </c>
      <c r="G18" s="8">
        <f t="shared" si="3"/>
        <v>4060.3500000000004</v>
      </c>
      <c r="H18" s="78">
        <v>5.68</v>
      </c>
      <c r="I18" s="6">
        <v>102.16</v>
      </c>
      <c r="J18" s="8">
        <f t="shared" si="0"/>
        <v>580.26879999999994</v>
      </c>
      <c r="K18" s="8">
        <f t="shared" si="1"/>
        <v>4640.6188000000002</v>
      </c>
      <c r="L18" s="81"/>
      <c r="M18" s="81">
        <f t="shared" si="2"/>
        <v>233782.25270000001</v>
      </c>
      <c r="N18" s="47"/>
      <c r="O18" s="82"/>
    </row>
    <row r="19" spans="1:15">
      <c r="A19" s="55">
        <v>16</v>
      </c>
      <c r="B19" s="270">
        <v>45793</v>
      </c>
      <c r="C19" s="203"/>
      <c r="D19" s="203"/>
      <c r="E19" s="78">
        <v>0</v>
      </c>
      <c r="F19" s="6">
        <v>90.23</v>
      </c>
      <c r="G19" s="8">
        <f t="shared" si="3"/>
        <v>0</v>
      </c>
      <c r="H19" s="78">
        <v>0</v>
      </c>
      <c r="I19" s="6">
        <v>0</v>
      </c>
      <c r="J19" s="8">
        <f t="shared" si="0"/>
        <v>0</v>
      </c>
      <c r="K19" s="8">
        <f t="shared" si="1"/>
        <v>0</v>
      </c>
      <c r="L19" s="81"/>
      <c r="M19" s="81">
        <f t="shared" si="2"/>
        <v>233782.25270000001</v>
      </c>
      <c r="N19" s="47"/>
      <c r="O19" s="82"/>
    </row>
    <row r="20" spans="1:15">
      <c r="A20" s="55">
        <v>17</v>
      </c>
      <c r="B20" s="270">
        <v>45794</v>
      </c>
      <c r="C20" s="203"/>
      <c r="D20" s="203"/>
      <c r="E20" s="78">
        <v>36.78</v>
      </c>
      <c r="F20" s="6">
        <v>90.23</v>
      </c>
      <c r="G20" s="8">
        <f t="shared" si="3"/>
        <v>3318.6594000000005</v>
      </c>
      <c r="H20" s="78">
        <v>0</v>
      </c>
      <c r="I20" s="6">
        <v>0</v>
      </c>
      <c r="J20" s="8">
        <f t="shared" si="0"/>
        <v>0</v>
      </c>
      <c r="K20" s="8">
        <f t="shared" si="1"/>
        <v>3318.6594000000005</v>
      </c>
      <c r="L20" s="81"/>
      <c r="M20" s="81">
        <f t="shared" ref="M20:M34" si="4">M19+K20-L20</f>
        <v>237100.91210000002</v>
      </c>
      <c r="N20" s="47"/>
      <c r="O20" s="82"/>
    </row>
    <row r="21" spans="1:15">
      <c r="A21" s="55">
        <v>18</v>
      </c>
      <c r="B21" s="270">
        <v>45795</v>
      </c>
      <c r="C21" s="203"/>
      <c r="D21" s="203"/>
      <c r="E21" s="78">
        <v>0</v>
      </c>
      <c r="F21" s="6">
        <v>0</v>
      </c>
      <c r="G21" s="8">
        <f t="shared" si="3"/>
        <v>0</v>
      </c>
      <c r="H21" s="78">
        <v>0</v>
      </c>
      <c r="I21" s="6">
        <v>0</v>
      </c>
      <c r="J21" s="8">
        <f t="shared" si="0"/>
        <v>0</v>
      </c>
      <c r="K21" s="8">
        <f t="shared" si="1"/>
        <v>0</v>
      </c>
      <c r="L21" s="81"/>
      <c r="M21" s="81">
        <f t="shared" si="4"/>
        <v>237100.91210000002</v>
      </c>
      <c r="N21" s="47"/>
      <c r="O21" s="82"/>
    </row>
    <row r="22" spans="1:15">
      <c r="A22" s="55">
        <v>19</v>
      </c>
      <c r="B22" s="270">
        <v>45796</v>
      </c>
      <c r="C22" s="203"/>
      <c r="D22" s="203"/>
      <c r="E22" s="78">
        <v>0</v>
      </c>
      <c r="F22" s="6">
        <v>0</v>
      </c>
      <c r="G22" s="8">
        <f t="shared" si="3"/>
        <v>0</v>
      </c>
      <c r="H22" s="78">
        <v>0</v>
      </c>
      <c r="I22" s="6">
        <v>0</v>
      </c>
      <c r="J22" s="8">
        <f t="shared" si="0"/>
        <v>0</v>
      </c>
      <c r="K22" s="8">
        <f t="shared" si="1"/>
        <v>0</v>
      </c>
      <c r="L22" s="81"/>
      <c r="M22" s="81">
        <f t="shared" si="4"/>
        <v>237100.91210000002</v>
      </c>
      <c r="N22" s="47"/>
      <c r="O22" s="82"/>
    </row>
    <row r="23" spans="1:15">
      <c r="A23" s="55">
        <v>20</v>
      </c>
      <c r="B23" s="270">
        <v>45797</v>
      </c>
      <c r="C23" s="203"/>
      <c r="D23" s="203"/>
      <c r="E23" s="78">
        <v>0</v>
      </c>
      <c r="F23" s="6">
        <v>0</v>
      </c>
      <c r="G23" s="8">
        <f t="shared" si="3"/>
        <v>0</v>
      </c>
      <c r="H23" s="78">
        <v>5.49</v>
      </c>
      <c r="I23" s="6">
        <v>102.16</v>
      </c>
      <c r="J23" s="8">
        <f t="shared" si="0"/>
        <v>560.85839999999996</v>
      </c>
      <c r="K23" s="8">
        <f t="shared" si="1"/>
        <v>560.85839999999996</v>
      </c>
      <c r="L23" s="81">
        <v>192780</v>
      </c>
      <c r="M23" s="81">
        <f t="shared" si="4"/>
        <v>44881.770500000013</v>
      </c>
      <c r="N23" s="47"/>
      <c r="O23" s="82"/>
    </row>
    <row r="24" spans="1:15">
      <c r="A24" s="55">
        <v>21</v>
      </c>
      <c r="B24" s="270">
        <v>45798</v>
      </c>
      <c r="C24" s="203"/>
      <c r="D24" s="203"/>
      <c r="E24" s="78">
        <v>87.24</v>
      </c>
      <c r="F24" s="6">
        <v>90.23</v>
      </c>
      <c r="G24" s="8">
        <f t="shared" si="3"/>
        <v>7871.6651999999995</v>
      </c>
      <c r="H24" s="78">
        <v>4.8899999999999997</v>
      </c>
      <c r="I24" s="6">
        <v>102.16</v>
      </c>
      <c r="J24" s="8">
        <f t="shared" si="0"/>
        <v>499.56239999999997</v>
      </c>
      <c r="K24" s="8">
        <f t="shared" si="1"/>
        <v>8371.2276000000002</v>
      </c>
      <c r="L24" s="81"/>
      <c r="M24" s="81">
        <f t="shared" si="4"/>
        <v>53252.998100000012</v>
      </c>
      <c r="N24" s="47"/>
      <c r="O24" s="82"/>
    </row>
    <row r="25" spans="1:15">
      <c r="A25" s="55">
        <v>22</v>
      </c>
      <c r="B25" s="270">
        <v>45799</v>
      </c>
      <c r="C25" s="203"/>
      <c r="D25" s="203"/>
      <c r="E25" s="78">
        <v>0</v>
      </c>
      <c r="F25" s="6">
        <v>0</v>
      </c>
      <c r="G25" s="8">
        <f t="shared" si="3"/>
        <v>0</v>
      </c>
      <c r="H25" s="78">
        <v>0</v>
      </c>
      <c r="I25" s="6">
        <v>0</v>
      </c>
      <c r="J25" s="8">
        <f t="shared" si="0"/>
        <v>0</v>
      </c>
      <c r="K25" s="8">
        <f t="shared" si="1"/>
        <v>0</v>
      </c>
      <c r="L25" s="81"/>
      <c r="M25" s="81">
        <f t="shared" si="4"/>
        <v>53252.998100000012</v>
      </c>
      <c r="N25" s="47"/>
      <c r="O25" s="82"/>
    </row>
    <row r="26" spans="1:15">
      <c r="A26" s="55">
        <v>23</v>
      </c>
      <c r="B26" s="270">
        <v>45800</v>
      </c>
      <c r="C26" s="250"/>
      <c r="D26" s="250"/>
      <c r="E26" s="78">
        <v>20</v>
      </c>
      <c r="F26" s="6">
        <v>90.23</v>
      </c>
      <c r="G26" s="8">
        <f t="shared" si="3"/>
        <v>1804.6000000000001</v>
      </c>
      <c r="H26" s="78">
        <v>5.88</v>
      </c>
      <c r="I26" s="6">
        <v>102.16</v>
      </c>
      <c r="J26" s="8">
        <f t="shared" si="0"/>
        <v>600.70079999999996</v>
      </c>
      <c r="K26" s="8">
        <f t="shared" si="1"/>
        <v>2405.3008</v>
      </c>
      <c r="L26" s="81"/>
      <c r="M26" s="81">
        <f t="shared" si="4"/>
        <v>55658.298900000009</v>
      </c>
      <c r="N26" s="251"/>
      <c r="O26" s="82"/>
    </row>
    <row r="27" spans="1:15">
      <c r="A27" s="55">
        <v>24</v>
      </c>
      <c r="B27" s="270">
        <v>45801</v>
      </c>
      <c r="C27" s="250"/>
      <c r="D27" s="250"/>
      <c r="E27" s="78">
        <v>0</v>
      </c>
      <c r="F27" s="6">
        <v>0</v>
      </c>
      <c r="G27" s="8">
        <f t="shared" si="3"/>
        <v>0</v>
      </c>
      <c r="H27" s="78">
        <v>0</v>
      </c>
      <c r="I27" s="6">
        <v>0</v>
      </c>
      <c r="J27" s="8">
        <f t="shared" si="0"/>
        <v>0</v>
      </c>
      <c r="K27" s="8">
        <f t="shared" si="1"/>
        <v>0</v>
      </c>
      <c r="L27" s="81"/>
      <c r="M27" s="81">
        <f t="shared" si="4"/>
        <v>55658.298900000009</v>
      </c>
      <c r="N27" s="251"/>
      <c r="O27" s="82"/>
    </row>
    <row r="28" spans="1:15">
      <c r="A28" s="272">
        <v>25</v>
      </c>
      <c r="B28" s="270">
        <v>45802</v>
      </c>
      <c r="C28" s="250"/>
      <c r="D28" s="250"/>
      <c r="E28" s="78">
        <v>0</v>
      </c>
      <c r="F28" s="6">
        <v>0</v>
      </c>
      <c r="G28" s="8">
        <f t="shared" si="3"/>
        <v>0</v>
      </c>
      <c r="H28" s="78">
        <v>0</v>
      </c>
      <c r="I28" s="6">
        <v>0</v>
      </c>
      <c r="J28" s="8">
        <f t="shared" si="0"/>
        <v>0</v>
      </c>
      <c r="K28" s="8">
        <f t="shared" si="1"/>
        <v>0</v>
      </c>
      <c r="L28" s="81"/>
      <c r="M28" s="81">
        <f t="shared" si="4"/>
        <v>55658.298900000009</v>
      </c>
      <c r="N28" s="251"/>
      <c r="O28" s="82"/>
    </row>
    <row r="29" spans="1:15">
      <c r="A29" s="272">
        <v>26</v>
      </c>
      <c r="B29" s="270">
        <v>45803</v>
      </c>
      <c r="C29" s="250"/>
      <c r="D29" s="250"/>
      <c r="E29" s="78">
        <v>37.880000000000003</v>
      </c>
      <c r="F29" s="6">
        <v>90.23</v>
      </c>
      <c r="G29" s="8">
        <f t="shared" si="3"/>
        <v>3417.9124000000002</v>
      </c>
      <c r="H29" s="78">
        <v>0</v>
      </c>
      <c r="I29" s="6">
        <v>0</v>
      </c>
      <c r="J29" s="8">
        <f t="shared" si="0"/>
        <v>0</v>
      </c>
      <c r="K29" s="8">
        <f t="shared" si="1"/>
        <v>3417.9124000000002</v>
      </c>
      <c r="L29" s="81"/>
      <c r="M29" s="81">
        <f t="shared" si="4"/>
        <v>59076.21130000001</v>
      </c>
      <c r="N29" s="251"/>
      <c r="O29" s="82"/>
    </row>
    <row r="30" spans="1:15">
      <c r="A30" s="272">
        <v>27</v>
      </c>
      <c r="B30" s="270">
        <v>45804</v>
      </c>
      <c r="C30" s="250"/>
      <c r="D30" s="250"/>
      <c r="E30" s="78">
        <v>0</v>
      </c>
      <c r="F30" s="6">
        <v>0</v>
      </c>
      <c r="G30" s="8">
        <f t="shared" si="3"/>
        <v>0</v>
      </c>
      <c r="H30" s="78">
        <v>0</v>
      </c>
      <c r="I30" s="6">
        <v>0</v>
      </c>
      <c r="J30" s="8">
        <f t="shared" si="0"/>
        <v>0</v>
      </c>
      <c r="K30" s="8">
        <f t="shared" si="1"/>
        <v>0</v>
      </c>
      <c r="L30" s="81"/>
      <c r="M30" s="81">
        <f t="shared" si="4"/>
        <v>59076.21130000001</v>
      </c>
      <c r="N30" s="251"/>
      <c r="O30" s="82"/>
    </row>
    <row r="31" spans="1:15">
      <c r="A31" s="272">
        <v>28</v>
      </c>
      <c r="B31" s="270">
        <v>45805</v>
      </c>
      <c r="C31" s="250"/>
      <c r="D31" s="250"/>
      <c r="E31" s="78">
        <v>100</v>
      </c>
      <c r="F31" s="6">
        <v>90.23</v>
      </c>
      <c r="G31" s="8">
        <f t="shared" si="3"/>
        <v>9023</v>
      </c>
      <c r="H31" s="78">
        <v>0</v>
      </c>
      <c r="I31" s="6">
        <v>0</v>
      </c>
      <c r="J31" s="8">
        <f t="shared" si="0"/>
        <v>0</v>
      </c>
      <c r="K31" s="8">
        <f t="shared" si="1"/>
        <v>9023</v>
      </c>
      <c r="L31" s="81"/>
      <c r="M31" s="81">
        <f t="shared" si="4"/>
        <v>68099.21130000001</v>
      </c>
      <c r="N31" s="251"/>
      <c r="O31" s="82"/>
    </row>
    <row r="32" spans="1:15">
      <c r="A32" s="273">
        <v>29</v>
      </c>
      <c r="B32" s="270">
        <v>45806</v>
      </c>
      <c r="C32" s="250"/>
      <c r="D32" s="250"/>
      <c r="E32" s="78">
        <v>0</v>
      </c>
      <c r="F32" s="6">
        <v>0</v>
      </c>
      <c r="G32" s="8">
        <f t="shared" si="3"/>
        <v>0</v>
      </c>
      <c r="H32" s="78">
        <v>10.6</v>
      </c>
      <c r="I32" s="6">
        <v>102.16</v>
      </c>
      <c r="J32" s="8">
        <f t="shared" si="0"/>
        <v>1082.896</v>
      </c>
      <c r="K32" s="8">
        <f t="shared" si="1"/>
        <v>1082.896</v>
      </c>
      <c r="L32" s="81"/>
      <c r="M32" s="81">
        <f t="shared" si="4"/>
        <v>69182.107300000003</v>
      </c>
      <c r="N32" s="251"/>
      <c r="O32" s="82"/>
    </row>
    <row r="33" spans="1:15">
      <c r="A33" s="273">
        <v>30</v>
      </c>
      <c r="B33" s="270">
        <v>45807</v>
      </c>
      <c r="C33" s="250"/>
      <c r="D33" s="250"/>
      <c r="E33" s="78">
        <v>33.520000000000003</v>
      </c>
      <c r="F33" s="6">
        <v>90.23</v>
      </c>
      <c r="G33" s="8">
        <f t="shared" si="3"/>
        <v>3024.5096000000003</v>
      </c>
      <c r="H33" s="78">
        <v>0</v>
      </c>
      <c r="I33" s="6">
        <v>0</v>
      </c>
      <c r="J33" s="8">
        <f t="shared" si="0"/>
        <v>0</v>
      </c>
      <c r="K33" s="8">
        <f t="shared" si="1"/>
        <v>3024.5096000000003</v>
      </c>
      <c r="L33" s="81"/>
      <c r="M33" s="81">
        <f t="shared" si="4"/>
        <v>72206.616900000008</v>
      </c>
      <c r="N33" s="251"/>
      <c r="O33" s="82"/>
    </row>
    <row r="34" spans="1:15">
      <c r="A34" s="273">
        <v>31</v>
      </c>
      <c r="B34" s="270">
        <v>45808</v>
      </c>
      <c r="C34" s="250"/>
      <c r="D34" s="250"/>
      <c r="E34" s="78">
        <v>64</v>
      </c>
      <c r="F34" s="6">
        <v>90.23</v>
      </c>
      <c r="G34" s="8">
        <f t="shared" si="3"/>
        <v>5774.72</v>
      </c>
      <c r="H34" s="78">
        <v>0</v>
      </c>
      <c r="I34" s="6">
        <v>0</v>
      </c>
      <c r="J34" s="8">
        <f t="shared" ref="J5:J34" si="5">H34*I34</f>
        <v>0</v>
      </c>
      <c r="K34" s="8">
        <f t="shared" ref="K5:K34" si="6">G34+J34</f>
        <v>5774.72</v>
      </c>
      <c r="L34" s="81"/>
      <c r="M34" s="81">
        <f t="shared" si="4"/>
        <v>77981.336900000009</v>
      </c>
      <c r="N34" s="251"/>
      <c r="O34" s="82"/>
    </row>
    <row r="35" spans="1:15">
      <c r="A35" s="184"/>
      <c r="B35" s="184"/>
      <c r="C35" s="184"/>
      <c r="D35" s="184"/>
      <c r="E35" s="185">
        <f>SUM(E4:E34)</f>
        <v>795.91</v>
      </c>
      <c r="F35" s="185"/>
      <c r="G35" s="185">
        <f>SUM(G4:G34)</f>
        <v>71814.959300000002</v>
      </c>
      <c r="H35" s="185">
        <f>SUM(H4:H34)</f>
        <v>60.360000000000007</v>
      </c>
      <c r="I35" s="185"/>
      <c r="J35" s="185">
        <f>SUM(J4:J34)</f>
        <v>6166.3775999999989</v>
      </c>
      <c r="K35" s="185">
        <f>SUM(K4:K34)</f>
        <v>77981.336900000009</v>
      </c>
      <c r="L35" s="185">
        <f>SUM(L4:L31)</f>
        <v>192780</v>
      </c>
      <c r="M35" s="185"/>
      <c r="N35" s="185"/>
      <c r="O35" s="72"/>
    </row>
    <row r="36" spans="1:15">
      <c r="A36" s="86"/>
      <c r="B36" s="87"/>
      <c r="C36" s="86"/>
      <c r="D36" s="86"/>
      <c r="E36" s="88"/>
      <c r="F36" s="88"/>
      <c r="G36" s="88"/>
      <c r="H36" s="88"/>
      <c r="I36" s="88"/>
      <c r="J36" s="89"/>
      <c r="K36" s="89"/>
      <c r="L36" s="89"/>
      <c r="M36" s="89"/>
      <c r="N36" s="88"/>
      <c r="O36" s="82"/>
    </row>
  </sheetData>
  <mergeCells count="1">
    <mergeCell ref="A1:N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46"/>
  <sheetViews>
    <sheetView topLeftCell="A39" workbookViewId="0">
      <selection activeCell="S38" sqref="S38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2.28515625" customWidth="1"/>
    <col min="14" max="14" width="14.7109375" bestFit="1" customWidth="1"/>
  </cols>
  <sheetData>
    <row r="1" spans="1:15" ht="15.75">
      <c r="A1" s="442" t="s">
        <v>84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5"/>
    </row>
    <row r="2" spans="1:15" ht="30.75">
      <c r="A2" s="77" t="s">
        <v>99</v>
      </c>
      <c r="B2" s="97" t="s">
        <v>100</v>
      </c>
      <c r="C2" s="97" t="s">
        <v>101</v>
      </c>
      <c r="D2" s="97" t="s">
        <v>122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108</v>
      </c>
      <c r="M2" s="99" t="s">
        <v>115</v>
      </c>
      <c r="N2" s="97" t="s">
        <v>110</v>
      </c>
      <c r="O2" s="5"/>
    </row>
    <row r="3" spans="1:15">
      <c r="A3" s="464" t="s">
        <v>111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7" t="s">
        <v>150</v>
      </c>
      <c r="N3" s="468"/>
      <c r="O3" s="5"/>
    </row>
    <row r="4" spans="1:15">
      <c r="A4" s="234">
        <v>1</v>
      </c>
      <c r="B4" s="270">
        <v>45778</v>
      </c>
      <c r="C4" s="6"/>
      <c r="D4" s="6"/>
      <c r="E4" s="78">
        <v>33</v>
      </c>
      <c r="F4" s="6">
        <v>91.23</v>
      </c>
      <c r="G4" s="79">
        <f>E4*F4</f>
        <v>3010.59</v>
      </c>
      <c r="H4" s="78">
        <v>0</v>
      </c>
      <c r="I4" s="6">
        <v>0</v>
      </c>
      <c r="J4" s="79">
        <f>H4*I4</f>
        <v>0</v>
      </c>
      <c r="K4" s="79">
        <f>G4+J4</f>
        <v>3010.59</v>
      </c>
      <c r="L4" s="186">
        <f>+K4</f>
        <v>3010.59</v>
      </c>
      <c r="M4" s="172">
        <v>0</v>
      </c>
      <c r="N4" s="55"/>
      <c r="O4" s="5"/>
    </row>
    <row r="5" spans="1:15">
      <c r="A5" s="55">
        <v>2</v>
      </c>
      <c r="B5" s="270">
        <v>45779</v>
      </c>
      <c r="C5" s="6"/>
      <c r="D5" s="6"/>
      <c r="E5" s="78">
        <v>0</v>
      </c>
      <c r="F5" s="6">
        <v>0</v>
      </c>
      <c r="G5" s="79">
        <f t="shared" ref="G5:G43" si="0">E5*F5</f>
        <v>0</v>
      </c>
      <c r="H5" s="78">
        <v>0</v>
      </c>
      <c r="I5" s="6">
        <v>0</v>
      </c>
      <c r="J5" s="79">
        <f t="shared" ref="J5:J43" si="1">H5*I5</f>
        <v>0</v>
      </c>
      <c r="K5" s="79">
        <f t="shared" ref="K5:K43" si="2">G5+J5</f>
        <v>0</v>
      </c>
      <c r="L5" s="186">
        <f t="shared" ref="L5:L43" si="3">+K5</f>
        <v>0</v>
      </c>
      <c r="M5" s="172">
        <v>0</v>
      </c>
      <c r="N5" s="55"/>
      <c r="O5" s="5"/>
    </row>
    <row r="6" spans="1:15">
      <c r="A6" s="55">
        <v>3</v>
      </c>
      <c r="B6" s="270">
        <v>45780</v>
      </c>
      <c r="C6" s="6"/>
      <c r="D6" s="6"/>
      <c r="E6" s="78">
        <v>0</v>
      </c>
      <c r="F6" s="6">
        <v>0</v>
      </c>
      <c r="G6" s="79">
        <f t="shared" si="0"/>
        <v>0</v>
      </c>
      <c r="H6" s="78">
        <v>0</v>
      </c>
      <c r="I6" s="6">
        <v>0</v>
      </c>
      <c r="J6" s="79">
        <f t="shared" si="1"/>
        <v>0</v>
      </c>
      <c r="K6" s="79">
        <f t="shared" si="2"/>
        <v>0</v>
      </c>
      <c r="L6" s="186">
        <f t="shared" si="3"/>
        <v>0</v>
      </c>
      <c r="M6" s="172">
        <v>0</v>
      </c>
      <c r="N6" s="55"/>
      <c r="O6" s="5"/>
    </row>
    <row r="7" spans="1:15">
      <c r="A7" s="55">
        <v>4</v>
      </c>
      <c r="B7" s="270">
        <v>45781</v>
      </c>
      <c r="C7" s="6"/>
      <c r="D7" s="6"/>
      <c r="E7" s="78">
        <v>0</v>
      </c>
      <c r="F7" s="6">
        <v>0</v>
      </c>
      <c r="G7" s="79">
        <f t="shared" si="0"/>
        <v>0</v>
      </c>
      <c r="H7" s="78">
        <v>0</v>
      </c>
      <c r="I7" s="6">
        <v>0</v>
      </c>
      <c r="J7" s="79">
        <f t="shared" si="1"/>
        <v>0</v>
      </c>
      <c r="K7" s="79">
        <f t="shared" si="2"/>
        <v>0</v>
      </c>
      <c r="L7" s="186">
        <f t="shared" si="3"/>
        <v>0</v>
      </c>
      <c r="M7" s="172">
        <v>0</v>
      </c>
      <c r="N7" s="55"/>
      <c r="O7" s="5"/>
    </row>
    <row r="8" spans="1:15">
      <c r="A8" s="55">
        <v>5</v>
      </c>
      <c r="B8" s="270">
        <v>45782</v>
      </c>
      <c r="C8" s="6"/>
      <c r="D8" s="6"/>
      <c r="E8" s="78">
        <v>0</v>
      </c>
      <c r="F8" s="6">
        <v>0</v>
      </c>
      <c r="G8" s="79">
        <f t="shared" si="0"/>
        <v>0</v>
      </c>
      <c r="H8" s="78">
        <v>0</v>
      </c>
      <c r="I8" s="6">
        <v>0</v>
      </c>
      <c r="J8" s="79">
        <f t="shared" si="1"/>
        <v>0</v>
      </c>
      <c r="K8" s="79">
        <f t="shared" si="2"/>
        <v>0</v>
      </c>
      <c r="L8" s="186">
        <f t="shared" si="3"/>
        <v>0</v>
      </c>
      <c r="M8" s="172">
        <v>0</v>
      </c>
      <c r="N8" s="55"/>
      <c r="O8" s="5"/>
    </row>
    <row r="9" spans="1:15">
      <c r="A9" s="55">
        <v>6</v>
      </c>
      <c r="B9" s="270">
        <v>45783</v>
      </c>
      <c r="C9" s="6"/>
      <c r="D9" s="6"/>
      <c r="E9" s="78">
        <v>0</v>
      </c>
      <c r="F9" s="6">
        <v>0</v>
      </c>
      <c r="G9" s="79">
        <f t="shared" si="0"/>
        <v>0</v>
      </c>
      <c r="H9" s="78">
        <v>0</v>
      </c>
      <c r="I9" s="6">
        <v>0</v>
      </c>
      <c r="J9" s="79">
        <f t="shared" si="1"/>
        <v>0</v>
      </c>
      <c r="K9" s="79">
        <f t="shared" si="2"/>
        <v>0</v>
      </c>
      <c r="L9" s="186">
        <f t="shared" si="3"/>
        <v>0</v>
      </c>
      <c r="M9" s="172">
        <v>0</v>
      </c>
      <c r="N9" s="55"/>
      <c r="O9" s="5"/>
    </row>
    <row r="10" spans="1:15">
      <c r="A10" s="55">
        <v>7</v>
      </c>
      <c r="B10" s="270">
        <v>45784</v>
      </c>
      <c r="C10" s="6"/>
      <c r="D10" s="6"/>
      <c r="E10" s="78">
        <v>0</v>
      </c>
      <c r="F10" s="6">
        <v>0</v>
      </c>
      <c r="G10" s="79">
        <f t="shared" si="0"/>
        <v>0</v>
      </c>
      <c r="H10" s="78">
        <v>0</v>
      </c>
      <c r="I10" s="6">
        <v>0</v>
      </c>
      <c r="J10" s="79">
        <f t="shared" si="1"/>
        <v>0</v>
      </c>
      <c r="K10" s="79">
        <f t="shared" si="2"/>
        <v>0</v>
      </c>
      <c r="L10" s="186">
        <f t="shared" si="3"/>
        <v>0</v>
      </c>
      <c r="M10" s="172">
        <v>0</v>
      </c>
      <c r="N10" s="55"/>
      <c r="O10" s="5"/>
    </row>
    <row r="11" spans="1:15">
      <c r="A11" s="55">
        <v>8</v>
      </c>
      <c r="B11" s="270">
        <v>45785</v>
      </c>
      <c r="C11" s="6"/>
      <c r="D11" s="6"/>
      <c r="E11" s="78">
        <v>0</v>
      </c>
      <c r="F11" s="6">
        <v>0</v>
      </c>
      <c r="G11" s="79">
        <f t="shared" si="0"/>
        <v>0</v>
      </c>
      <c r="H11" s="78">
        <v>0</v>
      </c>
      <c r="I11" s="6">
        <v>0</v>
      </c>
      <c r="J11" s="79">
        <f t="shared" si="1"/>
        <v>0</v>
      </c>
      <c r="K11" s="79">
        <f t="shared" si="2"/>
        <v>0</v>
      </c>
      <c r="L11" s="186">
        <f t="shared" si="3"/>
        <v>0</v>
      </c>
      <c r="M11" s="172">
        <v>0</v>
      </c>
      <c r="N11" s="55"/>
      <c r="O11" s="5"/>
    </row>
    <row r="12" spans="1:15">
      <c r="A12" s="55">
        <v>9</v>
      </c>
      <c r="B12" s="270">
        <v>45786</v>
      </c>
      <c r="C12" s="6"/>
      <c r="D12" s="6"/>
      <c r="E12" s="78">
        <v>0</v>
      </c>
      <c r="F12" s="6">
        <v>0</v>
      </c>
      <c r="G12" s="79">
        <f t="shared" si="0"/>
        <v>0</v>
      </c>
      <c r="H12" s="78">
        <v>0</v>
      </c>
      <c r="I12" s="6">
        <v>0</v>
      </c>
      <c r="J12" s="79">
        <f t="shared" si="1"/>
        <v>0</v>
      </c>
      <c r="K12" s="79">
        <f t="shared" si="2"/>
        <v>0</v>
      </c>
      <c r="L12" s="186">
        <f t="shared" si="3"/>
        <v>0</v>
      </c>
      <c r="M12" s="172">
        <v>0</v>
      </c>
      <c r="N12" s="55"/>
      <c r="O12" s="5"/>
    </row>
    <row r="13" spans="1:15">
      <c r="A13" s="55">
        <v>10</v>
      </c>
      <c r="B13" s="270">
        <v>45787</v>
      </c>
      <c r="C13" s="6"/>
      <c r="D13" s="6"/>
      <c r="E13" s="78">
        <v>0</v>
      </c>
      <c r="F13" s="6">
        <v>0</v>
      </c>
      <c r="G13" s="79">
        <f t="shared" si="0"/>
        <v>0</v>
      </c>
      <c r="H13" s="78">
        <v>0</v>
      </c>
      <c r="I13" s="6">
        <v>0</v>
      </c>
      <c r="J13" s="79">
        <f t="shared" si="1"/>
        <v>0</v>
      </c>
      <c r="K13" s="79">
        <f t="shared" si="2"/>
        <v>0</v>
      </c>
      <c r="L13" s="186">
        <f t="shared" si="3"/>
        <v>0</v>
      </c>
      <c r="M13" s="172">
        <v>0</v>
      </c>
      <c r="N13" s="55"/>
      <c r="O13" s="5"/>
    </row>
    <row r="14" spans="1:15">
      <c r="A14" s="55">
        <v>11</v>
      </c>
      <c r="B14" s="270">
        <v>45788</v>
      </c>
      <c r="C14" s="6"/>
      <c r="D14" s="6"/>
      <c r="E14" s="78">
        <v>0</v>
      </c>
      <c r="F14" s="6">
        <v>0</v>
      </c>
      <c r="G14" s="79">
        <f t="shared" si="0"/>
        <v>0</v>
      </c>
      <c r="H14" s="78">
        <v>0</v>
      </c>
      <c r="I14" s="6">
        <v>0</v>
      </c>
      <c r="J14" s="79">
        <f t="shared" si="1"/>
        <v>0</v>
      </c>
      <c r="K14" s="79">
        <f t="shared" si="2"/>
        <v>0</v>
      </c>
      <c r="L14" s="186">
        <f t="shared" si="3"/>
        <v>0</v>
      </c>
      <c r="M14" s="172">
        <v>0</v>
      </c>
      <c r="N14" s="55"/>
      <c r="O14" s="5"/>
    </row>
    <row r="15" spans="1:15">
      <c r="A15" s="55">
        <v>12</v>
      </c>
      <c r="B15" s="270">
        <v>45789</v>
      </c>
      <c r="C15" s="6"/>
      <c r="D15" s="6"/>
      <c r="E15" s="78">
        <v>0</v>
      </c>
      <c r="F15" s="6">
        <v>0</v>
      </c>
      <c r="G15" s="79">
        <f t="shared" si="0"/>
        <v>0</v>
      </c>
      <c r="H15" s="78">
        <v>0</v>
      </c>
      <c r="I15" s="6">
        <v>0</v>
      </c>
      <c r="J15" s="79">
        <f t="shared" si="1"/>
        <v>0</v>
      </c>
      <c r="K15" s="79">
        <f t="shared" si="2"/>
        <v>0</v>
      </c>
      <c r="L15" s="186">
        <f t="shared" si="3"/>
        <v>0</v>
      </c>
      <c r="M15" s="172">
        <v>0</v>
      </c>
      <c r="N15" s="55"/>
      <c r="O15" s="5"/>
    </row>
    <row r="16" spans="1:15">
      <c r="A16" s="55">
        <v>13</v>
      </c>
      <c r="B16" s="270">
        <v>45790</v>
      </c>
      <c r="C16" s="6"/>
      <c r="D16" s="6"/>
      <c r="E16" s="78">
        <v>0</v>
      </c>
      <c r="F16" s="6">
        <v>0</v>
      </c>
      <c r="G16" s="79">
        <f t="shared" si="0"/>
        <v>0</v>
      </c>
      <c r="H16" s="78">
        <v>0</v>
      </c>
      <c r="I16" s="6">
        <v>0</v>
      </c>
      <c r="J16" s="79">
        <f t="shared" si="1"/>
        <v>0</v>
      </c>
      <c r="K16" s="79">
        <f t="shared" si="2"/>
        <v>0</v>
      </c>
      <c r="L16" s="186">
        <f t="shared" si="3"/>
        <v>0</v>
      </c>
      <c r="M16" s="172">
        <v>0</v>
      </c>
      <c r="N16" s="55"/>
      <c r="O16" s="5"/>
    </row>
    <row r="17" spans="1:15">
      <c r="A17" s="55">
        <v>14</v>
      </c>
      <c r="B17" s="270">
        <v>45791</v>
      </c>
      <c r="C17" s="6"/>
      <c r="D17" s="6"/>
      <c r="E17" s="78">
        <v>0</v>
      </c>
      <c r="F17" s="6">
        <v>0</v>
      </c>
      <c r="G17" s="79">
        <f t="shared" si="0"/>
        <v>0</v>
      </c>
      <c r="H17" s="78">
        <v>0</v>
      </c>
      <c r="I17" s="6">
        <v>0</v>
      </c>
      <c r="J17" s="79">
        <f t="shared" si="1"/>
        <v>0</v>
      </c>
      <c r="K17" s="79">
        <f t="shared" si="2"/>
        <v>0</v>
      </c>
      <c r="L17" s="186">
        <f t="shared" si="3"/>
        <v>0</v>
      </c>
      <c r="M17" s="172">
        <v>0</v>
      </c>
      <c r="N17" s="55"/>
      <c r="O17" s="5"/>
    </row>
    <row r="18" spans="1:15">
      <c r="A18" s="55">
        <v>15</v>
      </c>
      <c r="B18" s="270">
        <v>45792</v>
      </c>
      <c r="C18" s="6"/>
      <c r="D18" s="6"/>
      <c r="E18" s="78">
        <v>0</v>
      </c>
      <c r="F18" s="6">
        <v>0</v>
      </c>
      <c r="G18" s="79">
        <f t="shared" si="0"/>
        <v>0</v>
      </c>
      <c r="H18" s="78">
        <v>0</v>
      </c>
      <c r="I18" s="6">
        <v>0</v>
      </c>
      <c r="J18" s="79">
        <f t="shared" si="1"/>
        <v>0</v>
      </c>
      <c r="K18" s="79">
        <f t="shared" si="2"/>
        <v>0</v>
      </c>
      <c r="L18" s="186">
        <f t="shared" si="3"/>
        <v>0</v>
      </c>
      <c r="M18" s="172">
        <v>0</v>
      </c>
      <c r="N18" s="55"/>
      <c r="O18" s="5"/>
    </row>
    <row r="19" spans="1:15">
      <c r="A19" s="55">
        <v>16</v>
      </c>
      <c r="B19" s="270">
        <v>45793</v>
      </c>
      <c r="C19" s="6"/>
      <c r="D19" s="6"/>
      <c r="E19" s="78">
        <v>0</v>
      </c>
      <c r="F19" s="6">
        <v>0</v>
      </c>
      <c r="G19" s="79">
        <f t="shared" si="0"/>
        <v>0</v>
      </c>
      <c r="H19" s="78">
        <v>0</v>
      </c>
      <c r="I19" s="6">
        <v>0</v>
      </c>
      <c r="J19" s="79">
        <f t="shared" si="1"/>
        <v>0</v>
      </c>
      <c r="K19" s="79">
        <f t="shared" si="2"/>
        <v>0</v>
      </c>
      <c r="L19" s="186">
        <f t="shared" si="3"/>
        <v>0</v>
      </c>
      <c r="M19" s="172">
        <v>0</v>
      </c>
      <c r="N19" s="55"/>
      <c r="O19" s="5"/>
    </row>
    <row r="20" spans="1:15">
      <c r="A20" s="55">
        <v>17</v>
      </c>
      <c r="B20" s="270">
        <v>45794</v>
      </c>
      <c r="C20" s="6"/>
      <c r="D20" s="6"/>
      <c r="E20" s="78">
        <v>0</v>
      </c>
      <c r="F20" s="6">
        <v>0</v>
      </c>
      <c r="G20" s="79">
        <f t="shared" si="0"/>
        <v>0</v>
      </c>
      <c r="H20" s="78">
        <v>0</v>
      </c>
      <c r="I20" s="6">
        <v>0</v>
      </c>
      <c r="J20" s="79">
        <f t="shared" si="1"/>
        <v>0</v>
      </c>
      <c r="K20" s="79">
        <f t="shared" si="2"/>
        <v>0</v>
      </c>
      <c r="L20" s="186">
        <f t="shared" si="3"/>
        <v>0</v>
      </c>
      <c r="M20" s="172">
        <v>0</v>
      </c>
      <c r="N20" s="55"/>
      <c r="O20" s="5"/>
    </row>
    <row r="21" spans="1:15">
      <c r="A21" s="55">
        <v>18</v>
      </c>
      <c r="B21" s="270">
        <v>45795</v>
      </c>
      <c r="C21" s="6"/>
      <c r="D21" s="6"/>
      <c r="E21" s="78">
        <v>0</v>
      </c>
      <c r="F21" s="6">
        <v>0</v>
      </c>
      <c r="G21" s="79">
        <f t="shared" si="0"/>
        <v>0</v>
      </c>
      <c r="H21" s="78">
        <v>0</v>
      </c>
      <c r="I21" s="6">
        <v>0</v>
      </c>
      <c r="J21" s="79">
        <f t="shared" si="1"/>
        <v>0</v>
      </c>
      <c r="K21" s="79">
        <f t="shared" si="2"/>
        <v>0</v>
      </c>
      <c r="L21" s="186">
        <f t="shared" si="3"/>
        <v>0</v>
      </c>
      <c r="M21" s="172">
        <v>0</v>
      </c>
      <c r="N21" s="55"/>
      <c r="O21" s="5"/>
    </row>
    <row r="22" spans="1:15">
      <c r="A22" s="55">
        <v>19</v>
      </c>
      <c r="B22" s="270">
        <v>45796</v>
      </c>
      <c r="C22" s="6"/>
      <c r="D22" s="6"/>
      <c r="E22" s="78">
        <v>0</v>
      </c>
      <c r="F22" s="6">
        <v>0</v>
      </c>
      <c r="G22" s="79">
        <f t="shared" si="0"/>
        <v>0</v>
      </c>
      <c r="H22" s="78">
        <v>0</v>
      </c>
      <c r="I22" s="6">
        <v>0</v>
      </c>
      <c r="J22" s="79">
        <f t="shared" si="1"/>
        <v>0</v>
      </c>
      <c r="K22" s="79">
        <f t="shared" si="2"/>
        <v>0</v>
      </c>
      <c r="L22" s="186">
        <f t="shared" si="3"/>
        <v>0</v>
      </c>
      <c r="M22" s="172">
        <v>0</v>
      </c>
      <c r="N22" s="55"/>
      <c r="O22" s="5"/>
    </row>
    <row r="23" spans="1:15">
      <c r="A23" s="55">
        <v>20</v>
      </c>
      <c r="B23" s="270">
        <v>45797</v>
      </c>
      <c r="C23" s="6"/>
      <c r="D23" s="6"/>
      <c r="E23" s="78">
        <v>105</v>
      </c>
      <c r="F23" s="6">
        <v>91.23</v>
      </c>
      <c r="G23" s="79">
        <f t="shared" si="0"/>
        <v>9579.15</v>
      </c>
      <c r="H23" s="78">
        <v>0</v>
      </c>
      <c r="I23" s="6">
        <v>0</v>
      </c>
      <c r="J23" s="79">
        <f t="shared" si="1"/>
        <v>0</v>
      </c>
      <c r="K23" s="79">
        <f t="shared" si="2"/>
        <v>9579.15</v>
      </c>
      <c r="L23" s="186">
        <f t="shared" si="3"/>
        <v>9579.15</v>
      </c>
      <c r="M23" s="172">
        <v>0</v>
      </c>
      <c r="N23" s="55"/>
      <c r="O23" s="5"/>
    </row>
    <row r="24" spans="1:15" ht="14.25" customHeight="1">
      <c r="A24" s="55">
        <v>21</v>
      </c>
      <c r="B24" s="270">
        <v>45798</v>
      </c>
      <c r="C24" s="6"/>
      <c r="D24" s="6"/>
      <c r="E24" s="78">
        <v>0</v>
      </c>
      <c r="F24" s="6">
        <v>0</v>
      </c>
      <c r="G24" s="79">
        <f t="shared" si="0"/>
        <v>0</v>
      </c>
      <c r="H24" s="78">
        <v>0</v>
      </c>
      <c r="I24" s="6">
        <v>0</v>
      </c>
      <c r="J24" s="79">
        <f t="shared" si="1"/>
        <v>0</v>
      </c>
      <c r="K24" s="79">
        <f t="shared" si="2"/>
        <v>0</v>
      </c>
      <c r="L24" s="186">
        <f t="shared" si="3"/>
        <v>0</v>
      </c>
      <c r="M24" s="172">
        <v>0</v>
      </c>
      <c r="N24" s="55"/>
      <c r="O24" s="5"/>
    </row>
    <row r="25" spans="1:15">
      <c r="A25" s="55">
        <v>22</v>
      </c>
      <c r="B25" s="270">
        <v>45799</v>
      </c>
      <c r="C25" s="6"/>
      <c r="D25" s="6"/>
      <c r="E25" s="78">
        <v>0</v>
      </c>
      <c r="F25" s="6">
        <v>0</v>
      </c>
      <c r="G25" s="79">
        <f t="shared" si="0"/>
        <v>0</v>
      </c>
      <c r="H25" s="78">
        <v>0</v>
      </c>
      <c r="I25" s="6">
        <v>0</v>
      </c>
      <c r="J25" s="79">
        <f t="shared" si="1"/>
        <v>0</v>
      </c>
      <c r="K25" s="79">
        <f t="shared" si="2"/>
        <v>0</v>
      </c>
      <c r="L25" s="186">
        <f t="shared" si="3"/>
        <v>0</v>
      </c>
      <c r="M25" s="172">
        <v>0</v>
      </c>
      <c r="N25" s="55"/>
      <c r="O25" s="5"/>
    </row>
    <row r="26" spans="1:15">
      <c r="A26" s="55">
        <v>23</v>
      </c>
      <c r="B26" s="270">
        <v>45800</v>
      </c>
      <c r="C26" s="6"/>
      <c r="D26" s="6"/>
      <c r="E26" s="78">
        <v>50</v>
      </c>
      <c r="F26" s="6">
        <v>91.23</v>
      </c>
      <c r="G26" s="79">
        <f t="shared" si="0"/>
        <v>4561.5</v>
      </c>
      <c r="H26" s="78">
        <v>0</v>
      </c>
      <c r="I26" s="6">
        <v>0</v>
      </c>
      <c r="J26" s="79">
        <f t="shared" si="1"/>
        <v>0</v>
      </c>
      <c r="K26" s="79">
        <f t="shared" si="2"/>
        <v>4561.5</v>
      </c>
      <c r="L26" s="186">
        <f t="shared" si="3"/>
        <v>4561.5</v>
      </c>
      <c r="M26" s="172">
        <v>0</v>
      </c>
      <c r="N26" s="55"/>
      <c r="O26" s="5"/>
    </row>
    <row r="27" spans="1:15">
      <c r="A27" s="55">
        <v>24</v>
      </c>
      <c r="B27" s="270">
        <v>45801</v>
      </c>
      <c r="C27" s="6"/>
      <c r="D27" s="6"/>
      <c r="E27" s="78">
        <v>209.7</v>
      </c>
      <c r="F27" s="6">
        <v>91.23</v>
      </c>
      <c r="G27" s="79">
        <f t="shared" si="0"/>
        <v>19130.931</v>
      </c>
      <c r="H27" s="78">
        <v>0</v>
      </c>
      <c r="I27" s="6">
        <v>0</v>
      </c>
      <c r="J27" s="79">
        <f t="shared" si="1"/>
        <v>0</v>
      </c>
      <c r="K27" s="79">
        <f t="shared" si="2"/>
        <v>19130.931</v>
      </c>
      <c r="L27" s="186">
        <f t="shared" si="3"/>
        <v>19130.931</v>
      </c>
      <c r="M27" s="172">
        <v>0</v>
      </c>
      <c r="N27" s="6"/>
      <c r="O27" s="5"/>
    </row>
    <row r="28" spans="1:15">
      <c r="A28" s="272">
        <v>25</v>
      </c>
      <c r="B28" s="270">
        <v>45802</v>
      </c>
      <c r="C28" s="6"/>
      <c r="D28" s="6"/>
      <c r="E28" s="78">
        <v>0</v>
      </c>
      <c r="F28" s="6">
        <v>0</v>
      </c>
      <c r="G28" s="79">
        <f t="shared" si="0"/>
        <v>0</v>
      </c>
      <c r="H28" s="78">
        <v>0</v>
      </c>
      <c r="I28" s="6">
        <v>0</v>
      </c>
      <c r="J28" s="79">
        <f t="shared" si="1"/>
        <v>0</v>
      </c>
      <c r="K28" s="79">
        <f t="shared" si="2"/>
        <v>0</v>
      </c>
      <c r="L28" s="186">
        <f t="shared" si="3"/>
        <v>0</v>
      </c>
      <c r="M28" s="172">
        <v>0</v>
      </c>
      <c r="N28" s="6"/>
      <c r="O28" s="5"/>
    </row>
    <row r="29" spans="1:15">
      <c r="A29" s="272">
        <v>26</v>
      </c>
      <c r="B29" s="270">
        <v>45803</v>
      </c>
      <c r="C29" s="6"/>
      <c r="D29" s="6"/>
      <c r="E29" s="78">
        <v>0</v>
      </c>
      <c r="F29" s="6">
        <v>0</v>
      </c>
      <c r="G29" s="79">
        <f t="shared" si="0"/>
        <v>0</v>
      </c>
      <c r="H29" s="78">
        <v>0</v>
      </c>
      <c r="I29" s="6">
        <v>0</v>
      </c>
      <c r="J29" s="79">
        <f t="shared" si="1"/>
        <v>0</v>
      </c>
      <c r="K29" s="79">
        <f t="shared" si="2"/>
        <v>0</v>
      </c>
      <c r="L29" s="186">
        <f t="shared" si="3"/>
        <v>0</v>
      </c>
      <c r="M29" s="172">
        <v>0</v>
      </c>
      <c r="N29" s="6"/>
      <c r="O29" s="5"/>
    </row>
    <row r="30" spans="1:15">
      <c r="A30" s="272">
        <v>27</v>
      </c>
      <c r="B30" s="270">
        <v>45804</v>
      </c>
      <c r="C30" s="6"/>
      <c r="D30" s="6"/>
      <c r="E30" s="78">
        <v>105</v>
      </c>
      <c r="F30" s="6">
        <v>91.23</v>
      </c>
      <c r="G30" s="79">
        <f t="shared" si="0"/>
        <v>9579.15</v>
      </c>
      <c r="H30" s="78">
        <v>0</v>
      </c>
      <c r="I30" s="6">
        <v>0</v>
      </c>
      <c r="J30" s="79">
        <f t="shared" si="1"/>
        <v>0</v>
      </c>
      <c r="K30" s="79">
        <f t="shared" si="2"/>
        <v>9579.15</v>
      </c>
      <c r="L30" s="186">
        <f t="shared" si="3"/>
        <v>9579.15</v>
      </c>
      <c r="M30" s="172">
        <v>0</v>
      </c>
      <c r="N30" s="6"/>
      <c r="O30" s="5"/>
    </row>
    <row r="31" spans="1:15">
      <c r="A31" s="272">
        <v>28</v>
      </c>
      <c r="B31" s="270">
        <v>45805</v>
      </c>
      <c r="C31" s="6"/>
      <c r="D31" s="6"/>
      <c r="E31" s="78">
        <v>0</v>
      </c>
      <c r="F31" s="6">
        <v>0</v>
      </c>
      <c r="G31" s="79">
        <f t="shared" si="0"/>
        <v>0</v>
      </c>
      <c r="H31" s="78">
        <v>0</v>
      </c>
      <c r="I31" s="6">
        <v>0</v>
      </c>
      <c r="J31" s="79">
        <f t="shared" si="1"/>
        <v>0</v>
      </c>
      <c r="K31" s="79">
        <f t="shared" si="2"/>
        <v>0</v>
      </c>
      <c r="L31" s="186">
        <f t="shared" si="3"/>
        <v>0</v>
      </c>
      <c r="M31" s="172">
        <v>0</v>
      </c>
      <c r="N31" s="6"/>
      <c r="O31" s="5"/>
    </row>
    <row r="32" spans="1:15">
      <c r="A32" s="273">
        <v>29</v>
      </c>
      <c r="B32" s="270">
        <v>45806</v>
      </c>
      <c r="C32" s="6"/>
      <c r="D32" s="6"/>
      <c r="E32" s="78">
        <v>105</v>
      </c>
      <c r="F32" s="6">
        <v>91.23</v>
      </c>
      <c r="G32" s="79">
        <f t="shared" si="0"/>
        <v>9579.15</v>
      </c>
      <c r="H32" s="78">
        <v>0</v>
      </c>
      <c r="I32" s="6">
        <v>0</v>
      </c>
      <c r="J32" s="79">
        <f t="shared" si="1"/>
        <v>0</v>
      </c>
      <c r="K32" s="79">
        <f t="shared" si="2"/>
        <v>9579.15</v>
      </c>
      <c r="L32" s="186">
        <f t="shared" si="3"/>
        <v>9579.15</v>
      </c>
      <c r="M32" s="172">
        <v>0</v>
      </c>
      <c r="N32" s="6"/>
      <c r="O32" s="5"/>
    </row>
    <row r="33" spans="1:15">
      <c r="A33" s="273">
        <v>30</v>
      </c>
      <c r="B33" s="270">
        <v>45807</v>
      </c>
      <c r="C33" s="6"/>
      <c r="D33" s="6"/>
      <c r="E33" s="78">
        <v>0</v>
      </c>
      <c r="F33" s="6">
        <v>0</v>
      </c>
      <c r="G33" s="79">
        <f t="shared" si="0"/>
        <v>0</v>
      </c>
      <c r="H33" s="78">
        <v>0</v>
      </c>
      <c r="I33" s="6">
        <v>0</v>
      </c>
      <c r="J33" s="79">
        <f t="shared" si="1"/>
        <v>0</v>
      </c>
      <c r="K33" s="79">
        <f t="shared" si="2"/>
        <v>0</v>
      </c>
      <c r="L33" s="186">
        <f t="shared" si="3"/>
        <v>0</v>
      </c>
      <c r="M33" s="172">
        <v>0</v>
      </c>
      <c r="N33" s="6"/>
      <c r="O33" s="5"/>
    </row>
    <row r="34" spans="1:15">
      <c r="A34" s="273">
        <v>31</v>
      </c>
      <c r="B34" s="270"/>
      <c r="C34" s="6"/>
      <c r="D34" s="6"/>
      <c r="E34" s="78">
        <v>0</v>
      </c>
      <c r="F34" s="6">
        <v>0</v>
      </c>
      <c r="G34" s="79">
        <f t="shared" si="0"/>
        <v>0</v>
      </c>
      <c r="H34" s="78">
        <v>0</v>
      </c>
      <c r="I34" s="6">
        <v>0</v>
      </c>
      <c r="J34" s="79">
        <f t="shared" si="1"/>
        <v>0</v>
      </c>
      <c r="K34" s="79">
        <f t="shared" si="2"/>
        <v>0</v>
      </c>
      <c r="L34" s="186">
        <f t="shared" si="3"/>
        <v>0</v>
      </c>
      <c r="M34" s="172">
        <v>0</v>
      </c>
      <c r="N34" s="6"/>
      <c r="O34" s="5"/>
    </row>
    <row r="35" spans="1:15">
      <c r="A35" s="6">
        <v>34</v>
      </c>
      <c r="B35" s="92"/>
      <c r="C35" s="6"/>
      <c r="D35" s="6"/>
      <c r="E35" s="78">
        <v>0</v>
      </c>
      <c r="F35" s="6">
        <v>0</v>
      </c>
      <c r="G35" s="79">
        <f t="shared" si="0"/>
        <v>0</v>
      </c>
      <c r="H35" s="78">
        <v>0</v>
      </c>
      <c r="I35" s="6">
        <v>0</v>
      </c>
      <c r="J35" s="79">
        <f t="shared" si="1"/>
        <v>0</v>
      </c>
      <c r="K35" s="79">
        <f t="shared" si="2"/>
        <v>0</v>
      </c>
      <c r="L35" s="186">
        <f t="shared" si="3"/>
        <v>0</v>
      </c>
      <c r="M35" s="172">
        <v>0</v>
      </c>
      <c r="N35" s="6"/>
      <c r="O35" s="5"/>
    </row>
    <row r="36" spans="1:15">
      <c r="A36" s="6">
        <v>35</v>
      </c>
      <c r="B36" s="92"/>
      <c r="C36" s="6"/>
      <c r="D36" s="6"/>
      <c r="E36" s="78">
        <v>0</v>
      </c>
      <c r="F36" s="6">
        <v>0</v>
      </c>
      <c r="G36" s="79">
        <f t="shared" si="0"/>
        <v>0</v>
      </c>
      <c r="H36" s="78">
        <v>0</v>
      </c>
      <c r="I36" s="6">
        <v>0</v>
      </c>
      <c r="J36" s="79">
        <f t="shared" si="1"/>
        <v>0</v>
      </c>
      <c r="K36" s="79">
        <f t="shared" si="2"/>
        <v>0</v>
      </c>
      <c r="L36" s="186">
        <f t="shared" si="3"/>
        <v>0</v>
      </c>
      <c r="M36" s="172">
        <v>0</v>
      </c>
      <c r="N36" s="6"/>
      <c r="O36" s="5"/>
    </row>
    <row r="37" spans="1:15">
      <c r="A37" s="6">
        <v>36</v>
      </c>
      <c r="B37" s="92"/>
      <c r="C37" s="6"/>
      <c r="D37" s="6"/>
      <c r="E37" s="78">
        <v>0</v>
      </c>
      <c r="F37" s="6">
        <v>0</v>
      </c>
      <c r="G37" s="79">
        <f t="shared" si="0"/>
        <v>0</v>
      </c>
      <c r="H37" s="78">
        <v>0</v>
      </c>
      <c r="I37" s="6">
        <v>0</v>
      </c>
      <c r="J37" s="79">
        <f t="shared" si="1"/>
        <v>0</v>
      </c>
      <c r="K37" s="79">
        <f t="shared" si="2"/>
        <v>0</v>
      </c>
      <c r="L37" s="186">
        <f t="shared" si="3"/>
        <v>0</v>
      </c>
      <c r="M37" s="172">
        <v>0</v>
      </c>
      <c r="N37" s="6"/>
      <c r="O37" s="5"/>
    </row>
    <row r="38" spans="1:15">
      <c r="A38" s="6">
        <v>37</v>
      </c>
      <c r="B38" s="92"/>
      <c r="C38" s="6"/>
      <c r="D38" s="6"/>
      <c r="E38" s="78">
        <v>0</v>
      </c>
      <c r="F38" s="6">
        <v>0</v>
      </c>
      <c r="G38" s="79">
        <f t="shared" si="0"/>
        <v>0</v>
      </c>
      <c r="H38" s="78">
        <v>0</v>
      </c>
      <c r="I38" s="6">
        <v>0</v>
      </c>
      <c r="J38" s="79">
        <f t="shared" si="1"/>
        <v>0</v>
      </c>
      <c r="K38" s="79">
        <f t="shared" si="2"/>
        <v>0</v>
      </c>
      <c r="L38" s="186">
        <f t="shared" si="3"/>
        <v>0</v>
      </c>
      <c r="M38" s="172">
        <v>0</v>
      </c>
      <c r="N38" s="6"/>
      <c r="O38" s="5"/>
    </row>
    <row r="39" spans="1:15">
      <c r="A39" s="6">
        <v>38</v>
      </c>
      <c r="B39" s="92"/>
      <c r="C39" s="6"/>
      <c r="D39" s="6"/>
      <c r="E39" s="78">
        <v>0</v>
      </c>
      <c r="F39" s="6">
        <v>0</v>
      </c>
      <c r="G39" s="79">
        <f t="shared" si="0"/>
        <v>0</v>
      </c>
      <c r="H39" s="78">
        <v>0</v>
      </c>
      <c r="I39" s="6">
        <v>0</v>
      </c>
      <c r="J39" s="79">
        <f t="shared" si="1"/>
        <v>0</v>
      </c>
      <c r="K39" s="79">
        <f t="shared" si="2"/>
        <v>0</v>
      </c>
      <c r="L39" s="186">
        <f t="shared" si="3"/>
        <v>0</v>
      </c>
      <c r="M39" s="172">
        <v>0</v>
      </c>
      <c r="N39" s="6"/>
      <c r="O39" s="5"/>
    </row>
    <row r="40" spans="1:15">
      <c r="A40" s="196">
        <v>39</v>
      </c>
      <c r="B40" s="197"/>
      <c r="C40" s="196"/>
      <c r="D40" s="6"/>
      <c r="E40" s="78">
        <v>0</v>
      </c>
      <c r="F40" s="6">
        <v>0</v>
      </c>
      <c r="G40" s="79">
        <f t="shared" si="0"/>
        <v>0</v>
      </c>
      <c r="H40" s="78">
        <v>0</v>
      </c>
      <c r="I40" s="6">
        <v>0</v>
      </c>
      <c r="J40" s="79">
        <f t="shared" si="1"/>
        <v>0</v>
      </c>
      <c r="K40" s="79">
        <f t="shared" si="2"/>
        <v>0</v>
      </c>
      <c r="L40" s="186">
        <f t="shared" si="3"/>
        <v>0</v>
      </c>
      <c r="M40" s="200">
        <v>0</v>
      </c>
      <c r="N40" s="196"/>
      <c r="O40" s="5"/>
    </row>
    <row r="41" spans="1:15">
      <c r="A41" s="6">
        <v>40</v>
      </c>
      <c r="B41" s="6"/>
      <c r="C41" s="6"/>
      <c r="D41" s="6"/>
      <c r="E41" s="78">
        <v>0</v>
      </c>
      <c r="F41" s="6">
        <v>0</v>
      </c>
      <c r="G41" s="79">
        <f t="shared" si="0"/>
        <v>0</v>
      </c>
      <c r="H41" s="78">
        <v>0</v>
      </c>
      <c r="I41" s="6">
        <v>0</v>
      </c>
      <c r="J41" s="79">
        <f t="shared" si="1"/>
        <v>0</v>
      </c>
      <c r="K41" s="79">
        <f t="shared" si="2"/>
        <v>0</v>
      </c>
      <c r="L41" s="186">
        <f t="shared" si="3"/>
        <v>0</v>
      </c>
      <c r="M41" s="172">
        <v>0</v>
      </c>
      <c r="N41" s="6"/>
      <c r="O41" s="5"/>
    </row>
    <row r="42" spans="1:15">
      <c r="A42" s="196">
        <v>41</v>
      </c>
      <c r="B42" s="196"/>
      <c r="C42" s="196"/>
      <c r="D42" s="6"/>
      <c r="E42" s="78">
        <v>0</v>
      </c>
      <c r="F42" s="6">
        <v>0</v>
      </c>
      <c r="G42" s="79">
        <f t="shared" si="0"/>
        <v>0</v>
      </c>
      <c r="H42" s="78">
        <v>0</v>
      </c>
      <c r="I42" s="6">
        <v>0</v>
      </c>
      <c r="J42" s="79">
        <f t="shared" si="1"/>
        <v>0</v>
      </c>
      <c r="K42" s="79">
        <f t="shared" si="2"/>
        <v>0</v>
      </c>
      <c r="L42" s="186">
        <f t="shared" si="3"/>
        <v>0</v>
      </c>
      <c r="M42" s="200">
        <v>0</v>
      </c>
      <c r="N42" s="196"/>
      <c r="O42" s="5"/>
    </row>
    <row r="43" spans="1:15">
      <c r="A43" s="196">
        <v>42</v>
      </c>
      <c r="B43" s="196"/>
      <c r="C43" s="196"/>
      <c r="D43" s="6"/>
      <c r="E43" s="78">
        <v>0</v>
      </c>
      <c r="F43" s="6">
        <v>0</v>
      </c>
      <c r="G43" s="79">
        <f t="shared" si="0"/>
        <v>0</v>
      </c>
      <c r="H43" s="78">
        <v>0</v>
      </c>
      <c r="I43" s="6">
        <v>0</v>
      </c>
      <c r="J43" s="79">
        <f t="shared" si="1"/>
        <v>0</v>
      </c>
      <c r="K43" s="79">
        <f t="shared" si="2"/>
        <v>0</v>
      </c>
      <c r="L43" s="186">
        <f t="shared" si="3"/>
        <v>0</v>
      </c>
      <c r="M43" s="200">
        <v>0</v>
      </c>
      <c r="N43" s="196"/>
      <c r="O43" s="5"/>
    </row>
    <row r="44" spans="1:15">
      <c r="A44" s="75"/>
      <c r="B44" s="75"/>
      <c r="C44" s="75"/>
      <c r="D44" s="75"/>
      <c r="E44" s="76">
        <f>SUM(E4:E43)</f>
        <v>607.70000000000005</v>
      </c>
      <c r="F44" s="76"/>
      <c r="G44" s="76">
        <f>SUM(G4:G43)</f>
        <v>55440.471000000005</v>
      </c>
      <c r="H44" s="76">
        <f>SUM(H4:H43)</f>
        <v>0</v>
      </c>
      <c r="I44" s="76"/>
      <c r="J44" s="76">
        <f>SUM(J4:J43)</f>
        <v>0</v>
      </c>
      <c r="K44" s="76">
        <f>SUM(K4:K43)</f>
        <v>55440.471000000005</v>
      </c>
      <c r="L44" s="76">
        <f>SUM(L4:L43)</f>
        <v>55440.471000000005</v>
      </c>
      <c r="M44" s="76"/>
      <c r="N44" s="76"/>
      <c r="O44" s="72"/>
    </row>
    <row r="45" spans="1:15">
      <c r="A45" s="5"/>
      <c r="B45" s="5"/>
      <c r="C45" s="5"/>
      <c r="D45" s="5"/>
      <c r="E45" s="5"/>
      <c r="F45" s="5"/>
      <c r="G45" s="117"/>
      <c r="H45" s="5"/>
      <c r="I45" s="5"/>
      <c r="J45" s="117"/>
      <c r="K45" s="5"/>
      <c r="L45" s="117"/>
      <c r="M45" s="117"/>
      <c r="N45" s="5"/>
      <c r="O45" s="5"/>
    </row>
    <row r="46" spans="1:15">
      <c r="A46" s="5"/>
      <c r="B46" s="5"/>
      <c r="C46" s="5"/>
      <c r="D46" s="5"/>
      <c r="E46" s="5"/>
      <c r="F46" s="5"/>
      <c r="G46" s="117"/>
      <c r="H46" s="5"/>
      <c r="I46" s="5"/>
      <c r="J46" s="117"/>
      <c r="K46" s="5"/>
      <c r="L46" s="117"/>
      <c r="M46" s="117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C24" workbookViewId="0">
      <selection activeCell="O42" sqref="O42"/>
    </sheetView>
  </sheetViews>
  <sheetFormatPr defaultRowHeight="15"/>
  <cols>
    <col min="1" max="1" width="6.140625" customWidth="1"/>
    <col min="2" max="2" width="10.85546875" bestFit="1" customWidth="1"/>
    <col min="7" max="7" width="10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42" t="s">
        <v>88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5"/>
    </row>
    <row r="2" spans="1:15" ht="30.75">
      <c r="A2" s="77" t="s">
        <v>99</v>
      </c>
      <c r="B2" s="97" t="s">
        <v>100</v>
      </c>
      <c r="C2" s="97" t="s">
        <v>101</v>
      </c>
      <c r="D2" s="97" t="s">
        <v>122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108</v>
      </c>
      <c r="M2" s="99" t="s">
        <v>115</v>
      </c>
      <c r="N2" s="97" t="s">
        <v>110</v>
      </c>
      <c r="O2" s="5"/>
    </row>
    <row r="3" spans="1:15">
      <c r="A3" s="464" t="s">
        <v>111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7">
        <v>0</v>
      </c>
      <c r="N3" s="468"/>
      <c r="O3" s="5"/>
    </row>
    <row r="4" spans="1:15">
      <c r="A4" s="234">
        <v>1</v>
      </c>
      <c r="B4" s="270" t="s">
        <v>128</v>
      </c>
      <c r="C4" s="6"/>
      <c r="D4" s="6"/>
      <c r="E4" s="78">
        <v>5.47</v>
      </c>
      <c r="F4" s="6">
        <v>91.33</v>
      </c>
      <c r="G4" s="79">
        <f>E4*F4</f>
        <v>499.57509999999996</v>
      </c>
      <c r="H4" s="78">
        <v>4.84</v>
      </c>
      <c r="I4" s="6">
        <v>103.26</v>
      </c>
      <c r="J4" s="79">
        <f>H4*I4</f>
        <v>499.77840000000003</v>
      </c>
      <c r="K4" s="79">
        <f>G4+J4</f>
        <v>999.35349999999994</v>
      </c>
      <c r="L4" s="186">
        <f>+K4</f>
        <v>999.35349999999994</v>
      </c>
      <c r="M4" s="172">
        <f>M3+K4-L4</f>
        <v>0</v>
      </c>
      <c r="N4" s="55" t="s">
        <v>129</v>
      </c>
      <c r="O4" s="5"/>
    </row>
    <row r="5" spans="1:15">
      <c r="A5" s="55">
        <v>2</v>
      </c>
      <c r="B5" s="270" t="s">
        <v>132</v>
      </c>
      <c r="C5" s="6"/>
      <c r="D5" s="6"/>
      <c r="E5" s="78">
        <v>0</v>
      </c>
      <c r="F5" s="6">
        <v>0</v>
      </c>
      <c r="G5" s="79">
        <f t="shared" ref="G5:G41" si="0">E5*F5</f>
        <v>0</v>
      </c>
      <c r="H5" s="78">
        <v>2</v>
      </c>
      <c r="I5" s="6">
        <v>103.26</v>
      </c>
      <c r="J5" s="79">
        <f t="shared" ref="J5:J41" si="1">H5*I5</f>
        <v>206.52</v>
      </c>
      <c r="K5" s="79">
        <f t="shared" ref="K5:K41" si="2">G5+J5</f>
        <v>206.52</v>
      </c>
      <c r="L5" s="186">
        <f t="shared" ref="L5:L41" si="3">+K5</f>
        <v>206.52</v>
      </c>
      <c r="M5" s="172">
        <f t="shared" ref="M5:M31" si="4">M4+K5-L5</f>
        <v>0</v>
      </c>
      <c r="N5" s="55" t="s">
        <v>129</v>
      </c>
      <c r="O5" s="5"/>
    </row>
    <row r="6" spans="1:15">
      <c r="A6" s="55">
        <v>3</v>
      </c>
      <c r="B6" s="270" t="s">
        <v>152</v>
      </c>
      <c r="C6" s="6"/>
      <c r="D6" s="6"/>
      <c r="E6" s="78">
        <v>0</v>
      </c>
      <c r="F6" s="6">
        <v>0</v>
      </c>
      <c r="G6" s="79">
        <f t="shared" si="0"/>
        <v>0</v>
      </c>
      <c r="H6" s="78">
        <v>4.84</v>
      </c>
      <c r="I6" s="6">
        <v>103.26</v>
      </c>
      <c r="J6" s="79">
        <f t="shared" si="1"/>
        <v>499.77840000000003</v>
      </c>
      <c r="K6" s="79">
        <f t="shared" si="2"/>
        <v>499.77840000000003</v>
      </c>
      <c r="L6" s="186">
        <f t="shared" si="3"/>
        <v>499.77840000000003</v>
      </c>
      <c r="M6" s="172">
        <f t="shared" si="4"/>
        <v>0</v>
      </c>
      <c r="N6" s="55" t="s">
        <v>129</v>
      </c>
      <c r="O6" s="5"/>
    </row>
    <row r="7" spans="1:15">
      <c r="A7" s="55">
        <v>4</v>
      </c>
      <c r="B7" s="270" t="s">
        <v>153</v>
      </c>
      <c r="C7" s="6"/>
      <c r="D7" s="6"/>
      <c r="E7" s="78">
        <v>5.47</v>
      </c>
      <c r="F7" s="6">
        <v>91.33</v>
      </c>
      <c r="G7" s="79">
        <f t="shared" si="0"/>
        <v>499.57509999999996</v>
      </c>
      <c r="H7" s="78">
        <v>5</v>
      </c>
      <c r="I7" s="6">
        <v>103.26</v>
      </c>
      <c r="J7" s="79">
        <f t="shared" si="1"/>
        <v>516.30000000000007</v>
      </c>
      <c r="K7" s="79">
        <f t="shared" si="2"/>
        <v>1015.8751</v>
      </c>
      <c r="L7" s="186">
        <f t="shared" si="3"/>
        <v>1015.8751</v>
      </c>
      <c r="M7" s="172">
        <f t="shared" si="4"/>
        <v>0</v>
      </c>
      <c r="N7" s="55" t="s">
        <v>129</v>
      </c>
      <c r="O7" s="5"/>
    </row>
    <row r="8" spans="1:15">
      <c r="A8" s="55">
        <v>5</v>
      </c>
      <c r="B8" s="270" t="s">
        <v>139</v>
      </c>
      <c r="C8" s="6"/>
      <c r="D8" s="6"/>
      <c r="E8" s="78">
        <v>0</v>
      </c>
      <c r="F8" s="6">
        <v>0</v>
      </c>
      <c r="G8" s="79">
        <f t="shared" si="0"/>
        <v>0</v>
      </c>
      <c r="H8" s="78">
        <v>6.4</v>
      </c>
      <c r="I8" s="6">
        <v>103.26</v>
      </c>
      <c r="J8" s="79">
        <f t="shared" si="1"/>
        <v>660.86400000000003</v>
      </c>
      <c r="K8" s="79">
        <f t="shared" si="2"/>
        <v>660.86400000000003</v>
      </c>
      <c r="L8" s="186">
        <f t="shared" si="3"/>
        <v>660.86400000000003</v>
      </c>
      <c r="M8" s="172">
        <f t="shared" si="4"/>
        <v>0</v>
      </c>
      <c r="N8" s="55" t="s">
        <v>129</v>
      </c>
      <c r="O8" s="5"/>
    </row>
    <row r="9" spans="1:15">
      <c r="A9" s="55">
        <v>6</v>
      </c>
      <c r="B9" s="270" t="s">
        <v>140</v>
      </c>
      <c r="C9" s="6"/>
      <c r="D9" s="6"/>
      <c r="E9" s="78">
        <v>24.09</v>
      </c>
      <c r="F9" s="6">
        <v>91.33</v>
      </c>
      <c r="G9" s="79">
        <f t="shared" si="0"/>
        <v>2200.1396999999997</v>
      </c>
      <c r="H9" s="78">
        <v>4.84</v>
      </c>
      <c r="I9" s="6">
        <v>103.26</v>
      </c>
      <c r="J9" s="79">
        <f t="shared" si="1"/>
        <v>499.77840000000003</v>
      </c>
      <c r="K9" s="79">
        <f t="shared" si="2"/>
        <v>2699.9180999999999</v>
      </c>
      <c r="L9" s="186">
        <f t="shared" si="3"/>
        <v>2699.9180999999999</v>
      </c>
      <c r="M9" s="172">
        <f t="shared" si="4"/>
        <v>0</v>
      </c>
      <c r="N9" s="55" t="s">
        <v>129</v>
      </c>
      <c r="O9" s="5"/>
    </row>
    <row r="10" spans="1:15">
      <c r="A10" s="55">
        <v>7</v>
      </c>
      <c r="B10" s="270" t="s">
        <v>141</v>
      </c>
      <c r="C10" s="6"/>
      <c r="D10" s="6"/>
      <c r="E10" s="78">
        <v>0</v>
      </c>
      <c r="F10" s="6">
        <v>0</v>
      </c>
      <c r="G10" s="79">
        <f t="shared" si="0"/>
        <v>0</v>
      </c>
      <c r="H10" s="78">
        <v>3</v>
      </c>
      <c r="I10" s="6">
        <v>103.26</v>
      </c>
      <c r="J10" s="79">
        <f t="shared" si="1"/>
        <v>309.78000000000003</v>
      </c>
      <c r="K10" s="79">
        <f t="shared" si="2"/>
        <v>309.78000000000003</v>
      </c>
      <c r="L10" s="186">
        <f t="shared" si="3"/>
        <v>309.78000000000003</v>
      </c>
      <c r="M10" s="172">
        <f t="shared" si="4"/>
        <v>0</v>
      </c>
      <c r="N10" s="55" t="s">
        <v>129</v>
      </c>
      <c r="O10" s="5"/>
    </row>
    <row r="11" spans="1:15">
      <c r="A11" s="55">
        <v>8</v>
      </c>
      <c r="B11" s="270" t="s">
        <v>142</v>
      </c>
      <c r="C11" s="6"/>
      <c r="D11" s="6"/>
      <c r="E11" s="78">
        <v>43.8</v>
      </c>
      <c r="F11" s="6">
        <v>91.33</v>
      </c>
      <c r="G11" s="79">
        <f t="shared" si="0"/>
        <v>4000.2539999999995</v>
      </c>
      <c r="H11" s="78">
        <v>5</v>
      </c>
      <c r="I11" s="6">
        <v>103.26</v>
      </c>
      <c r="J11" s="79">
        <f t="shared" si="1"/>
        <v>516.30000000000007</v>
      </c>
      <c r="K11" s="79">
        <f t="shared" si="2"/>
        <v>4516.5539999999992</v>
      </c>
      <c r="L11" s="186">
        <f t="shared" si="3"/>
        <v>4516.5539999999992</v>
      </c>
      <c r="M11" s="172">
        <f t="shared" si="4"/>
        <v>0</v>
      </c>
      <c r="N11" s="55" t="s">
        <v>129</v>
      </c>
      <c r="O11" s="5"/>
    </row>
    <row r="12" spans="1:15">
      <c r="A12" s="55">
        <v>9</v>
      </c>
      <c r="B12" s="270" t="s">
        <v>144</v>
      </c>
      <c r="C12" s="6"/>
      <c r="D12" s="6"/>
      <c r="E12" s="78">
        <v>0</v>
      </c>
      <c r="F12" s="6">
        <v>0</v>
      </c>
      <c r="G12" s="79">
        <f t="shared" si="0"/>
        <v>0</v>
      </c>
      <c r="H12" s="78">
        <v>2</v>
      </c>
      <c r="I12" s="6">
        <v>103.26</v>
      </c>
      <c r="J12" s="79">
        <f t="shared" si="1"/>
        <v>206.52</v>
      </c>
      <c r="K12" s="79">
        <f t="shared" si="2"/>
        <v>206.52</v>
      </c>
      <c r="L12" s="186">
        <f t="shared" si="3"/>
        <v>206.52</v>
      </c>
      <c r="M12" s="172">
        <f t="shared" si="4"/>
        <v>0</v>
      </c>
      <c r="N12" s="55" t="s">
        <v>129</v>
      </c>
      <c r="O12" s="5"/>
    </row>
    <row r="13" spans="1:15">
      <c r="A13" s="55">
        <v>10</v>
      </c>
      <c r="B13" s="270" t="s">
        <v>145</v>
      </c>
      <c r="C13" s="6"/>
      <c r="D13" s="6"/>
      <c r="E13" s="78">
        <v>10</v>
      </c>
      <c r="F13" s="6">
        <v>91.33</v>
      </c>
      <c r="G13" s="79">
        <f t="shared" si="0"/>
        <v>913.3</v>
      </c>
      <c r="H13" s="78">
        <v>0</v>
      </c>
      <c r="I13" s="6">
        <v>0</v>
      </c>
      <c r="J13" s="79">
        <f t="shared" si="1"/>
        <v>0</v>
      </c>
      <c r="K13" s="79">
        <f t="shared" si="2"/>
        <v>913.3</v>
      </c>
      <c r="L13" s="186">
        <f t="shared" si="3"/>
        <v>913.3</v>
      </c>
      <c r="M13" s="172">
        <f t="shared" si="4"/>
        <v>0</v>
      </c>
      <c r="N13" s="55" t="s">
        <v>129</v>
      </c>
      <c r="O13" s="5"/>
    </row>
    <row r="14" spans="1:15">
      <c r="A14" s="55">
        <v>11</v>
      </c>
      <c r="B14" s="270" t="s">
        <v>154</v>
      </c>
      <c r="C14" s="6"/>
      <c r="D14" s="6"/>
      <c r="E14" s="78">
        <v>101.39</v>
      </c>
      <c r="F14" s="6">
        <v>91.33</v>
      </c>
      <c r="G14" s="79">
        <f t="shared" si="0"/>
        <v>9259.948699999999</v>
      </c>
      <c r="H14" s="78">
        <v>8.32</v>
      </c>
      <c r="I14" s="6">
        <v>103.26</v>
      </c>
      <c r="J14" s="79">
        <f t="shared" si="1"/>
        <v>859.12320000000011</v>
      </c>
      <c r="K14" s="79">
        <f t="shared" si="2"/>
        <v>10119.071899999999</v>
      </c>
      <c r="L14" s="186">
        <f t="shared" si="3"/>
        <v>10119.071899999999</v>
      </c>
      <c r="M14" s="172">
        <f t="shared" si="4"/>
        <v>0</v>
      </c>
      <c r="N14" s="55" t="s">
        <v>129</v>
      </c>
      <c r="O14" s="5"/>
    </row>
    <row r="15" spans="1:15">
      <c r="A15" s="55">
        <v>12</v>
      </c>
      <c r="B15" s="270" t="s">
        <v>155</v>
      </c>
      <c r="C15" s="6"/>
      <c r="D15" s="6"/>
      <c r="E15" s="78">
        <v>0</v>
      </c>
      <c r="F15" s="6">
        <v>0</v>
      </c>
      <c r="G15" s="79">
        <f t="shared" si="0"/>
        <v>0</v>
      </c>
      <c r="H15" s="78">
        <v>4.38</v>
      </c>
      <c r="I15" s="6">
        <v>103.26</v>
      </c>
      <c r="J15" s="79">
        <f t="shared" si="1"/>
        <v>452.27879999999999</v>
      </c>
      <c r="K15" s="79">
        <f t="shared" si="2"/>
        <v>452.27879999999999</v>
      </c>
      <c r="L15" s="186">
        <f t="shared" si="3"/>
        <v>452.27879999999999</v>
      </c>
      <c r="M15" s="172">
        <f t="shared" si="4"/>
        <v>0</v>
      </c>
      <c r="N15" s="55" t="s">
        <v>129</v>
      </c>
      <c r="O15" s="5"/>
    </row>
    <row r="16" spans="1:15">
      <c r="A16" s="55">
        <v>13</v>
      </c>
      <c r="B16" s="270" t="s">
        <v>149</v>
      </c>
      <c r="C16" s="6"/>
      <c r="D16" s="6"/>
      <c r="E16" s="78">
        <v>105</v>
      </c>
      <c r="F16" s="6">
        <v>91.33</v>
      </c>
      <c r="G16" s="79">
        <f t="shared" si="0"/>
        <v>9589.65</v>
      </c>
      <c r="H16" s="78">
        <v>0</v>
      </c>
      <c r="I16" s="6">
        <v>0</v>
      </c>
      <c r="J16" s="79">
        <f t="shared" si="1"/>
        <v>0</v>
      </c>
      <c r="K16" s="79">
        <f t="shared" si="2"/>
        <v>9589.65</v>
      </c>
      <c r="L16" s="186">
        <f t="shared" si="3"/>
        <v>9589.65</v>
      </c>
      <c r="M16" s="172">
        <f t="shared" si="4"/>
        <v>0</v>
      </c>
      <c r="N16" s="55" t="s">
        <v>129</v>
      </c>
      <c r="O16" s="5"/>
    </row>
    <row r="17" spans="1:15">
      <c r="A17" s="55">
        <v>14</v>
      </c>
      <c r="B17" s="270"/>
      <c r="C17" s="6"/>
      <c r="D17" s="6"/>
      <c r="E17" s="78">
        <v>0</v>
      </c>
      <c r="F17" s="6">
        <v>0</v>
      </c>
      <c r="G17" s="79">
        <f t="shared" si="0"/>
        <v>0</v>
      </c>
      <c r="H17" s="78">
        <v>0</v>
      </c>
      <c r="I17" s="6">
        <v>0</v>
      </c>
      <c r="J17" s="79">
        <f t="shared" si="1"/>
        <v>0</v>
      </c>
      <c r="K17" s="79">
        <f t="shared" si="2"/>
        <v>0</v>
      </c>
      <c r="L17" s="186">
        <f t="shared" si="3"/>
        <v>0</v>
      </c>
      <c r="M17" s="172">
        <f t="shared" si="4"/>
        <v>0</v>
      </c>
      <c r="N17" s="55" t="s">
        <v>129</v>
      </c>
      <c r="O17" s="5"/>
    </row>
    <row r="18" spans="1:15">
      <c r="A18" s="55">
        <v>15</v>
      </c>
      <c r="B18" s="270"/>
      <c r="C18" s="6"/>
      <c r="D18" s="6"/>
      <c r="E18" s="78">
        <v>0</v>
      </c>
      <c r="F18" s="6">
        <v>0</v>
      </c>
      <c r="G18" s="79">
        <f t="shared" si="0"/>
        <v>0</v>
      </c>
      <c r="H18" s="78">
        <v>0</v>
      </c>
      <c r="I18" s="6">
        <v>0</v>
      </c>
      <c r="J18" s="79">
        <f t="shared" si="1"/>
        <v>0</v>
      </c>
      <c r="K18" s="79">
        <f t="shared" si="2"/>
        <v>0</v>
      </c>
      <c r="L18" s="186">
        <f t="shared" si="3"/>
        <v>0</v>
      </c>
      <c r="M18" s="172">
        <f t="shared" si="4"/>
        <v>0</v>
      </c>
      <c r="N18" s="55" t="s">
        <v>129</v>
      </c>
      <c r="O18" s="5"/>
    </row>
    <row r="19" spans="1:15">
      <c r="A19" s="55">
        <v>16</v>
      </c>
      <c r="B19" s="270"/>
      <c r="C19" s="6"/>
      <c r="D19" s="6"/>
      <c r="E19" s="78">
        <v>0</v>
      </c>
      <c r="F19" s="6">
        <v>0</v>
      </c>
      <c r="G19" s="79">
        <f t="shared" si="0"/>
        <v>0</v>
      </c>
      <c r="H19" s="78">
        <v>0</v>
      </c>
      <c r="I19" s="6">
        <v>0</v>
      </c>
      <c r="J19" s="79">
        <f t="shared" si="1"/>
        <v>0</v>
      </c>
      <c r="K19" s="79">
        <f t="shared" si="2"/>
        <v>0</v>
      </c>
      <c r="L19" s="186">
        <f t="shared" si="3"/>
        <v>0</v>
      </c>
      <c r="M19" s="172">
        <f t="shared" si="4"/>
        <v>0</v>
      </c>
      <c r="N19" s="55" t="s">
        <v>129</v>
      </c>
      <c r="O19" s="5"/>
    </row>
    <row r="20" spans="1:15">
      <c r="A20" s="55">
        <v>17</v>
      </c>
      <c r="B20" s="270"/>
      <c r="C20" s="6"/>
      <c r="D20" s="6"/>
      <c r="E20" s="78">
        <v>0</v>
      </c>
      <c r="F20" s="6">
        <v>0</v>
      </c>
      <c r="G20" s="79">
        <f t="shared" si="0"/>
        <v>0</v>
      </c>
      <c r="H20" s="78">
        <v>0</v>
      </c>
      <c r="I20" s="6">
        <v>0</v>
      </c>
      <c r="J20" s="79">
        <f t="shared" si="1"/>
        <v>0</v>
      </c>
      <c r="K20" s="79">
        <f t="shared" si="2"/>
        <v>0</v>
      </c>
      <c r="L20" s="186">
        <f t="shared" si="3"/>
        <v>0</v>
      </c>
      <c r="M20" s="172">
        <f t="shared" si="4"/>
        <v>0</v>
      </c>
      <c r="N20" s="55" t="s">
        <v>129</v>
      </c>
      <c r="O20" s="5"/>
    </row>
    <row r="21" spans="1:15">
      <c r="A21" s="55">
        <v>18</v>
      </c>
      <c r="B21" s="270"/>
      <c r="C21" s="6"/>
      <c r="D21" s="6"/>
      <c r="E21" s="78">
        <v>0</v>
      </c>
      <c r="F21" s="6">
        <v>0</v>
      </c>
      <c r="G21" s="79">
        <f t="shared" si="0"/>
        <v>0</v>
      </c>
      <c r="H21" s="78">
        <v>0</v>
      </c>
      <c r="I21" s="6">
        <v>0</v>
      </c>
      <c r="J21" s="79">
        <f t="shared" si="1"/>
        <v>0</v>
      </c>
      <c r="K21" s="79">
        <f t="shared" si="2"/>
        <v>0</v>
      </c>
      <c r="L21" s="186">
        <f t="shared" si="3"/>
        <v>0</v>
      </c>
      <c r="M21" s="172">
        <f t="shared" si="4"/>
        <v>0</v>
      </c>
      <c r="N21" s="55" t="s">
        <v>129</v>
      </c>
      <c r="O21" s="5"/>
    </row>
    <row r="22" spans="1:15">
      <c r="A22" s="55">
        <v>19</v>
      </c>
      <c r="B22" s="270"/>
      <c r="C22" s="6"/>
      <c r="D22" s="6"/>
      <c r="E22" s="78">
        <v>0</v>
      </c>
      <c r="F22" s="6">
        <v>0</v>
      </c>
      <c r="G22" s="79">
        <f t="shared" si="0"/>
        <v>0</v>
      </c>
      <c r="H22" s="78">
        <v>0</v>
      </c>
      <c r="I22" s="6">
        <v>0</v>
      </c>
      <c r="J22" s="79">
        <f t="shared" si="1"/>
        <v>0</v>
      </c>
      <c r="K22" s="79">
        <f t="shared" si="2"/>
        <v>0</v>
      </c>
      <c r="L22" s="186">
        <f t="shared" si="3"/>
        <v>0</v>
      </c>
      <c r="M22" s="172">
        <f t="shared" si="4"/>
        <v>0</v>
      </c>
      <c r="N22" s="55" t="s">
        <v>129</v>
      </c>
      <c r="O22" s="5"/>
    </row>
    <row r="23" spans="1:15">
      <c r="A23" s="55">
        <v>20</v>
      </c>
      <c r="B23" s="270"/>
      <c r="C23" s="6"/>
      <c r="D23" s="6"/>
      <c r="E23" s="78">
        <v>0</v>
      </c>
      <c r="F23" s="6">
        <v>0</v>
      </c>
      <c r="G23" s="79">
        <f t="shared" si="0"/>
        <v>0</v>
      </c>
      <c r="H23" s="78">
        <v>0</v>
      </c>
      <c r="I23" s="6">
        <v>0</v>
      </c>
      <c r="J23" s="79">
        <f t="shared" si="1"/>
        <v>0</v>
      </c>
      <c r="K23" s="79">
        <f t="shared" si="2"/>
        <v>0</v>
      </c>
      <c r="L23" s="186">
        <f t="shared" si="3"/>
        <v>0</v>
      </c>
      <c r="M23" s="172">
        <f t="shared" si="4"/>
        <v>0</v>
      </c>
      <c r="N23" s="55"/>
      <c r="O23" s="5"/>
    </row>
    <row r="24" spans="1:15">
      <c r="A24" s="55">
        <v>21</v>
      </c>
      <c r="B24" s="270"/>
      <c r="C24" s="6"/>
      <c r="D24" s="6"/>
      <c r="E24" s="78">
        <v>0</v>
      </c>
      <c r="F24" s="6">
        <v>0</v>
      </c>
      <c r="G24" s="79">
        <f t="shared" si="0"/>
        <v>0</v>
      </c>
      <c r="H24" s="78">
        <v>0</v>
      </c>
      <c r="I24" s="6">
        <v>0</v>
      </c>
      <c r="J24" s="79">
        <f t="shared" si="1"/>
        <v>0</v>
      </c>
      <c r="K24" s="79">
        <f t="shared" si="2"/>
        <v>0</v>
      </c>
      <c r="L24" s="186">
        <f t="shared" si="3"/>
        <v>0</v>
      </c>
      <c r="M24" s="172">
        <f t="shared" si="4"/>
        <v>0</v>
      </c>
      <c r="N24" s="55"/>
      <c r="O24" s="5"/>
    </row>
    <row r="25" spans="1:15">
      <c r="A25" s="55">
        <v>22</v>
      </c>
      <c r="B25" s="270"/>
      <c r="C25" s="6"/>
      <c r="D25" s="6"/>
      <c r="E25" s="78">
        <v>0</v>
      </c>
      <c r="F25" s="6">
        <v>0</v>
      </c>
      <c r="G25" s="79">
        <f t="shared" si="0"/>
        <v>0</v>
      </c>
      <c r="H25" s="78">
        <v>0</v>
      </c>
      <c r="I25" s="6">
        <v>0</v>
      </c>
      <c r="J25" s="79">
        <f t="shared" si="1"/>
        <v>0</v>
      </c>
      <c r="K25" s="79">
        <f t="shared" si="2"/>
        <v>0</v>
      </c>
      <c r="L25" s="186">
        <f t="shared" si="3"/>
        <v>0</v>
      </c>
      <c r="M25" s="172">
        <f t="shared" si="4"/>
        <v>0</v>
      </c>
      <c r="N25" s="55"/>
      <c r="O25" s="5"/>
    </row>
    <row r="26" spans="1:15">
      <c r="A26" s="55">
        <v>23</v>
      </c>
      <c r="B26" s="270"/>
      <c r="C26" s="6"/>
      <c r="D26" s="6"/>
      <c r="E26" s="78">
        <v>0</v>
      </c>
      <c r="F26" s="6">
        <v>0</v>
      </c>
      <c r="G26" s="79">
        <f t="shared" si="0"/>
        <v>0</v>
      </c>
      <c r="H26" s="78">
        <v>0</v>
      </c>
      <c r="I26" s="6">
        <v>0</v>
      </c>
      <c r="J26" s="79">
        <f t="shared" si="1"/>
        <v>0</v>
      </c>
      <c r="K26" s="79">
        <f t="shared" si="2"/>
        <v>0</v>
      </c>
      <c r="L26" s="186">
        <f t="shared" si="3"/>
        <v>0</v>
      </c>
      <c r="M26" s="172">
        <f t="shared" si="4"/>
        <v>0</v>
      </c>
      <c r="N26" s="6"/>
      <c r="O26" s="5"/>
    </row>
    <row r="27" spans="1:15">
      <c r="A27" s="55">
        <v>24</v>
      </c>
      <c r="B27" s="270"/>
      <c r="C27" s="6"/>
      <c r="D27" s="6"/>
      <c r="E27" s="78">
        <v>0</v>
      </c>
      <c r="F27" s="6">
        <v>0</v>
      </c>
      <c r="G27" s="79">
        <f t="shared" si="0"/>
        <v>0</v>
      </c>
      <c r="H27" s="78">
        <v>0</v>
      </c>
      <c r="I27" s="6">
        <v>0</v>
      </c>
      <c r="J27" s="79">
        <f t="shared" si="1"/>
        <v>0</v>
      </c>
      <c r="K27" s="79">
        <f t="shared" si="2"/>
        <v>0</v>
      </c>
      <c r="L27" s="186">
        <f t="shared" si="3"/>
        <v>0</v>
      </c>
      <c r="M27" s="172">
        <f t="shared" si="4"/>
        <v>0</v>
      </c>
      <c r="N27" s="6"/>
      <c r="O27" s="5"/>
    </row>
    <row r="28" spans="1:15">
      <c r="A28" s="272">
        <v>25</v>
      </c>
      <c r="B28" s="270"/>
      <c r="C28" s="6"/>
      <c r="D28" s="6"/>
      <c r="E28" s="78">
        <v>0</v>
      </c>
      <c r="F28" s="6">
        <v>0</v>
      </c>
      <c r="G28" s="79">
        <f t="shared" si="0"/>
        <v>0</v>
      </c>
      <c r="H28" s="78">
        <v>0</v>
      </c>
      <c r="I28" s="6">
        <v>0</v>
      </c>
      <c r="J28" s="79">
        <f t="shared" si="1"/>
        <v>0</v>
      </c>
      <c r="K28" s="79">
        <f t="shared" si="2"/>
        <v>0</v>
      </c>
      <c r="L28" s="186">
        <f t="shared" si="3"/>
        <v>0</v>
      </c>
      <c r="M28" s="172">
        <f t="shared" si="4"/>
        <v>0</v>
      </c>
      <c r="N28" s="6"/>
      <c r="O28" s="5"/>
    </row>
    <row r="29" spans="1:15">
      <c r="A29" s="272">
        <v>26</v>
      </c>
      <c r="B29" s="270"/>
      <c r="C29" s="6"/>
      <c r="D29" s="6"/>
      <c r="E29" s="78">
        <v>0</v>
      </c>
      <c r="F29" s="6">
        <v>0</v>
      </c>
      <c r="G29" s="79">
        <f t="shared" si="0"/>
        <v>0</v>
      </c>
      <c r="H29" s="78">
        <v>0</v>
      </c>
      <c r="I29" s="6">
        <v>0</v>
      </c>
      <c r="J29" s="79">
        <f t="shared" si="1"/>
        <v>0</v>
      </c>
      <c r="K29" s="79">
        <f t="shared" si="2"/>
        <v>0</v>
      </c>
      <c r="L29" s="186">
        <f t="shared" si="3"/>
        <v>0</v>
      </c>
      <c r="M29" s="172">
        <f t="shared" si="4"/>
        <v>0</v>
      </c>
      <c r="N29" s="6"/>
      <c r="O29" s="5"/>
    </row>
    <row r="30" spans="1:15">
      <c r="A30" s="272">
        <v>27</v>
      </c>
      <c r="B30" s="270"/>
      <c r="C30" s="6"/>
      <c r="D30" s="6"/>
      <c r="E30" s="78">
        <v>0</v>
      </c>
      <c r="F30" s="6">
        <v>0</v>
      </c>
      <c r="G30" s="79">
        <f t="shared" si="0"/>
        <v>0</v>
      </c>
      <c r="H30" s="78">
        <v>0</v>
      </c>
      <c r="I30" s="6">
        <v>0</v>
      </c>
      <c r="J30" s="79">
        <f t="shared" si="1"/>
        <v>0</v>
      </c>
      <c r="K30" s="79">
        <f t="shared" si="2"/>
        <v>0</v>
      </c>
      <c r="L30" s="186">
        <f t="shared" si="3"/>
        <v>0</v>
      </c>
      <c r="M30" s="172">
        <f t="shared" si="4"/>
        <v>0</v>
      </c>
      <c r="N30" s="6"/>
      <c r="O30" s="5"/>
    </row>
    <row r="31" spans="1:15">
      <c r="A31" s="272">
        <v>28</v>
      </c>
      <c r="B31" s="270"/>
      <c r="C31" s="6"/>
      <c r="D31" s="6"/>
      <c r="E31" s="78">
        <v>0</v>
      </c>
      <c r="F31" s="6">
        <v>0</v>
      </c>
      <c r="G31" s="79">
        <f t="shared" si="0"/>
        <v>0</v>
      </c>
      <c r="H31" s="78">
        <v>0</v>
      </c>
      <c r="I31" s="6">
        <v>0</v>
      </c>
      <c r="J31" s="79">
        <f t="shared" si="1"/>
        <v>0</v>
      </c>
      <c r="K31" s="79">
        <f t="shared" si="2"/>
        <v>0</v>
      </c>
      <c r="L31" s="186">
        <f t="shared" si="3"/>
        <v>0</v>
      </c>
      <c r="M31" s="172">
        <f t="shared" si="4"/>
        <v>0</v>
      </c>
      <c r="N31" s="6"/>
      <c r="O31" s="5"/>
    </row>
    <row r="32" spans="1:15">
      <c r="A32" s="273">
        <v>29</v>
      </c>
      <c r="B32" s="270"/>
      <c r="C32" s="6"/>
      <c r="D32" s="6"/>
      <c r="E32" s="78">
        <v>0</v>
      </c>
      <c r="F32" s="6">
        <v>0</v>
      </c>
      <c r="G32" s="79">
        <f t="shared" si="0"/>
        <v>0</v>
      </c>
      <c r="H32" s="78">
        <v>0</v>
      </c>
      <c r="I32" s="6">
        <v>0</v>
      </c>
      <c r="J32" s="79">
        <f t="shared" si="1"/>
        <v>0</v>
      </c>
      <c r="K32" s="79">
        <f t="shared" si="2"/>
        <v>0</v>
      </c>
      <c r="L32" s="186">
        <f t="shared" si="3"/>
        <v>0</v>
      </c>
      <c r="M32" s="172">
        <v>0</v>
      </c>
      <c r="N32" s="6"/>
      <c r="O32" s="5"/>
    </row>
    <row r="33" spans="1:15">
      <c r="A33" s="273">
        <v>30</v>
      </c>
      <c r="B33" s="270"/>
      <c r="C33" s="6"/>
      <c r="D33" s="6"/>
      <c r="E33" s="78">
        <v>0</v>
      </c>
      <c r="F33" s="6">
        <v>0</v>
      </c>
      <c r="G33" s="79">
        <f t="shared" si="0"/>
        <v>0</v>
      </c>
      <c r="H33" s="78">
        <v>0</v>
      </c>
      <c r="I33" s="6">
        <v>0</v>
      </c>
      <c r="J33" s="79">
        <f t="shared" si="1"/>
        <v>0</v>
      </c>
      <c r="K33" s="79">
        <f t="shared" si="2"/>
        <v>0</v>
      </c>
      <c r="L33" s="186">
        <f t="shared" si="3"/>
        <v>0</v>
      </c>
      <c r="M33" s="172">
        <v>0</v>
      </c>
      <c r="N33" s="6"/>
      <c r="O33" s="5"/>
    </row>
    <row r="34" spans="1:15">
      <c r="A34" s="273">
        <v>31</v>
      </c>
      <c r="B34" s="270"/>
      <c r="C34" s="6"/>
      <c r="D34" s="6"/>
      <c r="E34" s="78">
        <v>0</v>
      </c>
      <c r="F34" s="6">
        <v>0</v>
      </c>
      <c r="G34" s="79">
        <f t="shared" si="0"/>
        <v>0</v>
      </c>
      <c r="H34" s="78">
        <v>0</v>
      </c>
      <c r="I34" s="6">
        <v>0</v>
      </c>
      <c r="J34" s="79">
        <f t="shared" si="1"/>
        <v>0</v>
      </c>
      <c r="K34" s="79">
        <f t="shared" si="2"/>
        <v>0</v>
      </c>
      <c r="L34" s="186">
        <f t="shared" si="3"/>
        <v>0</v>
      </c>
      <c r="M34" s="172">
        <v>0</v>
      </c>
      <c r="N34" s="6"/>
      <c r="O34" s="5"/>
    </row>
    <row r="35" spans="1:15">
      <c r="A35" s="6">
        <v>35</v>
      </c>
      <c r="B35" s="92"/>
      <c r="C35" s="6"/>
      <c r="D35" s="6"/>
      <c r="E35" s="78">
        <v>0</v>
      </c>
      <c r="F35" s="6">
        <v>0</v>
      </c>
      <c r="G35" s="79">
        <f t="shared" si="0"/>
        <v>0</v>
      </c>
      <c r="H35" s="78">
        <v>0</v>
      </c>
      <c r="I35" s="6">
        <v>0</v>
      </c>
      <c r="J35" s="79">
        <f t="shared" si="1"/>
        <v>0</v>
      </c>
      <c r="K35" s="79">
        <f t="shared" si="2"/>
        <v>0</v>
      </c>
      <c r="L35" s="186">
        <f t="shared" si="3"/>
        <v>0</v>
      </c>
      <c r="M35" s="172">
        <v>0</v>
      </c>
      <c r="N35" s="6"/>
      <c r="O35" s="5"/>
    </row>
    <row r="36" spans="1:15">
      <c r="A36" s="6">
        <v>36</v>
      </c>
      <c r="B36" s="92"/>
      <c r="C36" s="6"/>
      <c r="D36" s="6"/>
      <c r="E36" s="78">
        <v>0</v>
      </c>
      <c r="F36" s="6">
        <v>0</v>
      </c>
      <c r="G36" s="79">
        <f t="shared" si="0"/>
        <v>0</v>
      </c>
      <c r="H36" s="78">
        <v>0</v>
      </c>
      <c r="I36" s="6">
        <v>0</v>
      </c>
      <c r="J36" s="79">
        <f t="shared" si="1"/>
        <v>0</v>
      </c>
      <c r="K36" s="79">
        <f t="shared" si="2"/>
        <v>0</v>
      </c>
      <c r="L36" s="186">
        <f t="shared" si="3"/>
        <v>0</v>
      </c>
      <c r="M36" s="172">
        <v>0</v>
      </c>
      <c r="N36" s="6"/>
      <c r="O36" s="5"/>
    </row>
    <row r="37" spans="1:15">
      <c r="A37" s="6">
        <v>37</v>
      </c>
      <c r="B37" s="92"/>
      <c r="C37" s="6"/>
      <c r="D37" s="6"/>
      <c r="E37" s="78">
        <v>0</v>
      </c>
      <c r="F37" s="6">
        <v>0</v>
      </c>
      <c r="G37" s="79">
        <f t="shared" si="0"/>
        <v>0</v>
      </c>
      <c r="H37" s="78">
        <v>0</v>
      </c>
      <c r="I37" s="6">
        <v>0</v>
      </c>
      <c r="J37" s="79">
        <f t="shared" si="1"/>
        <v>0</v>
      </c>
      <c r="K37" s="79">
        <f t="shared" si="2"/>
        <v>0</v>
      </c>
      <c r="L37" s="186">
        <f t="shared" si="3"/>
        <v>0</v>
      </c>
      <c r="M37" s="172">
        <v>0</v>
      </c>
      <c r="N37" s="6"/>
      <c r="O37" s="5"/>
    </row>
    <row r="38" spans="1:15">
      <c r="A38" s="6">
        <v>38</v>
      </c>
      <c r="B38" s="92"/>
      <c r="C38" s="6"/>
      <c r="D38" s="6"/>
      <c r="E38" s="78">
        <v>0</v>
      </c>
      <c r="F38" s="6">
        <v>0</v>
      </c>
      <c r="G38" s="79">
        <f t="shared" si="0"/>
        <v>0</v>
      </c>
      <c r="H38" s="78">
        <v>0</v>
      </c>
      <c r="I38" s="6">
        <v>0</v>
      </c>
      <c r="J38" s="79">
        <f t="shared" si="1"/>
        <v>0</v>
      </c>
      <c r="K38" s="79">
        <f t="shared" si="2"/>
        <v>0</v>
      </c>
      <c r="L38" s="186">
        <f t="shared" si="3"/>
        <v>0</v>
      </c>
      <c r="M38" s="172">
        <v>0</v>
      </c>
      <c r="N38" s="6"/>
      <c r="O38" s="5"/>
    </row>
    <row r="39" spans="1:15">
      <c r="A39" s="196">
        <v>39</v>
      </c>
      <c r="B39" s="197"/>
      <c r="C39" s="196"/>
      <c r="D39" s="6"/>
      <c r="E39" s="78">
        <v>0</v>
      </c>
      <c r="F39" s="6">
        <v>0</v>
      </c>
      <c r="G39" s="79">
        <f t="shared" si="0"/>
        <v>0</v>
      </c>
      <c r="H39" s="78">
        <v>0</v>
      </c>
      <c r="I39" s="6">
        <v>0</v>
      </c>
      <c r="J39" s="79">
        <f t="shared" si="1"/>
        <v>0</v>
      </c>
      <c r="K39" s="79">
        <f t="shared" si="2"/>
        <v>0</v>
      </c>
      <c r="L39" s="186">
        <f t="shared" si="3"/>
        <v>0</v>
      </c>
      <c r="M39" s="200">
        <v>0</v>
      </c>
      <c r="N39" s="196"/>
      <c r="O39" s="5"/>
    </row>
    <row r="40" spans="1:15">
      <c r="A40" s="6">
        <v>40</v>
      </c>
      <c r="B40" s="6"/>
      <c r="C40" s="6"/>
      <c r="D40" s="6"/>
      <c r="E40" s="78">
        <v>0</v>
      </c>
      <c r="F40" s="6">
        <v>0</v>
      </c>
      <c r="G40" s="79">
        <f t="shared" si="0"/>
        <v>0</v>
      </c>
      <c r="H40" s="78">
        <v>0</v>
      </c>
      <c r="I40" s="6">
        <v>0</v>
      </c>
      <c r="J40" s="79">
        <f t="shared" si="1"/>
        <v>0</v>
      </c>
      <c r="K40" s="79">
        <f t="shared" si="2"/>
        <v>0</v>
      </c>
      <c r="L40" s="186">
        <f t="shared" si="3"/>
        <v>0</v>
      </c>
      <c r="M40" s="172">
        <v>0</v>
      </c>
      <c r="N40" s="6"/>
      <c r="O40" s="5"/>
    </row>
    <row r="41" spans="1:15">
      <c r="A41" s="196">
        <v>41</v>
      </c>
      <c r="B41" s="196"/>
      <c r="C41" s="196"/>
      <c r="D41" s="6"/>
      <c r="E41" s="78">
        <v>0</v>
      </c>
      <c r="F41" s="6">
        <v>0</v>
      </c>
      <c r="G41" s="79">
        <f t="shared" si="0"/>
        <v>0</v>
      </c>
      <c r="H41" s="78">
        <v>0</v>
      </c>
      <c r="I41" s="6">
        <v>0</v>
      </c>
      <c r="J41" s="79">
        <f t="shared" si="1"/>
        <v>0</v>
      </c>
      <c r="K41" s="79">
        <f t="shared" si="2"/>
        <v>0</v>
      </c>
      <c r="L41" s="186">
        <f t="shared" si="3"/>
        <v>0</v>
      </c>
      <c r="M41" s="200">
        <v>0</v>
      </c>
      <c r="N41" s="196"/>
      <c r="O41" s="5"/>
    </row>
    <row r="42" spans="1:15">
      <c r="A42" s="196">
        <v>42</v>
      </c>
      <c r="B42" s="196"/>
      <c r="C42" s="196"/>
      <c r="D42" s="6"/>
      <c r="E42" s="78">
        <v>0</v>
      </c>
      <c r="F42" s="6">
        <v>0</v>
      </c>
      <c r="G42" s="79">
        <f t="shared" ref="G5:G42" si="5">E42*F42</f>
        <v>0</v>
      </c>
      <c r="H42" s="78"/>
      <c r="I42" s="6"/>
      <c r="J42" s="79">
        <f t="shared" ref="J5:J42" si="6">H42*I42</f>
        <v>0</v>
      </c>
      <c r="K42" s="198">
        <f t="shared" ref="K5:K42" si="7">G42+J42</f>
        <v>0</v>
      </c>
      <c r="L42" s="199">
        <f t="shared" ref="L5:L42" si="8">+K42</f>
        <v>0</v>
      </c>
      <c r="M42" s="200">
        <v>0</v>
      </c>
      <c r="N42" s="196"/>
      <c r="O42" s="5"/>
    </row>
    <row r="43" spans="1:15">
      <c r="A43" s="75"/>
      <c r="B43" s="75"/>
      <c r="C43" s="75"/>
      <c r="D43" s="75"/>
      <c r="E43" s="76">
        <f>SUM(E4:E42)</f>
        <v>295.22000000000003</v>
      </c>
      <c r="F43" s="76"/>
      <c r="G43" s="76">
        <f>SUM(G4:G42)</f>
        <v>26962.442599999995</v>
      </c>
      <c r="H43" s="76">
        <f>SUM(H4:H42)</f>
        <v>50.620000000000005</v>
      </c>
      <c r="I43" s="76"/>
      <c r="J43" s="76">
        <f>SUM(J4:J42)</f>
        <v>5227.021200000001</v>
      </c>
      <c r="K43" s="76">
        <f>SUM(K4:K42)</f>
        <v>32189.463799999998</v>
      </c>
      <c r="L43" s="76">
        <f>SUM(L4:L42)</f>
        <v>32189.463799999998</v>
      </c>
      <c r="M43" s="76"/>
      <c r="N43" s="76"/>
      <c r="O43" s="72"/>
    </row>
    <row r="44" spans="1:15">
      <c r="A44" s="5"/>
      <c r="B44" s="5"/>
      <c r="C44" s="5"/>
      <c r="D44" s="5"/>
      <c r="E44" s="5"/>
      <c r="F44" s="5"/>
      <c r="G44" s="117"/>
      <c r="H44" s="5"/>
      <c r="I44" s="5"/>
      <c r="J44" s="117"/>
      <c r="K44" s="5"/>
      <c r="L44" s="117"/>
      <c r="M44" s="117"/>
      <c r="N44" s="5"/>
      <c r="O44" s="5"/>
    </row>
    <row r="45" spans="1:15">
      <c r="A45" s="5"/>
      <c r="B45" s="5"/>
      <c r="C45" s="5"/>
      <c r="D45" s="5"/>
      <c r="E45" s="5"/>
      <c r="F45" s="5"/>
      <c r="G45" s="117"/>
      <c r="H45" s="5"/>
      <c r="I45" s="5"/>
      <c r="J45" s="117"/>
      <c r="K45" s="5"/>
      <c r="L45" s="117"/>
      <c r="M45" s="117"/>
      <c r="N45" s="5"/>
      <c r="O45" s="5"/>
    </row>
    <row r="46" spans="1:15">
      <c r="L46">
        <v>41648.541499999999</v>
      </c>
    </row>
    <row r="47" spans="1:15">
      <c r="L47" s="201">
        <f>L43+L46</f>
        <v>73838.00529999999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S43"/>
  <sheetViews>
    <sheetView workbookViewId="0">
      <pane ySplit="2" topLeftCell="A14" activePane="bottomLeft" state="frozen"/>
      <selection pane="bottomLeft" activeCell="D9" sqref="D9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5.42578125" customWidth="1"/>
    <col min="5" max="5" width="10.7109375" bestFit="1" customWidth="1"/>
    <col min="6" max="6" width="11.85546875" customWidth="1"/>
    <col min="7" max="7" width="11.8554687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  <col min="17" max="17" width="9.5703125" bestFit="1" customWidth="1"/>
    <col min="19" max="19" width="11.42578125" bestFit="1" customWidth="1"/>
  </cols>
  <sheetData>
    <row r="1" spans="1:19" s="107" customFormat="1" ht="15.75" customHeight="1">
      <c r="A1" s="469" t="s">
        <v>50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9">
      <c r="A2" s="77" t="s">
        <v>99</v>
      </c>
      <c r="B2" s="77" t="s">
        <v>100</v>
      </c>
      <c r="C2" s="77" t="s">
        <v>101</v>
      </c>
      <c r="D2" s="77" t="s">
        <v>102</v>
      </c>
      <c r="E2" s="106" t="s">
        <v>103</v>
      </c>
      <c r="F2" s="106" t="s">
        <v>104</v>
      </c>
      <c r="G2" s="106" t="s">
        <v>105</v>
      </c>
      <c r="H2" s="106" t="s">
        <v>106</v>
      </c>
      <c r="I2" s="106" t="s">
        <v>104</v>
      </c>
      <c r="J2" s="106" t="s">
        <v>105</v>
      </c>
      <c r="K2" s="106" t="s">
        <v>107</v>
      </c>
      <c r="L2" s="99" t="s">
        <v>108</v>
      </c>
      <c r="M2" s="99" t="s">
        <v>114</v>
      </c>
      <c r="N2" s="77" t="s">
        <v>110</v>
      </c>
    </row>
    <row r="3" spans="1:19">
      <c r="A3" s="19"/>
      <c r="B3" s="19"/>
      <c r="C3" s="19"/>
      <c r="D3" s="19" t="s">
        <v>111</v>
      </c>
      <c r="E3" s="19"/>
      <c r="F3" s="19"/>
      <c r="G3" s="19"/>
      <c r="H3" s="19"/>
      <c r="I3" s="19"/>
      <c r="J3" s="19"/>
      <c r="K3" s="46">
        <v>58857</v>
      </c>
      <c r="L3" s="19"/>
      <c r="M3" s="46">
        <f>+K3</f>
        <v>58857</v>
      </c>
      <c r="N3" s="19"/>
    </row>
    <row r="4" spans="1:19">
      <c r="A4" s="28">
        <v>1</v>
      </c>
      <c r="B4" s="29">
        <v>45778</v>
      </c>
      <c r="C4" s="19"/>
      <c r="D4" s="19"/>
      <c r="E4" s="108">
        <v>0</v>
      </c>
      <c r="F4" s="108">
        <v>0</v>
      </c>
      <c r="G4" s="46">
        <f>E4*F4</f>
        <v>0</v>
      </c>
      <c r="H4" s="53">
        <v>0</v>
      </c>
      <c r="I4" s="53">
        <v>0</v>
      </c>
      <c r="J4" s="46">
        <f>H4*I4</f>
        <v>0</v>
      </c>
      <c r="K4" s="46">
        <f>G4+J4</f>
        <v>0</v>
      </c>
      <c r="L4" s="46">
        <v>0</v>
      </c>
      <c r="M4" s="46">
        <f>M3+K4-L4</f>
        <v>58857</v>
      </c>
      <c r="N4" s="19"/>
      <c r="S4" s="46">
        <v>0</v>
      </c>
    </row>
    <row r="5" spans="1:19">
      <c r="A5" s="28">
        <v>2</v>
      </c>
      <c r="B5" s="29">
        <v>45779</v>
      </c>
      <c r="C5" s="19"/>
      <c r="D5" s="19"/>
      <c r="E5" s="108">
        <v>857</v>
      </c>
      <c r="F5" s="108">
        <v>91.26</v>
      </c>
      <c r="G5" s="46">
        <f t="shared" ref="G5:G38" si="0">E5*F5</f>
        <v>78209.820000000007</v>
      </c>
      <c r="H5" s="53">
        <v>7</v>
      </c>
      <c r="I5" s="53">
        <v>103.18</v>
      </c>
      <c r="J5" s="46">
        <f t="shared" ref="J5:J38" si="1">H5*I5</f>
        <v>722.26</v>
      </c>
      <c r="K5" s="46">
        <f t="shared" ref="K5:K38" si="2">G5+J5</f>
        <v>78932.08</v>
      </c>
      <c r="L5" s="193">
        <v>0</v>
      </c>
      <c r="M5" s="46">
        <f>M4+K5-L5</f>
        <v>137789.08000000002</v>
      </c>
      <c r="N5" s="19"/>
      <c r="S5" s="46">
        <v>0</v>
      </c>
    </row>
    <row r="6" spans="1:19">
      <c r="A6" s="28">
        <v>3</v>
      </c>
      <c r="B6" s="29">
        <v>45780</v>
      </c>
      <c r="C6" s="19"/>
      <c r="D6" s="19"/>
      <c r="E6" s="108">
        <v>435</v>
      </c>
      <c r="F6" s="108">
        <v>91.26</v>
      </c>
      <c r="G6" s="46">
        <f t="shared" si="0"/>
        <v>39698.100000000006</v>
      </c>
      <c r="H6" s="53">
        <v>0</v>
      </c>
      <c r="I6" s="53">
        <v>0</v>
      </c>
      <c r="J6" s="46">
        <f t="shared" si="1"/>
        <v>0</v>
      </c>
      <c r="K6" s="46">
        <f t="shared" si="2"/>
        <v>39698.100000000006</v>
      </c>
      <c r="L6" s="193">
        <f t="shared" ref="L5:L34" si="3">+K6</f>
        <v>39698.100000000006</v>
      </c>
      <c r="M6" s="46">
        <f>M5+K6-L6</f>
        <v>137789.08000000002</v>
      </c>
      <c r="N6" s="19"/>
      <c r="S6" s="46">
        <v>39698.100000000006</v>
      </c>
    </row>
    <row r="7" spans="1:19">
      <c r="A7" s="28">
        <v>4</v>
      </c>
      <c r="B7" s="29">
        <v>45780</v>
      </c>
      <c r="C7" s="19"/>
      <c r="D7" s="403" t="s">
        <v>120</v>
      </c>
      <c r="E7" s="108">
        <v>100</v>
      </c>
      <c r="F7" s="108">
        <v>91.18</v>
      </c>
      <c r="G7" s="46">
        <f>E7*F7</f>
        <v>9118</v>
      </c>
      <c r="H7" s="53">
        <v>0</v>
      </c>
      <c r="I7" s="53">
        <v>0</v>
      </c>
      <c r="J7" s="46">
        <f>H7*I7</f>
        <v>0</v>
      </c>
      <c r="K7" s="46">
        <f>G7+J7</f>
        <v>9118</v>
      </c>
      <c r="L7" s="193">
        <f>+K7</f>
        <v>9118</v>
      </c>
      <c r="M7" s="46">
        <f>M6+K7-L7</f>
        <v>137789.08000000002</v>
      </c>
      <c r="N7" s="19"/>
      <c r="S7" s="400">
        <f>+R7</f>
        <v>0</v>
      </c>
    </row>
    <row r="8" spans="1:19">
      <c r="A8" s="28">
        <v>5</v>
      </c>
      <c r="B8" s="29">
        <v>45781</v>
      </c>
      <c r="C8" s="19"/>
      <c r="D8" s="19">
        <v>540</v>
      </c>
      <c r="E8" s="401">
        <v>540</v>
      </c>
      <c r="F8" s="108">
        <v>91.26</v>
      </c>
      <c r="G8" s="46">
        <f t="shared" si="0"/>
        <v>49280.4</v>
      </c>
      <c r="H8" s="53">
        <v>5</v>
      </c>
      <c r="I8" s="53">
        <v>103.18</v>
      </c>
      <c r="J8" s="46">
        <f t="shared" si="1"/>
        <v>515.90000000000009</v>
      </c>
      <c r="K8" s="46">
        <f t="shared" si="2"/>
        <v>49796.3</v>
      </c>
      <c r="L8" s="193">
        <v>100000</v>
      </c>
      <c r="M8" s="46">
        <f>M7+K8-L8</f>
        <v>87585.38</v>
      </c>
      <c r="N8" s="19"/>
      <c r="S8" s="46">
        <v>100000</v>
      </c>
    </row>
    <row r="9" spans="1:19">
      <c r="A9" s="28">
        <v>6</v>
      </c>
      <c r="B9" s="29">
        <v>45782</v>
      </c>
      <c r="C9" s="19"/>
      <c r="D9" s="19"/>
      <c r="E9" s="108">
        <v>607</v>
      </c>
      <c r="F9" s="108">
        <v>91.26</v>
      </c>
      <c r="G9" s="46">
        <f t="shared" si="0"/>
        <v>55394.82</v>
      </c>
      <c r="H9" s="53">
        <v>10</v>
      </c>
      <c r="I9" s="53">
        <v>103.18</v>
      </c>
      <c r="J9" s="46">
        <f t="shared" si="1"/>
        <v>1031.8000000000002</v>
      </c>
      <c r="K9" s="46">
        <f t="shared" si="2"/>
        <v>56426.62</v>
      </c>
      <c r="L9" s="193">
        <v>0</v>
      </c>
      <c r="M9" s="46">
        <f>M8+K9-L9</f>
        <v>144012</v>
      </c>
      <c r="N9" s="19"/>
      <c r="S9" s="46">
        <v>0</v>
      </c>
    </row>
    <row r="10" spans="1:19">
      <c r="A10" s="28">
        <v>7</v>
      </c>
      <c r="B10" s="29">
        <v>45783</v>
      </c>
      <c r="C10" s="19"/>
      <c r="D10" s="19"/>
      <c r="E10" s="108">
        <v>650</v>
      </c>
      <c r="F10" s="108">
        <v>91.26</v>
      </c>
      <c r="G10" s="46">
        <f t="shared" si="0"/>
        <v>59319</v>
      </c>
      <c r="H10" s="53">
        <v>10</v>
      </c>
      <c r="I10" s="53">
        <v>103.18</v>
      </c>
      <c r="J10" s="46">
        <f t="shared" si="1"/>
        <v>1031.8000000000002</v>
      </c>
      <c r="K10" s="46">
        <f t="shared" si="2"/>
        <v>60350.8</v>
      </c>
      <c r="L10" s="193">
        <v>0</v>
      </c>
      <c r="M10" s="46">
        <f>M9+K10-L10</f>
        <v>204362.8</v>
      </c>
      <c r="N10" s="19"/>
      <c r="S10" s="46">
        <v>0</v>
      </c>
    </row>
    <row r="11" spans="1:19">
      <c r="A11" s="28">
        <v>8</v>
      </c>
      <c r="B11" s="29">
        <v>45784</v>
      </c>
      <c r="C11" s="19"/>
      <c r="D11" s="19"/>
      <c r="E11" s="108">
        <v>635</v>
      </c>
      <c r="F11" s="108">
        <v>91.26</v>
      </c>
      <c r="G11" s="46">
        <f t="shared" si="0"/>
        <v>57950.100000000006</v>
      </c>
      <c r="H11" s="53">
        <v>0</v>
      </c>
      <c r="I11" s="53">
        <v>0</v>
      </c>
      <c r="J11" s="46">
        <f t="shared" si="1"/>
        <v>0</v>
      </c>
      <c r="K11" s="46">
        <f t="shared" si="2"/>
        <v>57950.100000000006</v>
      </c>
      <c r="L11" s="193">
        <v>203331</v>
      </c>
      <c r="M11" s="46">
        <f>M10+K11-L11</f>
        <v>58981.900000000023</v>
      </c>
      <c r="N11" s="19"/>
      <c r="S11" s="46">
        <v>203331</v>
      </c>
    </row>
    <row r="12" spans="1:19">
      <c r="A12" s="28">
        <v>9</v>
      </c>
      <c r="B12" s="29">
        <v>45785</v>
      </c>
      <c r="C12" s="19"/>
      <c r="D12" s="19"/>
      <c r="E12" s="108">
        <v>1046</v>
      </c>
      <c r="F12" s="108">
        <v>91.26</v>
      </c>
      <c r="G12" s="46">
        <f t="shared" si="0"/>
        <v>95457.96</v>
      </c>
      <c r="H12" s="53">
        <v>10</v>
      </c>
      <c r="I12" s="53">
        <v>103.18</v>
      </c>
      <c r="J12" s="46">
        <f t="shared" si="1"/>
        <v>1031.8000000000002</v>
      </c>
      <c r="K12" s="46">
        <f t="shared" si="2"/>
        <v>96489.760000000009</v>
      </c>
      <c r="L12" s="193">
        <v>0</v>
      </c>
      <c r="M12" s="46">
        <f>M11+K12-L12</f>
        <v>155471.66000000003</v>
      </c>
      <c r="N12" s="19"/>
      <c r="Q12">
        <v>4019</v>
      </c>
      <c r="S12" s="46">
        <v>0</v>
      </c>
    </row>
    <row r="13" spans="1:19">
      <c r="A13" s="28">
        <v>10</v>
      </c>
      <c r="B13" s="29">
        <v>45786</v>
      </c>
      <c r="C13" s="19"/>
      <c r="D13" s="19"/>
      <c r="E13" s="108">
        <v>1125</v>
      </c>
      <c r="F13" s="108">
        <v>91.26</v>
      </c>
      <c r="G13" s="46">
        <f t="shared" si="0"/>
        <v>102667.5</v>
      </c>
      <c r="H13" s="53">
        <v>0</v>
      </c>
      <c r="I13" s="53">
        <v>0</v>
      </c>
      <c r="J13" s="46">
        <f t="shared" si="1"/>
        <v>0</v>
      </c>
      <c r="K13" s="46">
        <f t="shared" si="2"/>
        <v>102667.5</v>
      </c>
      <c r="L13" s="193">
        <v>0</v>
      </c>
      <c r="M13" s="46">
        <f t="shared" ref="M13:M19" si="4">M12+K13-L13</f>
        <v>258139.16000000003</v>
      </c>
      <c r="N13" s="19"/>
      <c r="Q13">
        <v>4208</v>
      </c>
      <c r="S13" s="46">
        <v>0</v>
      </c>
    </row>
    <row r="14" spans="1:19">
      <c r="A14" s="28">
        <v>11</v>
      </c>
      <c r="B14" s="29">
        <v>45787</v>
      </c>
      <c r="C14" s="19"/>
      <c r="D14" s="19"/>
      <c r="E14" s="108">
        <v>640</v>
      </c>
      <c r="F14" s="108">
        <v>91.26</v>
      </c>
      <c r="G14" s="46">
        <f t="shared" si="0"/>
        <v>58406.400000000001</v>
      </c>
      <c r="H14" s="53">
        <v>20</v>
      </c>
      <c r="I14" s="53">
        <v>103.18</v>
      </c>
      <c r="J14" s="46">
        <f t="shared" si="1"/>
        <v>2063.6000000000004</v>
      </c>
      <c r="K14" s="46">
        <f t="shared" si="2"/>
        <v>60470</v>
      </c>
      <c r="L14" s="193">
        <v>0</v>
      </c>
      <c r="M14" s="46">
        <f>M13+K14-L14</f>
        <v>318609.16000000003</v>
      </c>
      <c r="N14" s="19"/>
      <c r="Q14">
        <f>Q13-Q12</f>
        <v>189</v>
      </c>
      <c r="S14" s="46">
        <v>0</v>
      </c>
    </row>
    <row r="15" spans="1:19">
      <c r="A15" s="28">
        <v>12</v>
      </c>
      <c r="B15" s="29">
        <v>45788</v>
      </c>
      <c r="C15" s="19"/>
      <c r="D15" s="19"/>
      <c r="E15" s="108">
        <v>825</v>
      </c>
      <c r="F15" s="108">
        <v>91.26</v>
      </c>
      <c r="G15" s="46">
        <f t="shared" si="0"/>
        <v>75289.5</v>
      </c>
      <c r="H15" s="53">
        <v>0</v>
      </c>
      <c r="I15" s="53">
        <v>0</v>
      </c>
      <c r="J15" s="46">
        <f t="shared" si="1"/>
        <v>0</v>
      </c>
      <c r="K15" s="46">
        <f t="shared" si="2"/>
        <v>75289.5</v>
      </c>
      <c r="L15" s="193">
        <v>0</v>
      </c>
      <c r="M15" s="46">
        <f t="shared" si="4"/>
        <v>393898.66000000003</v>
      </c>
      <c r="N15" s="19"/>
      <c r="S15" s="46">
        <v>0</v>
      </c>
    </row>
    <row r="16" spans="1:19">
      <c r="A16" s="28">
        <v>13</v>
      </c>
      <c r="B16" s="29">
        <v>45789</v>
      </c>
      <c r="C16" s="19"/>
      <c r="D16" s="19"/>
      <c r="E16" s="108">
        <v>1034</v>
      </c>
      <c r="F16" s="108">
        <v>91.26</v>
      </c>
      <c r="G16" s="46">
        <f t="shared" si="0"/>
        <v>94362.840000000011</v>
      </c>
      <c r="H16" s="53">
        <v>0</v>
      </c>
      <c r="I16" s="53">
        <v>0</v>
      </c>
      <c r="J16" s="46">
        <f t="shared" si="1"/>
        <v>0</v>
      </c>
      <c r="K16" s="46">
        <f t="shared" si="2"/>
        <v>94362.840000000011</v>
      </c>
      <c r="L16" s="193">
        <v>180000</v>
      </c>
      <c r="M16" s="46">
        <f t="shared" si="4"/>
        <v>308261.50000000006</v>
      </c>
      <c r="N16" s="19"/>
      <c r="S16" s="46">
        <v>180000</v>
      </c>
    </row>
    <row r="17" spans="1:19">
      <c r="A17" s="28">
        <v>14</v>
      </c>
      <c r="B17" s="29">
        <v>45790</v>
      </c>
      <c r="C17" s="19"/>
      <c r="D17" s="403" t="s">
        <v>120</v>
      </c>
      <c r="E17" s="108">
        <v>420</v>
      </c>
      <c r="F17" s="108">
        <v>91.19</v>
      </c>
      <c r="G17" s="46">
        <f t="shared" si="0"/>
        <v>38299.799999999996</v>
      </c>
      <c r="H17" s="53">
        <v>0</v>
      </c>
      <c r="I17" s="53">
        <v>0</v>
      </c>
      <c r="J17" s="46">
        <f t="shared" si="1"/>
        <v>0</v>
      </c>
      <c r="K17" s="46">
        <f t="shared" si="2"/>
        <v>38299.799999999996</v>
      </c>
      <c r="L17" s="193">
        <f t="shared" si="3"/>
        <v>38299.799999999996</v>
      </c>
      <c r="M17" s="46">
        <f t="shared" si="4"/>
        <v>308261.50000000006</v>
      </c>
      <c r="N17" s="19"/>
      <c r="S17" s="400">
        <f t="shared" ref="S6:S35" si="5">+R17</f>
        <v>0</v>
      </c>
    </row>
    <row r="18" spans="1:19">
      <c r="A18" s="28">
        <v>15</v>
      </c>
      <c r="B18" s="29">
        <v>45791</v>
      </c>
      <c r="C18" s="19"/>
      <c r="D18" s="403" t="s">
        <v>120</v>
      </c>
      <c r="E18" s="108">
        <v>700</v>
      </c>
      <c r="F18" s="108">
        <v>91.19</v>
      </c>
      <c r="G18" s="46">
        <f t="shared" si="0"/>
        <v>63833</v>
      </c>
      <c r="H18" s="53">
        <v>0</v>
      </c>
      <c r="I18" s="53">
        <v>0</v>
      </c>
      <c r="J18" s="46">
        <f t="shared" si="1"/>
        <v>0</v>
      </c>
      <c r="K18" s="46">
        <f t="shared" si="2"/>
        <v>63833</v>
      </c>
      <c r="L18" s="193">
        <f t="shared" si="3"/>
        <v>63833</v>
      </c>
      <c r="M18" s="46">
        <f t="shared" si="4"/>
        <v>308261.50000000006</v>
      </c>
      <c r="N18" s="19"/>
      <c r="S18" s="400">
        <f t="shared" si="5"/>
        <v>0</v>
      </c>
    </row>
    <row r="19" spans="1:19">
      <c r="A19" s="28">
        <v>16</v>
      </c>
      <c r="B19" s="29">
        <v>45792</v>
      </c>
      <c r="C19" s="19"/>
      <c r="D19" s="19"/>
      <c r="E19" s="108">
        <v>568.35</v>
      </c>
      <c r="F19" s="108">
        <v>91.26</v>
      </c>
      <c r="G19" s="46">
        <f t="shared" si="0"/>
        <v>51867.621000000006</v>
      </c>
      <c r="H19" s="53">
        <v>15</v>
      </c>
      <c r="I19" s="53">
        <v>103.18</v>
      </c>
      <c r="J19" s="46">
        <f t="shared" si="1"/>
        <v>1547.7</v>
      </c>
      <c r="K19" s="46">
        <f t="shared" si="2"/>
        <v>53415.321000000004</v>
      </c>
      <c r="L19" s="193">
        <v>300000</v>
      </c>
      <c r="M19" s="46">
        <f t="shared" si="4"/>
        <v>61676.821000000054</v>
      </c>
      <c r="N19" s="19"/>
      <c r="S19" s="46">
        <v>300000</v>
      </c>
    </row>
    <row r="20" spans="1:19">
      <c r="A20" s="28">
        <v>17</v>
      </c>
      <c r="B20" s="29">
        <v>45793</v>
      </c>
      <c r="C20" s="19"/>
      <c r="D20" s="19"/>
      <c r="E20" s="108">
        <v>800</v>
      </c>
      <c r="F20" s="108">
        <v>91.26</v>
      </c>
      <c r="G20" s="46">
        <f t="shared" si="0"/>
        <v>73008</v>
      </c>
      <c r="H20" s="53">
        <v>30</v>
      </c>
      <c r="I20" s="53">
        <v>103.18</v>
      </c>
      <c r="J20" s="46">
        <f t="shared" si="1"/>
        <v>3095.4</v>
      </c>
      <c r="K20" s="46">
        <f t="shared" si="2"/>
        <v>76103.399999999994</v>
      </c>
      <c r="L20" s="193">
        <v>0</v>
      </c>
      <c r="M20" s="46">
        <f>M19+K20-L20</f>
        <v>137780.22100000005</v>
      </c>
      <c r="N20" s="19"/>
      <c r="S20" s="46">
        <v>0</v>
      </c>
    </row>
    <row r="21" spans="1:19">
      <c r="A21" s="28">
        <v>18</v>
      </c>
      <c r="B21" s="29">
        <v>45794</v>
      </c>
      <c r="C21" s="19"/>
      <c r="D21" s="19"/>
      <c r="E21" s="108">
        <v>830</v>
      </c>
      <c r="F21" s="108">
        <v>91.26</v>
      </c>
      <c r="G21" s="46">
        <f t="shared" si="0"/>
        <v>75745.8</v>
      </c>
      <c r="H21" s="53">
        <v>0</v>
      </c>
      <c r="I21" s="53">
        <v>0</v>
      </c>
      <c r="J21" s="46">
        <f t="shared" si="1"/>
        <v>0</v>
      </c>
      <c r="K21" s="46">
        <f t="shared" si="2"/>
        <v>75745.8</v>
      </c>
      <c r="L21" s="193">
        <v>0</v>
      </c>
      <c r="M21" s="46">
        <f>M20+K21-L21</f>
        <v>213526.02100000007</v>
      </c>
      <c r="N21" s="19"/>
      <c r="S21" s="46">
        <v>0</v>
      </c>
    </row>
    <row r="22" spans="1:19">
      <c r="A22" s="28">
        <v>19</v>
      </c>
      <c r="B22" s="29">
        <v>45795</v>
      </c>
      <c r="C22" s="19"/>
      <c r="D22" s="19"/>
      <c r="E22" s="108">
        <v>155</v>
      </c>
      <c r="F22" s="108">
        <v>91.26</v>
      </c>
      <c r="G22" s="46">
        <f t="shared" si="0"/>
        <v>14145.300000000001</v>
      </c>
      <c r="H22" s="53">
        <v>5</v>
      </c>
      <c r="I22" s="53">
        <v>103.18</v>
      </c>
      <c r="J22" s="46">
        <f t="shared" si="1"/>
        <v>515.90000000000009</v>
      </c>
      <c r="K22" s="46">
        <f t="shared" si="2"/>
        <v>14661.2</v>
      </c>
      <c r="L22" s="193">
        <v>0</v>
      </c>
      <c r="M22" s="46">
        <f>M21+K22-L22</f>
        <v>228187.22100000008</v>
      </c>
      <c r="N22" s="19"/>
      <c r="S22" s="46">
        <v>0</v>
      </c>
    </row>
    <row r="23" spans="1:19">
      <c r="A23" s="28">
        <v>20</v>
      </c>
      <c r="B23" s="29">
        <v>45796</v>
      </c>
      <c r="C23" s="19"/>
      <c r="D23" s="19"/>
      <c r="E23" s="108">
        <v>847</v>
      </c>
      <c r="F23" s="108">
        <v>91.26</v>
      </c>
      <c r="G23" s="46">
        <f t="shared" si="0"/>
        <v>77297.22</v>
      </c>
      <c r="H23" s="53">
        <v>0</v>
      </c>
      <c r="I23" s="53">
        <v>103.18</v>
      </c>
      <c r="J23" s="46">
        <f t="shared" si="1"/>
        <v>0</v>
      </c>
      <c r="K23" s="46">
        <f t="shared" si="2"/>
        <v>77297.22</v>
      </c>
      <c r="L23" s="193">
        <v>0</v>
      </c>
      <c r="M23" s="46">
        <f>M22+K23-L23</f>
        <v>305484.44100000011</v>
      </c>
      <c r="N23" s="19"/>
      <c r="S23" s="46">
        <v>0</v>
      </c>
    </row>
    <row r="24" spans="1:19">
      <c r="A24" s="28">
        <v>21</v>
      </c>
      <c r="B24" s="29">
        <v>45797</v>
      </c>
      <c r="C24" s="19"/>
      <c r="D24" s="19"/>
      <c r="E24" s="108">
        <v>780</v>
      </c>
      <c r="F24" s="108">
        <v>91.26</v>
      </c>
      <c r="G24" s="46">
        <f t="shared" si="0"/>
        <v>71182.8</v>
      </c>
      <c r="H24" s="53">
        <v>10</v>
      </c>
      <c r="I24" s="53">
        <v>103.18</v>
      </c>
      <c r="J24" s="46">
        <f t="shared" si="1"/>
        <v>1031.8000000000002</v>
      </c>
      <c r="K24" s="46">
        <f t="shared" si="2"/>
        <v>72214.600000000006</v>
      </c>
      <c r="L24" s="193">
        <v>0</v>
      </c>
      <c r="M24" s="46">
        <f>M23+K24-L24</f>
        <v>377699.04100000008</v>
      </c>
      <c r="N24" s="19"/>
      <c r="S24" s="46">
        <v>0</v>
      </c>
    </row>
    <row r="25" spans="1:19">
      <c r="A25" s="28">
        <v>22</v>
      </c>
      <c r="B25" s="29">
        <v>45798</v>
      </c>
      <c r="C25" s="19"/>
      <c r="D25" s="19"/>
      <c r="E25" s="108">
        <v>689</v>
      </c>
      <c r="F25" s="108">
        <v>91.26</v>
      </c>
      <c r="G25" s="46">
        <f t="shared" si="0"/>
        <v>62878.140000000007</v>
      </c>
      <c r="H25" s="53">
        <v>0</v>
      </c>
      <c r="I25" s="53">
        <v>0</v>
      </c>
      <c r="J25" s="46">
        <f t="shared" si="1"/>
        <v>0</v>
      </c>
      <c r="K25" s="46">
        <f t="shared" si="2"/>
        <v>62878.140000000007</v>
      </c>
      <c r="L25" s="193">
        <v>200000</v>
      </c>
      <c r="M25" s="46">
        <f>M24+K25-L25</f>
        <v>240577.1810000001</v>
      </c>
      <c r="N25" s="19"/>
      <c r="S25" s="46">
        <v>200000</v>
      </c>
    </row>
    <row r="26" spans="1:19">
      <c r="A26" s="28">
        <v>23</v>
      </c>
      <c r="B26" s="29">
        <v>45799</v>
      </c>
      <c r="C26" s="19"/>
      <c r="D26" s="19"/>
      <c r="E26" s="108">
        <v>315</v>
      </c>
      <c r="F26" s="108">
        <v>91.26</v>
      </c>
      <c r="G26" s="46">
        <f t="shared" si="0"/>
        <v>28746.9</v>
      </c>
      <c r="H26" s="53">
        <v>10</v>
      </c>
      <c r="I26" s="53">
        <v>103.18</v>
      </c>
      <c r="J26" s="46">
        <f t="shared" si="1"/>
        <v>1031.8000000000002</v>
      </c>
      <c r="K26" s="46">
        <f t="shared" si="2"/>
        <v>29778.7</v>
      </c>
      <c r="L26" s="193">
        <v>0</v>
      </c>
      <c r="M26" s="46">
        <f>M25+K26-L26</f>
        <v>270355.88100000011</v>
      </c>
      <c r="N26" s="19"/>
      <c r="P26" s="24"/>
      <c r="S26" s="46">
        <v>0</v>
      </c>
    </row>
    <row r="27" spans="1:19">
      <c r="A27" s="28">
        <v>24</v>
      </c>
      <c r="B27" s="29">
        <v>45800</v>
      </c>
      <c r="C27" s="19"/>
      <c r="D27" s="19"/>
      <c r="E27" s="108">
        <v>560</v>
      </c>
      <c r="F27" s="108">
        <v>91.26</v>
      </c>
      <c r="G27" s="46">
        <f t="shared" si="0"/>
        <v>51105.600000000006</v>
      </c>
      <c r="H27" s="53">
        <v>5</v>
      </c>
      <c r="I27" s="53">
        <v>103.18</v>
      </c>
      <c r="J27" s="46">
        <f t="shared" si="1"/>
        <v>515.90000000000009</v>
      </c>
      <c r="K27" s="46">
        <f t="shared" si="2"/>
        <v>51621.500000000007</v>
      </c>
      <c r="L27" s="193">
        <v>0</v>
      </c>
      <c r="M27" s="46">
        <f>M26+K27-L27</f>
        <v>321977.38100000011</v>
      </c>
      <c r="N27" s="19"/>
      <c r="S27" s="46">
        <v>0</v>
      </c>
    </row>
    <row r="28" spans="1:19">
      <c r="A28" s="28">
        <v>25</v>
      </c>
      <c r="B28" s="29">
        <v>45801</v>
      </c>
      <c r="C28" s="19"/>
      <c r="D28" s="291"/>
      <c r="E28" s="108">
        <v>216.59</v>
      </c>
      <c r="F28" s="108">
        <v>91.26</v>
      </c>
      <c r="G28" s="46">
        <f t="shared" si="0"/>
        <v>19766.003400000001</v>
      </c>
      <c r="H28" s="53">
        <v>5</v>
      </c>
      <c r="I28" s="53">
        <v>103.18</v>
      </c>
      <c r="J28" s="46">
        <f t="shared" si="1"/>
        <v>515.90000000000009</v>
      </c>
      <c r="K28" s="46">
        <f t="shared" si="2"/>
        <v>20281.903400000003</v>
      </c>
      <c r="L28" s="193">
        <v>0</v>
      </c>
      <c r="M28" s="46">
        <f>M27+K28-L28</f>
        <v>342259.28440000012</v>
      </c>
      <c r="N28" s="19"/>
      <c r="S28" s="46">
        <v>0</v>
      </c>
    </row>
    <row r="29" spans="1:19">
      <c r="A29" s="28">
        <v>26</v>
      </c>
      <c r="B29" s="29">
        <v>45802</v>
      </c>
      <c r="C29" s="19"/>
      <c r="D29" s="19"/>
      <c r="E29" s="108">
        <v>55</v>
      </c>
      <c r="F29" s="108">
        <v>91.26</v>
      </c>
      <c r="G29" s="46">
        <f t="shared" si="0"/>
        <v>5019.3</v>
      </c>
      <c r="H29" s="53">
        <v>0</v>
      </c>
      <c r="I29" s="53">
        <v>0</v>
      </c>
      <c r="J29" s="46">
        <f t="shared" si="1"/>
        <v>0</v>
      </c>
      <c r="K29" s="46">
        <f t="shared" si="2"/>
        <v>5019.3</v>
      </c>
      <c r="L29" s="193">
        <v>0</v>
      </c>
      <c r="M29" s="46">
        <f>M28+K29-L29</f>
        <v>347278.58440000011</v>
      </c>
      <c r="N29" s="19"/>
      <c r="S29" s="46">
        <v>0</v>
      </c>
    </row>
    <row r="30" spans="1:19">
      <c r="A30" s="28">
        <v>27</v>
      </c>
      <c r="B30" s="29">
        <v>45803</v>
      </c>
      <c r="C30" s="19"/>
      <c r="D30" s="19"/>
      <c r="E30" s="108">
        <v>137</v>
      </c>
      <c r="F30" s="108">
        <v>91.26</v>
      </c>
      <c r="G30" s="46">
        <f t="shared" si="0"/>
        <v>12502.62</v>
      </c>
      <c r="H30" s="53">
        <v>11</v>
      </c>
      <c r="I30" s="53">
        <v>103.18</v>
      </c>
      <c r="J30" s="46">
        <f t="shared" si="1"/>
        <v>1134.98</v>
      </c>
      <c r="K30" s="46">
        <f t="shared" si="2"/>
        <v>13637.6</v>
      </c>
      <c r="L30" s="193">
        <v>0</v>
      </c>
      <c r="M30" s="46">
        <f>M29+K30-L30</f>
        <v>360916.18440000009</v>
      </c>
      <c r="N30" s="19"/>
      <c r="S30" s="46">
        <v>0</v>
      </c>
    </row>
    <row r="31" spans="1:19">
      <c r="A31" s="28">
        <v>28</v>
      </c>
      <c r="B31" s="29">
        <v>45804</v>
      </c>
      <c r="C31" s="19"/>
      <c r="D31" s="19">
        <v>305.63</v>
      </c>
      <c r="E31" s="402">
        <v>305.63</v>
      </c>
      <c r="F31" s="108">
        <v>91.26</v>
      </c>
      <c r="G31" s="46">
        <f t="shared" si="0"/>
        <v>27891.793799999999</v>
      </c>
      <c r="H31" s="53">
        <v>7</v>
      </c>
      <c r="I31" s="53">
        <v>103.18</v>
      </c>
      <c r="J31" s="46">
        <f t="shared" si="1"/>
        <v>722.26</v>
      </c>
      <c r="K31" s="46">
        <f t="shared" si="2"/>
        <v>28614.053799999998</v>
      </c>
      <c r="L31" s="193">
        <v>350000</v>
      </c>
      <c r="M31" s="46">
        <f>M30+K31-L31</f>
        <v>39530.23820000008</v>
      </c>
      <c r="N31" s="19"/>
      <c r="S31" s="46">
        <v>350000</v>
      </c>
    </row>
    <row r="32" spans="1:19">
      <c r="A32" s="28">
        <v>29</v>
      </c>
      <c r="B32" s="29">
        <v>45805</v>
      </c>
      <c r="C32" s="19"/>
      <c r="D32" s="19"/>
      <c r="E32" s="108">
        <v>72</v>
      </c>
      <c r="F32" s="108">
        <v>91.26</v>
      </c>
      <c r="G32" s="46">
        <f t="shared" si="0"/>
        <v>6570.72</v>
      </c>
      <c r="H32" s="53">
        <v>5</v>
      </c>
      <c r="I32" s="53">
        <v>103.18</v>
      </c>
      <c r="J32" s="46">
        <f t="shared" si="1"/>
        <v>515.90000000000009</v>
      </c>
      <c r="K32" s="46">
        <f t="shared" si="2"/>
        <v>7086.6200000000008</v>
      </c>
      <c r="L32" s="193">
        <v>0</v>
      </c>
      <c r="M32" s="46">
        <f>M31+K32-L32</f>
        <v>46616.858200000082</v>
      </c>
      <c r="N32" s="19"/>
      <c r="Q32" s="46"/>
      <c r="S32" s="46">
        <v>0</v>
      </c>
    </row>
    <row r="33" spans="1:19">
      <c r="A33" s="28">
        <v>30</v>
      </c>
      <c r="B33" s="29">
        <v>45806</v>
      </c>
      <c r="C33" s="19"/>
      <c r="D33" s="19"/>
      <c r="E33" s="108">
        <v>246</v>
      </c>
      <c r="F33" s="108">
        <v>91.26</v>
      </c>
      <c r="G33" s="46">
        <f t="shared" si="0"/>
        <v>22449.960000000003</v>
      </c>
      <c r="H33" s="53">
        <v>11.32</v>
      </c>
      <c r="I33" s="53">
        <v>103.18</v>
      </c>
      <c r="J33" s="46">
        <f t="shared" si="1"/>
        <v>1167.9976000000001</v>
      </c>
      <c r="K33" s="46">
        <f t="shared" si="2"/>
        <v>23617.957600000002</v>
      </c>
      <c r="L33" s="193">
        <v>0</v>
      </c>
      <c r="M33" s="46">
        <f>M32+K33-L33</f>
        <v>70234.815800000084</v>
      </c>
      <c r="N33" s="19"/>
      <c r="S33" s="46">
        <v>0</v>
      </c>
    </row>
    <row r="34" spans="1:19">
      <c r="A34" s="28">
        <v>31</v>
      </c>
      <c r="B34" s="29">
        <v>45807</v>
      </c>
      <c r="C34" s="19"/>
      <c r="D34" s="19"/>
      <c r="E34" s="108">
        <v>266.60000000000002</v>
      </c>
      <c r="F34" s="108">
        <v>91.26</v>
      </c>
      <c r="G34" s="46">
        <f t="shared" si="0"/>
        <v>24329.916000000005</v>
      </c>
      <c r="H34" s="53">
        <v>0</v>
      </c>
      <c r="I34" s="53">
        <v>0</v>
      </c>
      <c r="J34" s="46">
        <f t="shared" si="1"/>
        <v>0</v>
      </c>
      <c r="K34" s="46">
        <f t="shared" si="2"/>
        <v>24329.916000000005</v>
      </c>
      <c r="L34" s="193">
        <v>0</v>
      </c>
      <c r="M34" s="46">
        <f>M33+K34-L34</f>
        <v>94564.731800000096</v>
      </c>
      <c r="N34" s="19"/>
      <c r="Q34" s="306"/>
      <c r="S34" s="46">
        <v>0</v>
      </c>
    </row>
    <row r="35" spans="1:19">
      <c r="A35" s="28">
        <v>32</v>
      </c>
      <c r="B35" s="29">
        <v>45808</v>
      </c>
      <c r="C35" s="19"/>
      <c r="D35" s="19"/>
      <c r="E35" s="108">
        <v>125</v>
      </c>
      <c r="F35" s="108">
        <v>91.26</v>
      </c>
      <c r="G35" s="46">
        <f t="shared" si="0"/>
        <v>11407.5</v>
      </c>
      <c r="H35" s="53">
        <v>10</v>
      </c>
      <c r="I35" s="53">
        <v>103.18</v>
      </c>
      <c r="J35" s="46">
        <f t="shared" si="1"/>
        <v>1031.8000000000002</v>
      </c>
      <c r="K35" s="46">
        <f t="shared" si="2"/>
        <v>12439.3</v>
      </c>
      <c r="L35" s="193">
        <v>0</v>
      </c>
      <c r="M35" s="46">
        <f>M34+K35-L35</f>
        <v>107004.0318000001</v>
      </c>
      <c r="N35" s="19"/>
      <c r="Q35" s="306"/>
      <c r="S35" s="46">
        <v>0</v>
      </c>
    </row>
    <row r="36" spans="1:19">
      <c r="A36" s="28"/>
      <c r="B36" s="29"/>
      <c r="C36" s="19"/>
      <c r="D36" s="19"/>
      <c r="E36" s="108">
        <v>0</v>
      </c>
      <c r="F36" s="108">
        <v>91.26</v>
      </c>
      <c r="G36" s="46">
        <f t="shared" si="0"/>
        <v>0</v>
      </c>
      <c r="H36" s="53"/>
      <c r="I36" s="53"/>
      <c r="J36" s="46"/>
      <c r="K36" s="46"/>
      <c r="L36" s="193"/>
      <c r="M36" s="46">
        <f t="shared" ref="M36:M37" si="6">M35+K36-L36</f>
        <v>107004.0318000001</v>
      </c>
      <c r="N36" s="19"/>
      <c r="Q36" s="306"/>
      <c r="S36" s="46"/>
    </row>
    <row r="37" spans="1:19">
      <c r="A37" s="28"/>
      <c r="B37" s="29"/>
      <c r="C37" s="19"/>
      <c r="D37" s="19"/>
      <c r="E37" s="108">
        <v>0</v>
      </c>
      <c r="F37" s="108">
        <v>91.26</v>
      </c>
      <c r="G37" s="46">
        <f t="shared" si="0"/>
        <v>0</v>
      </c>
      <c r="H37" s="53"/>
      <c r="I37" s="53"/>
      <c r="J37" s="46"/>
      <c r="K37" s="46"/>
      <c r="L37" s="193"/>
      <c r="M37" s="46">
        <f>M36+K37-L37</f>
        <v>107004.0318000001</v>
      </c>
      <c r="N37" s="19"/>
      <c r="Q37" s="306"/>
      <c r="S37" s="46"/>
    </row>
    <row r="38" spans="1:19">
      <c r="A38" s="28">
        <v>33</v>
      </c>
      <c r="B38" s="29"/>
      <c r="C38" s="19"/>
      <c r="D38" s="19"/>
      <c r="E38" s="53">
        <v>0</v>
      </c>
      <c r="F38" s="108">
        <v>0</v>
      </c>
      <c r="G38" s="46">
        <f t="shared" si="0"/>
        <v>0</v>
      </c>
      <c r="H38" s="53">
        <v>0</v>
      </c>
      <c r="I38" s="53">
        <v>0</v>
      </c>
      <c r="J38" s="46">
        <f t="shared" si="1"/>
        <v>0</v>
      </c>
      <c r="K38" s="46">
        <f t="shared" si="2"/>
        <v>0</v>
      </c>
      <c r="L38" s="46">
        <v>0</v>
      </c>
      <c r="M38" s="46"/>
      <c r="N38" s="19"/>
      <c r="S38" s="46">
        <v>0</v>
      </c>
    </row>
    <row r="39" spans="1:19">
      <c r="A39" s="51"/>
      <c r="B39" s="51"/>
      <c r="C39" s="51"/>
      <c r="D39" s="51"/>
      <c r="E39" s="51">
        <f>SUM(E4:E38)</f>
        <v>16582.169999999998</v>
      </c>
      <c r="F39" s="51"/>
      <c r="G39" s="51">
        <f>SUM(G4:G38)</f>
        <v>1513202.4342000003</v>
      </c>
      <c r="H39" s="51">
        <f>SUM(H4:H35)</f>
        <v>186.32</v>
      </c>
      <c r="I39" s="51"/>
      <c r="J39" s="51">
        <f>SUM(J4:J38)</f>
        <v>19224.497599999995</v>
      </c>
      <c r="K39" s="51">
        <f>SUM(K4:K35)</f>
        <v>1532426.9318000004</v>
      </c>
      <c r="L39" s="51">
        <f>SUM(L4:L38)</f>
        <v>1484279.9</v>
      </c>
      <c r="M39" s="51"/>
      <c r="N39" s="51"/>
      <c r="Q39" s="306"/>
      <c r="S39" s="24">
        <f>SUM(S4:S38)</f>
        <v>1373029.1</v>
      </c>
    </row>
    <row r="40" spans="1:19">
      <c r="L40">
        <v>1373029.1</v>
      </c>
    </row>
    <row r="41" spans="1:19">
      <c r="E41">
        <v>1220</v>
      </c>
      <c r="L41" s="24">
        <f>L39-L40</f>
        <v>111250.79999999981</v>
      </c>
    </row>
    <row r="43" spans="1:19">
      <c r="E43" s="24"/>
    </row>
  </sheetData>
  <mergeCells count="1"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O35"/>
  <sheetViews>
    <sheetView workbookViewId="0">
      <selection activeCell="M39" sqref="M39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5" ht="15.75">
      <c r="A1" s="470" t="s">
        <v>156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5" ht="30.75">
      <c r="A2" s="141" t="s">
        <v>99</v>
      </c>
      <c r="B2" s="260" t="s">
        <v>100</v>
      </c>
      <c r="C2" s="260" t="s">
        <v>101</v>
      </c>
      <c r="D2" s="260" t="s">
        <v>122</v>
      </c>
      <c r="E2" s="260" t="s">
        <v>103</v>
      </c>
      <c r="F2" s="260" t="s">
        <v>104</v>
      </c>
      <c r="G2" s="260" t="s">
        <v>105</v>
      </c>
      <c r="H2" s="260" t="s">
        <v>106</v>
      </c>
      <c r="I2" s="260" t="s">
        <v>104</v>
      </c>
      <c r="J2" s="260" t="s">
        <v>105</v>
      </c>
      <c r="K2" s="202" t="s">
        <v>107</v>
      </c>
      <c r="L2" s="202" t="s">
        <v>108</v>
      </c>
      <c r="M2" s="202" t="s">
        <v>115</v>
      </c>
      <c r="N2" s="260" t="s">
        <v>110</v>
      </c>
    </row>
    <row r="3" spans="1:15">
      <c r="A3" s="471" t="s">
        <v>111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>
        <v>0</v>
      </c>
      <c r="N3" s="471"/>
    </row>
    <row r="4" spans="1:15">
      <c r="A4" s="234">
        <v>1</v>
      </c>
      <c r="B4" s="270">
        <v>45778</v>
      </c>
      <c r="C4" s="46">
        <v>0</v>
      </c>
      <c r="D4" s="46">
        <v>0</v>
      </c>
      <c r="E4" s="46"/>
      <c r="F4" s="46">
        <v>0</v>
      </c>
      <c r="G4" s="46">
        <v>0</v>
      </c>
      <c r="H4" s="46">
        <f>F4*G4</f>
        <v>0</v>
      </c>
      <c r="I4" s="46">
        <v>0</v>
      </c>
      <c r="J4" s="46">
        <v>0</v>
      </c>
      <c r="K4" s="46">
        <f>I4*J4</f>
        <v>0</v>
      </c>
      <c r="L4" s="46">
        <f>H4+K4</f>
        <v>0</v>
      </c>
      <c r="M4" s="46">
        <v>0</v>
      </c>
      <c r="N4" s="46">
        <f>N3+L4-M4</f>
        <v>0</v>
      </c>
      <c r="O4" s="46"/>
    </row>
    <row r="5" spans="1:15">
      <c r="A5" s="55">
        <v>2</v>
      </c>
      <c r="B5" s="270">
        <v>45779</v>
      </c>
      <c r="C5" s="46">
        <v>0</v>
      </c>
      <c r="D5" s="46">
        <v>0</v>
      </c>
      <c r="E5" s="46"/>
      <c r="F5" s="46">
        <v>0</v>
      </c>
      <c r="G5" s="46">
        <v>0</v>
      </c>
      <c r="H5" s="46">
        <f t="shared" ref="H5:H34" si="0">F5*G5</f>
        <v>0</v>
      </c>
      <c r="I5" s="46">
        <v>0</v>
      </c>
      <c r="J5" s="46">
        <v>0</v>
      </c>
      <c r="K5" s="46">
        <f t="shared" ref="K5:K34" si="1">I5*J5</f>
        <v>0</v>
      </c>
      <c r="L5" s="46">
        <f t="shared" ref="L5:L34" si="2">H5+K5</f>
        <v>0</v>
      </c>
      <c r="M5" s="46">
        <v>0</v>
      </c>
      <c r="N5" s="46">
        <f t="shared" ref="N5:N12" si="3">N4+L5-M5</f>
        <v>0</v>
      </c>
      <c r="O5" s="46"/>
    </row>
    <row r="6" spans="1:15">
      <c r="A6" s="55">
        <v>3</v>
      </c>
      <c r="B6" s="270">
        <v>45780</v>
      </c>
      <c r="C6" s="46">
        <v>0</v>
      </c>
      <c r="D6" s="46">
        <v>0</v>
      </c>
      <c r="E6" s="46"/>
      <c r="F6" s="46">
        <v>0</v>
      </c>
      <c r="G6" s="46">
        <v>0</v>
      </c>
      <c r="H6" s="46">
        <f t="shared" si="0"/>
        <v>0</v>
      </c>
      <c r="I6" s="46">
        <v>0</v>
      </c>
      <c r="J6" s="46">
        <v>0</v>
      </c>
      <c r="K6" s="46">
        <f t="shared" si="1"/>
        <v>0</v>
      </c>
      <c r="L6" s="46">
        <f t="shared" si="2"/>
        <v>0</v>
      </c>
      <c r="M6" s="46">
        <v>0</v>
      </c>
      <c r="N6" s="46">
        <f t="shared" si="3"/>
        <v>0</v>
      </c>
      <c r="O6" s="46"/>
    </row>
    <row r="7" spans="1:15">
      <c r="A7" s="55">
        <v>4</v>
      </c>
      <c r="B7" s="270">
        <v>45781</v>
      </c>
      <c r="C7" s="46">
        <v>0</v>
      </c>
      <c r="D7" s="46">
        <v>0</v>
      </c>
      <c r="E7" s="46"/>
      <c r="F7" s="46">
        <v>0</v>
      </c>
      <c r="G7" s="46">
        <v>0</v>
      </c>
      <c r="H7" s="46">
        <f t="shared" si="0"/>
        <v>0</v>
      </c>
      <c r="I7" s="46">
        <v>0</v>
      </c>
      <c r="J7" s="46">
        <v>0</v>
      </c>
      <c r="K7" s="46">
        <f t="shared" si="1"/>
        <v>0</v>
      </c>
      <c r="L7" s="46">
        <f t="shared" si="2"/>
        <v>0</v>
      </c>
      <c r="M7" s="46">
        <v>0</v>
      </c>
      <c r="N7" s="46">
        <f t="shared" si="3"/>
        <v>0</v>
      </c>
      <c r="O7" s="46"/>
    </row>
    <row r="8" spans="1:15">
      <c r="A8" s="55">
        <v>5</v>
      </c>
      <c r="B8" s="270">
        <v>45782</v>
      </c>
      <c r="C8" s="46">
        <v>0</v>
      </c>
      <c r="D8" s="46">
        <v>0</v>
      </c>
      <c r="E8" s="46"/>
      <c r="F8" s="46">
        <v>0</v>
      </c>
      <c r="G8" s="46">
        <v>0</v>
      </c>
      <c r="H8" s="46">
        <f t="shared" si="0"/>
        <v>0</v>
      </c>
      <c r="I8" s="46">
        <v>0</v>
      </c>
      <c r="J8" s="46">
        <v>0</v>
      </c>
      <c r="K8" s="46">
        <f t="shared" si="1"/>
        <v>0</v>
      </c>
      <c r="L8" s="46">
        <f t="shared" si="2"/>
        <v>0</v>
      </c>
      <c r="M8" s="46">
        <v>0</v>
      </c>
      <c r="N8" s="46">
        <f t="shared" si="3"/>
        <v>0</v>
      </c>
      <c r="O8" s="46"/>
    </row>
    <row r="9" spans="1:15">
      <c r="A9" s="55">
        <v>6</v>
      </c>
      <c r="B9" s="270">
        <v>45783</v>
      </c>
      <c r="C9" s="46">
        <v>0</v>
      </c>
      <c r="D9" s="46">
        <v>0</v>
      </c>
      <c r="E9" s="46"/>
      <c r="F9" s="46">
        <v>0</v>
      </c>
      <c r="G9" s="46">
        <v>0</v>
      </c>
      <c r="H9" s="46">
        <f t="shared" si="0"/>
        <v>0</v>
      </c>
      <c r="I9" s="46">
        <v>0</v>
      </c>
      <c r="J9" s="46">
        <v>0</v>
      </c>
      <c r="K9" s="46">
        <f t="shared" si="1"/>
        <v>0</v>
      </c>
      <c r="L9" s="46">
        <f t="shared" si="2"/>
        <v>0</v>
      </c>
      <c r="M9" s="46">
        <v>0</v>
      </c>
      <c r="N9" s="46">
        <f t="shared" si="3"/>
        <v>0</v>
      </c>
      <c r="O9" s="46"/>
    </row>
    <row r="10" spans="1:15">
      <c r="A10" s="55">
        <v>7</v>
      </c>
      <c r="B10" s="270">
        <v>45784</v>
      </c>
      <c r="C10" s="46">
        <v>0</v>
      </c>
      <c r="D10" s="46">
        <v>0</v>
      </c>
      <c r="E10" s="46"/>
      <c r="F10" s="46">
        <v>0</v>
      </c>
      <c r="G10" s="46">
        <v>0</v>
      </c>
      <c r="H10" s="46">
        <f t="shared" si="0"/>
        <v>0</v>
      </c>
      <c r="I10" s="46">
        <v>0</v>
      </c>
      <c r="J10" s="46">
        <v>0</v>
      </c>
      <c r="K10" s="46">
        <f t="shared" si="1"/>
        <v>0</v>
      </c>
      <c r="L10" s="46">
        <f t="shared" si="2"/>
        <v>0</v>
      </c>
      <c r="M10" s="46">
        <v>0</v>
      </c>
      <c r="N10" s="46">
        <f t="shared" si="3"/>
        <v>0</v>
      </c>
      <c r="O10" s="46"/>
    </row>
    <row r="11" spans="1:15">
      <c r="A11" s="55">
        <v>8</v>
      </c>
      <c r="B11" s="270">
        <v>45785</v>
      </c>
      <c r="C11" s="46">
        <v>0</v>
      </c>
      <c r="D11" s="46">
        <v>0</v>
      </c>
      <c r="E11" s="46"/>
      <c r="F11" s="46">
        <v>0</v>
      </c>
      <c r="G11" s="46">
        <v>0</v>
      </c>
      <c r="H11" s="46">
        <f t="shared" si="0"/>
        <v>0</v>
      </c>
      <c r="I11" s="46">
        <v>0</v>
      </c>
      <c r="J11" s="46">
        <v>0</v>
      </c>
      <c r="K11" s="46">
        <f t="shared" si="1"/>
        <v>0</v>
      </c>
      <c r="L11" s="46">
        <f t="shared" si="2"/>
        <v>0</v>
      </c>
      <c r="M11" s="46">
        <v>0</v>
      </c>
      <c r="N11" s="46">
        <f t="shared" si="3"/>
        <v>0</v>
      </c>
      <c r="O11" s="46"/>
    </row>
    <row r="12" spans="1:15">
      <c r="A12" s="55">
        <v>9</v>
      </c>
      <c r="B12" s="270">
        <v>45786</v>
      </c>
      <c r="C12" s="46">
        <v>0</v>
      </c>
      <c r="D12" s="46">
        <v>0</v>
      </c>
      <c r="E12" s="46"/>
      <c r="F12" s="46">
        <v>0</v>
      </c>
      <c r="G12" s="46">
        <v>0</v>
      </c>
      <c r="H12" s="46">
        <f t="shared" si="0"/>
        <v>0</v>
      </c>
      <c r="I12" s="46">
        <v>0</v>
      </c>
      <c r="J12" s="46">
        <v>0</v>
      </c>
      <c r="K12" s="46">
        <f t="shared" si="1"/>
        <v>0</v>
      </c>
      <c r="L12" s="46">
        <f t="shared" si="2"/>
        <v>0</v>
      </c>
      <c r="M12" s="46">
        <v>0</v>
      </c>
      <c r="N12" s="46">
        <f t="shared" si="3"/>
        <v>0</v>
      </c>
      <c r="O12" s="46"/>
    </row>
    <row r="13" spans="1:15">
      <c r="A13" s="55">
        <v>10</v>
      </c>
      <c r="B13" s="270">
        <v>45787</v>
      </c>
      <c r="C13" s="46">
        <v>0</v>
      </c>
      <c r="D13" s="46">
        <v>0</v>
      </c>
      <c r="E13" s="46"/>
      <c r="F13" s="46">
        <v>0</v>
      </c>
      <c r="G13" s="46">
        <v>0</v>
      </c>
      <c r="H13" s="46">
        <f t="shared" si="0"/>
        <v>0</v>
      </c>
      <c r="I13" s="46">
        <v>0</v>
      </c>
      <c r="J13" s="46">
        <v>0</v>
      </c>
      <c r="K13" s="46">
        <f t="shared" si="1"/>
        <v>0</v>
      </c>
      <c r="L13" s="46">
        <f t="shared" si="2"/>
        <v>0</v>
      </c>
      <c r="M13" s="46">
        <v>0</v>
      </c>
      <c r="N13" s="46">
        <f>N12+L13-M13</f>
        <v>0</v>
      </c>
      <c r="O13" s="46"/>
    </row>
    <row r="14" spans="1:15">
      <c r="A14" s="55">
        <v>11</v>
      </c>
      <c r="B14" s="270">
        <v>45788</v>
      </c>
      <c r="C14" s="46">
        <v>0</v>
      </c>
      <c r="D14" s="46">
        <v>0</v>
      </c>
      <c r="E14" s="46"/>
      <c r="F14" s="46">
        <v>0</v>
      </c>
      <c r="G14" s="46">
        <v>0</v>
      </c>
      <c r="H14" s="46">
        <f t="shared" si="0"/>
        <v>0</v>
      </c>
      <c r="I14" s="46">
        <v>0</v>
      </c>
      <c r="J14" s="46">
        <v>0</v>
      </c>
      <c r="K14" s="46">
        <f t="shared" si="1"/>
        <v>0</v>
      </c>
      <c r="L14" s="46">
        <f t="shared" si="2"/>
        <v>0</v>
      </c>
      <c r="M14" s="46">
        <v>0</v>
      </c>
      <c r="N14" s="46">
        <f>N13+L14-M14</f>
        <v>0</v>
      </c>
      <c r="O14" s="46"/>
    </row>
    <row r="15" spans="1:15">
      <c r="A15" s="55">
        <v>12</v>
      </c>
      <c r="B15" s="270">
        <v>45789</v>
      </c>
      <c r="C15" s="46">
        <v>0</v>
      </c>
      <c r="D15" s="46">
        <v>0</v>
      </c>
      <c r="E15" s="46"/>
      <c r="F15" s="46">
        <v>0</v>
      </c>
      <c r="G15" s="46">
        <v>0</v>
      </c>
      <c r="H15" s="46">
        <f t="shared" si="0"/>
        <v>0</v>
      </c>
      <c r="I15" s="46">
        <v>0</v>
      </c>
      <c r="J15" s="46">
        <v>0</v>
      </c>
      <c r="K15" s="46">
        <f t="shared" si="1"/>
        <v>0</v>
      </c>
      <c r="L15" s="46">
        <f t="shared" si="2"/>
        <v>0</v>
      </c>
      <c r="M15" s="46">
        <v>0</v>
      </c>
      <c r="N15" s="46">
        <f>N14+L15-M15</f>
        <v>0</v>
      </c>
      <c r="O15" s="46"/>
    </row>
    <row r="16" spans="1:15">
      <c r="A16" s="55">
        <v>13</v>
      </c>
      <c r="B16" s="270">
        <v>45790</v>
      </c>
      <c r="C16" s="46">
        <v>0</v>
      </c>
      <c r="D16" s="46">
        <v>0</v>
      </c>
      <c r="E16" s="46"/>
      <c r="F16" s="46">
        <v>0</v>
      </c>
      <c r="G16" s="46">
        <v>0</v>
      </c>
      <c r="H16" s="46">
        <f t="shared" si="0"/>
        <v>0</v>
      </c>
      <c r="I16" s="46">
        <v>0</v>
      </c>
      <c r="J16" s="46">
        <v>0</v>
      </c>
      <c r="K16" s="46">
        <f t="shared" si="1"/>
        <v>0</v>
      </c>
      <c r="L16" s="46">
        <f t="shared" si="2"/>
        <v>0</v>
      </c>
      <c r="M16" s="46">
        <v>0</v>
      </c>
      <c r="N16" s="46">
        <f>N15+L16-M16</f>
        <v>0</v>
      </c>
      <c r="O16" s="46"/>
    </row>
    <row r="17" spans="1:15">
      <c r="A17" s="55">
        <v>14</v>
      </c>
      <c r="B17" s="270">
        <v>45791</v>
      </c>
      <c r="C17" s="46">
        <v>0</v>
      </c>
      <c r="D17" s="46">
        <v>0</v>
      </c>
      <c r="E17" s="46"/>
      <c r="F17" s="46">
        <v>0</v>
      </c>
      <c r="G17" s="46">
        <v>0</v>
      </c>
      <c r="H17" s="46">
        <f t="shared" si="0"/>
        <v>0</v>
      </c>
      <c r="I17" s="46">
        <v>0</v>
      </c>
      <c r="J17" s="46">
        <v>0</v>
      </c>
      <c r="K17" s="46">
        <f t="shared" si="1"/>
        <v>0</v>
      </c>
      <c r="L17" s="46">
        <f t="shared" si="2"/>
        <v>0</v>
      </c>
      <c r="M17" s="46">
        <v>0</v>
      </c>
      <c r="N17" s="46">
        <v>0</v>
      </c>
      <c r="O17" s="46"/>
    </row>
    <row r="18" spans="1:15">
      <c r="A18" s="55">
        <v>15</v>
      </c>
      <c r="B18" s="270">
        <v>45792</v>
      </c>
      <c r="C18" s="46">
        <v>0</v>
      </c>
      <c r="D18" s="46">
        <v>0</v>
      </c>
      <c r="E18" s="46"/>
      <c r="F18" s="46">
        <v>0</v>
      </c>
      <c r="G18" s="46">
        <v>0</v>
      </c>
      <c r="H18" s="46">
        <f t="shared" si="0"/>
        <v>0</v>
      </c>
      <c r="I18" s="46">
        <v>0</v>
      </c>
      <c r="J18" s="46">
        <v>0</v>
      </c>
      <c r="K18" s="46">
        <f t="shared" si="1"/>
        <v>0</v>
      </c>
      <c r="L18" s="46">
        <f t="shared" si="2"/>
        <v>0</v>
      </c>
      <c r="M18" s="46">
        <v>0</v>
      </c>
      <c r="N18" s="46">
        <v>0</v>
      </c>
      <c r="O18" s="46"/>
    </row>
    <row r="19" spans="1:15">
      <c r="A19" s="55">
        <v>16</v>
      </c>
      <c r="B19" s="270">
        <v>45793</v>
      </c>
      <c r="C19" s="46">
        <v>0</v>
      </c>
      <c r="D19" s="46">
        <v>0</v>
      </c>
      <c r="E19" s="46"/>
      <c r="F19" s="46">
        <v>0</v>
      </c>
      <c r="G19" s="46">
        <v>0</v>
      </c>
      <c r="H19" s="46">
        <f t="shared" si="0"/>
        <v>0</v>
      </c>
      <c r="I19" s="46">
        <v>0</v>
      </c>
      <c r="J19" s="46">
        <v>0</v>
      </c>
      <c r="K19" s="46">
        <f t="shared" si="1"/>
        <v>0</v>
      </c>
      <c r="L19" s="46">
        <f t="shared" si="2"/>
        <v>0</v>
      </c>
      <c r="M19" s="46">
        <v>0</v>
      </c>
      <c r="N19" s="46">
        <v>0</v>
      </c>
      <c r="O19" s="46"/>
    </row>
    <row r="20" spans="1:15">
      <c r="A20" s="55">
        <v>17</v>
      </c>
      <c r="B20" s="270">
        <v>45794</v>
      </c>
      <c r="C20" s="46">
        <v>0</v>
      </c>
      <c r="D20" s="46">
        <v>0</v>
      </c>
      <c r="E20" s="46"/>
      <c r="F20" s="46">
        <v>0</v>
      </c>
      <c r="G20" s="46">
        <v>0</v>
      </c>
      <c r="H20" s="46">
        <f t="shared" si="0"/>
        <v>0</v>
      </c>
      <c r="I20" s="46">
        <v>0</v>
      </c>
      <c r="J20" s="46">
        <v>0</v>
      </c>
      <c r="K20" s="46">
        <f t="shared" si="1"/>
        <v>0</v>
      </c>
      <c r="L20" s="46">
        <f t="shared" si="2"/>
        <v>0</v>
      </c>
      <c r="M20" s="46">
        <v>0</v>
      </c>
      <c r="N20" s="46">
        <v>0</v>
      </c>
      <c r="O20" s="46"/>
    </row>
    <row r="21" spans="1:15">
      <c r="A21" s="55">
        <v>18</v>
      </c>
      <c r="B21" s="270">
        <v>45795</v>
      </c>
      <c r="C21" s="46">
        <v>0</v>
      </c>
      <c r="D21" s="46">
        <v>0</v>
      </c>
      <c r="E21" s="46"/>
      <c r="F21" s="46">
        <v>0</v>
      </c>
      <c r="G21" s="46">
        <v>0</v>
      </c>
      <c r="H21" s="46">
        <f t="shared" si="0"/>
        <v>0</v>
      </c>
      <c r="I21" s="46">
        <v>0</v>
      </c>
      <c r="J21" s="46">
        <v>0</v>
      </c>
      <c r="K21" s="46">
        <f t="shared" si="1"/>
        <v>0</v>
      </c>
      <c r="L21" s="46">
        <f t="shared" si="2"/>
        <v>0</v>
      </c>
      <c r="M21" s="46">
        <v>0</v>
      </c>
      <c r="N21" s="46">
        <v>0</v>
      </c>
      <c r="O21" s="46"/>
    </row>
    <row r="22" spans="1:15">
      <c r="A22" s="55">
        <v>19</v>
      </c>
      <c r="B22" s="270">
        <v>45796</v>
      </c>
      <c r="C22" s="46">
        <v>0</v>
      </c>
      <c r="D22" s="46">
        <v>0</v>
      </c>
      <c r="E22" s="46"/>
      <c r="F22" s="46">
        <v>0</v>
      </c>
      <c r="G22" s="46">
        <v>0</v>
      </c>
      <c r="H22" s="46">
        <f t="shared" si="0"/>
        <v>0</v>
      </c>
      <c r="I22" s="46">
        <v>0</v>
      </c>
      <c r="J22" s="46">
        <v>0</v>
      </c>
      <c r="K22" s="46">
        <f t="shared" si="1"/>
        <v>0</v>
      </c>
      <c r="L22" s="46">
        <f t="shared" si="2"/>
        <v>0</v>
      </c>
      <c r="M22" s="46">
        <v>0</v>
      </c>
      <c r="N22" s="46">
        <v>0</v>
      </c>
      <c r="O22" s="46"/>
    </row>
    <row r="23" spans="1:15">
      <c r="A23" s="55">
        <v>20</v>
      </c>
      <c r="B23" s="270">
        <v>45797</v>
      </c>
      <c r="C23" s="46">
        <v>0</v>
      </c>
      <c r="D23" s="46">
        <v>0</v>
      </c>
      <c r="E23" s="46"/>
      <c r="F23" s="46">
        <v>0</v>
      </c>
      <c r="G23" s="46">
        <v>0</v>
      </c>
      <c r="H23" s="46">
        <f t="shared" si="0"/>
        <v>0</v>
      </c>
      <c r="I23" s="46">
        <v>0</v>
      </c>
      <c r="J23" s="46">
        <v>0</v>
      </c>
      <c r="K23" s="46">
        <f t="shared" si="1"/>
        <v>0</v>
      </c>
      <c r="L23" s="46">
        <f t="shared" si="2"/>
        <v>0</v>
      </c>
      <c r="M23" s="46">
        <v>0</v>
      </c>
      <c r="N23" s="46">
        <v>0</v>
      </c>
      <c r="O23" s="46"/>
    </row>
    <row r="24" spans="1:15">
      <c r="A24" s="55">
        <v>21</v>
      </c>
      <c r="B24" s="270">
        <v>45798</v>
      </c>
      <c r="C24" s="46">
        <v>0</v>
      </c>
      <c r="D24" s="46">
        <v>0</v>
      </c>
      <c r="E24" s="46"/>
      <c r="F24" s="46">
        <v>0</v>
      </c>
      <c r="G24" s="46">
        <v>0</v>
      </c>
      <c r="H24" s="46">
        <f t="shared" si="0"/>
        <v>0</v>
      </c>
      <c r="I24" s="46">
        <v>0</v>
      </c>
      <c r="J24" s="46">
        <v>0</v>
      </c>
      <c r="K24" s="46">
        <f t="shared" si="1"/>
        <v>0</v>
      </c>
      <c r="L24" s="46">
        <f t="shared" si="2"/>
        <v>0</v>
      </c>
      <c r="M24" s="46">
        <v>0</v>
      </c>
      <c r="N24" s="46">
        <v>0</v>
      </c>
      <c r="O24" s="46"/>
    </row>
    <row r="25" spans="1:15">
      <c r="A25" s="55">
        <v>22</v>
      </c>
      <c r="B25" s="270">
        <v>45799</v>
      </c>
      <c r="C25" s="46">
        <v>0</v>
      </c>
      <c r="D25" s="46">
        <v>0</v>
      </c>
      <c r="E25" s="46"/>
      <c r="F25" s="46">
        <v>0</v>
      </c>
      <c r="G25" s="46">
        <v>0</v>
      </c>
      <c r="H25" s="46">
        <f t="shared" si="0"/>
        <v>0</v>
      </c>
      <c r="I25" s="46">
        <v>0</v>
      </c>
      <c r="J25" s="46">
        <v>0</v>
      </c>
      <c r="K25" s="46">
        <f t="shared" si="1"/>
        <v>0</v>
      </c>
      <c r="L25" s="46">
        <f t="shared" si="2"/>
        <v>0</v>
      </c>
      <c r="M25" s="46">
        <v>0</v>
      </c>
      <c r="N25" s="46">
        <v>0</v>
      </c>
      <c r="O25" s="46"/>
    </row>
    <row r="26" spans="1:15">
      <c r="A26" s="55">
        <v>23</v>
      </c>
      <c r="B26" s="270">
        <v>45800</v>
      </c>
      <c r="C26" s="46">
        <v>0</v>
      </c>
      <c r="D26" s="46">
        <v>0</v>
      </c>
      <c r="E26" s="46"/>
      <c r="F26" s="46">
        <v>0</v>
      </c>
      <c r="G26" s="46">
        <v>0</v>
      </c>
      <c r="H26" s="46">
        <f t="shared" si="0"/>
        <v>0</v>
      </c>
      <c r="I26" s="46">
        <v>0</v>
      </c>
      <c r="J26" s="46">
        <v>0</v>
      </c>
      <c r="K26" s="46">
        <f t="shared" si="1"/>
        <v>0</v>
      </c>
      <c r="L26" s="46">
        <f t="shared" si="2"/>
        <v>0</v>
      </c>
      <c r="M26" s="46">
        <v>0</v>
      </c>
      <c r="N26" s="46">
        <v>0</v>
      </c>
      <c r="O26" s="46"/>
    </row>
    <row r="27" spans="1:15">
      <c r="A27" s="55">
        <v>24</v>
      </c>
      <c r="B27" s="270">
        <v>45801</v>
      </c>
      <c r="C27" s="46">
        <v>0</v>
      </c>
      <c r="D27" s="46">
        <v>0</v>
      </c>
      <c r="E27" s="46"/>
      <c r="F27" s="46">
        <v>32</v>
      </c>
      <c r="G27" s="46">
        <v>91.3</v>
      </c>
      <c r="H27" s="46">
        <f t="shared" si="0"/>
        <v>2921.6</v>
      </c>
      <c r="I27" s="46">
        <v>0</v>
      </c>
      <c r="J27" s="46">
        <v>0</v>
      </c>
      <c r="K27" s="46">
        <f>I27*J27</f>
        <v>0</v>
      </c>
      <c r="L27" s="46">
        <f t="shared" si="2"/>
        <v>2921.6</v>
      </c>
      <c r="M27" s="46">
        <v>0</v>
      </c>
      <c r="N27" s="258"/>
      <c r="O27" s="258"/>
    </row>
    <row r="28" spans="1:15">
      <c r="A28" s="272">
        <v>25</v>
      </c>
      <c r="B28" s="270">
        <v>45802</v>
      </c>
      <c r="C28" s="46">
        <v>0</v>
      </c>
      <c r="D28" s="46">
        <v>0</v>
      </c>
      <c r="E28" s="46"/>
      <c r="F28" s="46">
        <v>0</v>
      </c>
      <c r="G28" s="46">
        <v>91.3</v>
      </c>
      <c r="H28" s="46">
        <f t="shared" si="0"/>
        <v>0</v>
      </c>
      <c r="I28" s="46">
        <v>0</v>
      </c>
      <c r="J28" s="46">
        <v>0</v>
      </c>
      <c r="K28" s="46">
        <f t="shared" si="1"/>
        <v>0</v>
      </c>
      <c r="L28" s="46">
        <f t="shared" si="2"/>
        <v>0</v>
      </c>
      <c r="M28" s="46">
        <v>0</v>
      </c>
      <c r="N28" s="46"/>
      <c r="O28" s="46"/>
    </row>
    <row r="29" spans="1:15">
      <c r="A29" s="272">
        <v>26</v>
      </c>
      <c r="B29" s="270">
        <v>45803</v>
      </c>
      <c r="C29" s="46">
        <v>0</v>
      </c>
      <c r="D29" s="46">
        <v>0</v>
      </c>
      <c r="E29" s="46"/>
      <c r="F29" s="46">
        <v>55</v>
      </c>
      <c r="G29" s="46">
        <v>91.3</v>
      </c>
      <c r="H29" s="46">
        <f t="shared" si="0"/>
        <v>5021.5</v>
      </c>
      <c r="I29" s="46">
        <v>0</v>
      </c>
      <c r="J29" s="46">
        <v>0</v>
      </c>
      <c r="K29" s="46">
        <f t="shared" si="1"/>
        <v>0</v>
      </c>
      <c r="L29" s="46">
        <f t="shared" si="2"/>
        <v>5021.5</v>
      </c>
      <c r="M29" s="46">
        <v>0</v>
      </c>
      <c r="N29" s="46"/>
      <c r="O29" s="46"/>
    </row>
    <row r="30" spans="1:15">
      <c r="A30" s="272">
        <v>27</v>
      </c>
      <c r="B30" s="270">
        <v>45804</v>
      </c>
      <c r="C30" s="46">
        <v>0</v>
      </c>
      <c r="D30" s="46">
        <v>0</v>
      </c>
      <c r="E30" s="46"/>
      <c r="F30" s="46">
        <v>0</v>
      </c>
      <c r="G30" s="46">
        <v>91.3</v>
      </c>
      <c r="H30" s="46">
        <f t="shared" si="0"/>
        <v>0</v>
      </c>
      <c r="I30" s="46">
        <v>0</v>
      </c>
      <c r="J30" s="46">
        <v>0</v>
      </c>
      <c r="K30" s="46">
        <f t="shared" si="1"/>
        <v>0</v>
      </c>
      <c r="L30" s="46">
        <f t="shared" si="2"/>
        <v>0</v>
      </c>
      <c r="M30" s="46">
        <v>0</v>
      </c>
      <c r="N30" s="46"/>
      <c r="O30" s="46"/>
    </row>
    <row r="31" spans="1:15">
      <c r="A31" s="272">
        <v>28</v>
      </c>
      <c r="B31" s="270">
        <v>45805</v>
      </c>
      <c r="C31" s="46">
        <v>0</v>
      </c>
      <c r="D31" s="46">
        <v>0</v>
      </c>
      <c r="E31" s="46"/>
      <c r="F31" s="46">
        <v>54.76</v>
      </c>
      <c r="G31" s="46">
        <v>91.3</v>
      </c>
      <c r="H31" s="46">
        <f t="shared" si="0"/>
        <v>4999.5879999999997</v>
      </c>
      <c r="I31" s="46">
        <v>0</v>
      </c>
      <c r="J31" s="46">
        <v>0</v>
      </c>
      <c r="K31" s="46">
        <f t="shared" si="1"/>
        <v>0</v>
      </c>
      <c r="L31" s="46">
        <f>H31+K31</f>
        <v>4999.5879999999997</v>
      </c>
      <c r="M31" s="46">
        <v>0</v>
      </c>
      <c r="N31" s="46"/>
      <c r="O31" s="46"/>
    </row>
    <row r="32" spans="1:15">
      <c r="A32" s="273">
        <v>29</v>
      </c>
      <c r="B32" s="270">
        <v>45806</v>
      </c>
      <c r="C32" s="46">
        <v>0</v>
      </c>
      <c r="D32" s="46">
        <v>0</v>
      </c>
      <c r="E32" s="46"/>
      <c r="F32" s="46">
        <v>54.76</v>
      </c>
      <c r="G32" s="46">
        <v>91.3</v>
      </c>
      <c r="H32" s="46">
        <f t="shared" si="0"/>
        <v>4999.5879999999997</v>
      </c>
      <c r="I32" s="46">
        <v>4.84</v>
      </c>
      <c r="J32" s="46">
        <v>103.22</v>
      </c>
      <c r="K32" s="46">
        <f>I32*J32</f>
        <v>499.58479999999997</v>
      </c>
      <c r="L32" s="46">
        <f t="shared" si="2"/>
        <v>5499.1727999999994</v>
      </c>
      <c r="M32" s="46">
        <v>0</v>
      </c>
      <c r="N32" s="46"/>
      <c r="O32" s="46"/>
    </row>
    <row r="33" spans="1:15">
      <c r="A33" s="273">
        <v>30</v>
      </c>
      <c r="B33" s="270">
        <v>45807</v>
      </c>
      <c r="C33" s="46">
        <v>0</v>
      </c>
      <c r="D33" s="46">
        <v>0</v>
      </c>
      <c r="E33" s="46"/>
      <c r="F33" s="46">
        <v>0</v>
      </c>
      <c r="G33" s="46">
        <v>0</v>
      </c>
      <c r="H33" s="46">
        <f t="shared" si="0"/>
        <v>0</v>
      </c>
      <c r="I33" s="46">
        <v>0</v>
      </c>
      <c r="J33" s="46">
        <v>0</v>
      </c>
      <c r="K33" s="46">
        <f t="shared" si="1"/>
        <v>0</v>
      </c>
      <c r="L33" s="46">
        <f t="shared" si="2"/>
        <v>0</v>
      </c>
      <c r="M33" s="46">
        <v>0</v>
      </c>
      <c r="N33" s="46"/>
      <c r="O33" s="46"/>
    </row>
    <row r="34" spans="1:15">
      <c r="A34" s="273">
        <v>31</v>
      </c>
      <c r="B34" s="270">
        <v>45808</v>
      </c>
      <c r="C34" s="46">
        <v>0</v>
      </c>
      <c r="D34" s="46">
        <v>0</v>
      </c>
      <c r="E34" s="46"/>
      <c r="F34" s="46">
        <v>120.48</v>
      </c>
      <c r="G34" s="46">
        <v>91.3</v>
      </c>
      <c r="H34" s="46">
        <f t="shared" si="0"/>
        <v>10999.824000000001</v>
      </c>
      <c r="I34" s="46">
        <v>4.84</v>
      </c>
      <c r="J34" s="46">
        <v>103.22</v>
      </c>
      <c r="K34" s="46">
        <f>I34*J34</f>
        <v>499.58479999999997</v>
      </c>
      <c r="L34" s="46">
        <f t="shared" si="2"/>
        <v>11499.408800000001</v>
      </c>
      <c r="M34" s="46">
        <v>0</v>
      </c>
      <c r="N34" s="46"/>
      <c r="O34" s="46"/>
    </row>
    <row r="35" spans="1:15">
      <c r="A35" s="209"/>
      <c r="B35" s="209"/>
      <c r="C35" s="209"/>
      <c r="D35" s="209"/>
      <c r="E35" s="209">
        <f>SUM(E4:E34)</f>
        <v>0</v>
      </c>
      <c r="F35" s="209">
        <f>SUM(F4:F34)</f>
        <v>317</v>
      </c>
      <c r="G35" s="209"/>
      <c r="H35" s="209">
        <f>SUM(H4:H34)</f>
        <v>28942.1</v>
      </c>
      <c r="I35" s="209">
        <f>SUM(I4:I34)</f>
        <v>9.68</v>
      </c>
      <c r="J35" s="209"/>
      <c r="K35" s="209">
        <f>SUM(K4:K34)</f>
        <v>999.16959999999995</v>
      </c>
      <c r="L35" s="209">
        <f>SUM(L4:L34)</f>
        <v>29941.2696</v>
      </c>
      <c r="M35" s="209"/>
      <c r="N35" s="209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8B2D-F4B4-4D9B-ADBF-B484D3DAD6F7}">
  <sheetPr>
    <tabColor rgb="FF002060"/>
  </sheetPr>
  <dimension ref="A1:R37"/>
  <sheetViews>
    <sheetView topLeftCell="A18" workbookViewId="0">
      <selection activeCell="G43" sqref="G43"/>
    </sheetView>
  </sheetViews>
  <sheetFormatPr defaultColWidth="12.42578125" defaultRowHeight="15"/>
  <cols>
    <col min="1" max="1" width="7.7109375" customWidth="1"/>
    <col min="2" max="15" width="12.42578125" style="24"/>
  </cols>
  <sheetData>
    <row r="1" spans="1:14" ht="15.75">
      <c r="A1" s="470" t="s">
        <v>78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30.75">
      <c r="A2" s="141" t="s">
        <v>99</v>
      </c>
      <c r="B2" s="260" t="s">
        <v>100</v>
      </c>
      <c r="C2" s="260" t="s">
        <v>101</v>
      </c>
      <c r="D2" s="260" t="s">
        <v>122</v>
      </c>
      <c r="E2" s="260" t="s">
        <v>103</v>
      </c>
      <c r="F2" s="260" t="s">
        <v>104</v>
      </c>
      <c r="G2" s="260" t="s">
        <v>105</v>
      </c>
      <c r="H2" s="260" t="s">
        <v>106</v>
      </c>
      <c r="I2" s="260" t="s">
        <v>104</v>
      </c>
      <c r="J2" s="260" t="s">
        <v>105</v>
      </c>
      <c r="K2" s="202" t="s">
        <v>107</v>
      </c>
      <c r="L2" s="202" t="s">
        <v>108</v>
      </c>
      <c r="M2" s="202" t="s">
        <v>115</v>
      </c>
      <c r="N2" s="260" t="s">
        <v>110</v>
      </c>
    </row>
    <row r="3" spans="1:14">
      <c r="A3" s="471" t="s">
        <v>111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>
        <v>0</v>
      </c>
      <c r="N3" s="471"/>
    </row>
    <row r="4" spans="1:14">
      <c r="A4" s="234">
        <v>1</v>
      </c>
      <c r="B4" s="270">
        <v>45778</v>
      </c>
      <c r="C4" s="46">
        <v>0</v>
      </c>
      <c r="D4" s="46"/>
      <c r="E4" s="46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>
        <v>0</v>
      </c>
      <c r="M4" s="46">
        <f>M3+K4-L4</f>
        <v>0</v>
      </c>
      <c r="N4" s="46"/>
    </row>
    <row r="5" spans="1:14">
      <c r="A5" s="55">
        <v>2</v>
      </c>
      <c r="B5" s="270">
        <v>45779</v>
      </c>
      <c r="C5" s="46">
        <v>0</v>
      </c>
      <c r="D5" s="46"/>
      <c r="E5" s="46">
        <v>0</v>
      </c>
      <c r="F5" s="46">
        <v>0</v>
      </c>
      <c r="G5" s="46">
        <f t="shared" ref="G5:G34" si="0">E5*F5</f>
        <v>0</v>
      </c>
      <c r="H5" s="46">
        <v>0</v>
      </c>
      <c r="I5" s="46">
        <v>0</v>
      </c>
      <c r="J5" s="46">
        <f t="shared" ref="J5:J34" si="1">H5*I5</f>
        <v>0</v>
      </c>
      <c r="K5" s="46">
        <f t="shared" ref="K5:K34" si="2">G5+J5</f>
        <v>0</v>
      </c>
      <c r="L5" s="46">
        <v>0</v>
      </c>
      <c r="M5" s="46">
        <f t="shared" ref="M5:M12" si="3">M4+K5-L5</f>
        <v>0</v>
      </c>
      <c r="N5" s="46"/>
    </row>
    <row r="6" spans="1:14">
      <c r="A6" s="55">
        <v>3</v>
      </c>
      <c r="B6" s="270">
        <v>45780</v>
      </c>
      <c r="C6" s="46">
        <v>0</v>
      </c>
      <c r="D6" s="46"/>
      <c r="E6" s="46">
        <v>0</v>
      </c>
      <c r="F6" s="46">
        <v>0</v>
      </c>
      <c r="G6" s="46">
        <f t="shared" si="0"/>
        <v>0</v>
      </c>
      <c r="H6" s="46">
        <v>0</v>
      </c>
      <c r="I6" s="46">
        <v>0</v>
      </c>
      <c r="J6" s="46">
        <f t="shared" si="1"/>
        <v>0</v>
      </c>
      <c r="K6" s="46">
        <f t="shared" si="2"/>
        <v>0</v>
      </c>
      <c r="L6" s="46">
        <v>0</v>
      </c>
      <c r="M6" s="46">
        <f t="shared" si="3"/>
        <v>0</v>
      </c>
      <c r="N6" s="46"/>
    </row>
    <row r="7" spans="1:14">
      <c r="A7" s="55">
        <v>4</v>
      </c>
      <c r="B7" s="270">
        <v>45781</v>
      </c>
      <c r="C7" s="46">
        <v>0</v>
      </c>
      <c r="D7" s="46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v>0</v>
      </c>
      <c r="M7" s="46">
        <f t="shared" si="3"/>
        <v>0</v>
      </c>
      <c r="N7" s="46"/>
    </row>
    <row r="8" spans="1:14">
      <c r="A8" s="55">
        <v>5</v>
      </c>
      <c r="B8" s="270">
        <v>45782</v>
      </c>
      <c r="C8" s="46">
        <v>0</v>
      </c>
      <c r="D8" s="46"/>
      <c r="E8" s="46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1"/>
        <v>0</v>
      </c>
      <c r="K8" s="46">
        <f t="shared" si="2"/>
        <v>0</v>
      </c>
      <c r="L8" s="46">
        <v>0</v>
      </c>
      <c r="M8" s="46">
        <f t="shared" si="3"/>
        <v>0</v>
      </c>
      <c r="N8" s="46"/>
    </row>
    <row r="9" spans="1:14">
      <c r="A9" s="55">
        <v>6</v>
      </c>
      <c r="B9" s="270">
        <v>45783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>
        <v>0</v>
      </c>
      <c r="M9" s="46">
        <f t="shared" si="3"/>
        <v>0</v>
      </c>
      <c r="N9" s="46"/>
    </row>
    <row r="10" spans="1:14">
      <c r="A10" s="55">
        <v>7</v>
      </c>
      <c r="B10" s="270">
        <v>45784</v>
      </c>
      <c r="C10" s="46">
        <v>0</v>
      </c>
      <c r="D10" s="46"/>
      <c r="E10" s="46">
        <v>0</v>
      </c>
      <c r="F10" s="46">
        <v>0</v>
      </c>
      <c r="G10" s="46">
        <f t="shared" si="0"/>
        <v>0</v>
      </c>
      <c r="H10" s="46">
        <v>0</v>
      </c>
      <c r="I10" s="46">
        <v>0</v>
      </c>
      <c r="J10" s="46">
        <f t="shared" si="1"/>
        <v>0</v>
      </c>
      <c r="K10" s="46">
        <f t="shared" si="2"/>
        <v>0</v>
      </c>
      <c r="L10" s="46">
        <v>0</v>
      </c>
      <c r="M10" s="46">
        <f t="shared" si="3"/>
        <v>0</v>
      </c>
      <c r="N10" s="46"/>
    </row>
    <row r="11" spans="1:14">
      <c r="A11" s="55">
        <v>8</v>
      </c>
      <c r="B11" s="270">
        <v>45785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v>0</v>
      </c>
      <c r="M11" s="46">
        <f t="shared" si="3"/>
        <v>0</v>
      </c>
      <c r="N11" s="46"/>
    </row>
    <row r="12" spans="1:14">
      <c r="A12" s="55">
        <v>9</v>
      </c>
      <c r="B12" s="270">
        <v>45786</v>
      </c>
      <c r="C12" s="46">
        <v>0</v>
      </c>
      <c r="D12" s="46"/>
      <c r="E12" s="46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>
        <v>0</v>
      </c>
      <c r="M12" s="46">
        <f t="shared" si="3"/>
        <v>0</v>
      </c>
      <c r="N12" s="46"/>
    </row>
    <row r="13" spans="1:14">
      <c r="A13" s="55">
        <v>10</v>
      </c>
      <c r="B13" s="270">
        <v>45787</v>
      </c>
      <c r="C13" s="46">
        <v>0</v>
      </c>
      <c r="D13" s="46"/>
      <c r="E13" s="46">
        <v>112.92</v>
      </c>
      <c r="F13" s="46">
        <v>91.14</v>
      </c>
      <c r="G13" s="46">
        <f t="shared" si="0"/>
        <v>10291.5288</v>
      </c>
      <c r="H13" s="46">
        <v>6</v>
      </c>
      <c r="I13" s="46">
        <v>103.05</v>
      </c>
      <c r="J13" s="46">
        <f t="shared" si="1"/>
        <v>618.29999999999995</v>
      </c>
      <c r="K13" s="46">
        <f t="shared" si="2"/>
        <v>10909.828799999999</v>
      </c>
      <c r="L13" s="46">
        <f>+K13</f>
        <v>10909.828799999999</v>
      </c>
      <c r="M13" s="46">
        <f>M12+K13-L13</f>
        <v>0</v>
      </c>
      <c r="N13" s="46"/>
    </row>
    <row r="14" spans="1:14">
      <c r="A14" s="55">
        <v>11</v>
      </c>
      <c r="B14" s="270">
        <v>45788</v>
      </c>
      <c r="C14" s="46">
        <v>0</v>
      </c>
      <c r="D14" s="46"/>
      <c r="E14" s="46">
        <v>0</v>
      </c>
      <c r="F14" s="46">
        <v>0</v>
      </c>
      <c r="G14" s="46">
        <f t="shared" si="0"/>
        <v>0</v>
      </c>
      <c r="H14" s="46">
        <v>0</v>
      </c>
      <c r="I14" s="46">
        <v>0</v>
      </c>
      <c r="J14" s="46">
        <f t="shared" si="1"/>
        <v>0</v>
      </c>
      <c r="K14" s="46">
        <f t="shared" si="2"/>
        <v>0</v>
      </c>
      <c r="L14" s="46">
        <f>+K14</f>
        <v>0</v>
      </c>
      <c r="M14" s="46">
        <f>M13+K14-L14</f>
        <v>0</v>
      </c>
      <c r="N14" s="46"/>
    </row>
    <row r="15" spans="1:14">
      <c r="A15" s="55">
        <v>12</v>
      </c>
      <c r="B15" s="270">
        <v>45789</v>
      </c>
      <c r="C15" s="46">
        <v>0</v>
      </c>
      <c r="D15" s="46"/>
      <c r="E15" s="46">
        <v>0</v>
      </c>
      <c r="F15" s="46">
        <v>0</v>
      </c>
      <c r="G15" s="46">
        <f t="shared" si="0"/>
        <v>0</v>
      </c>
      <c r="H15" s="46">
        <v>0</v>
      </c>
      <c r="I15" s="46">
        <v>0</v>
      </c>
      <c r="J15" s="46">
        <f t="shared" si="1"/>
        <v>0</v>
      </c>
      <c r="K15" s="46">
        <f t="shared" si="2"/>
        <v>0</v>
      </c>
      <c r="L15" s="46">
        <f>+K15</f>
        <v>0</v>
      </c>
      <c r="M15" s="46">
        <f>M14+K15-L15</f>
        <v>0</v>
      </c>
      <c r="N15" s="46"/>
    </row>
    <row r="16" spans="1:14">
      <c r="A16" s="55">
        <v>13</v>
      </c>
      <c r="B16" s="270">
        <v>45790</v>
      </c>
      <c r="C16" s="46">
        <v>0</v>
      </c>
      <c r="D16" s="46"/>
      <c r="E16" s="46">
        <v>0</v>
      </c>
      <c r="F16" s="46">
        <v>0</v>
      </c>
      <c r="G16" s="46">
        <f t="shared" si="0"/>
        <v>0</v>
      </c>
      <c r="H16" s="46">
        <v>6</v>
      </c>
      <c r="I16" s="46">
        <v>103.05</v>
      </c>
      <c r="J16" s="46">
        <f t="shared" si="1"/>
        <v>618.29999999999995</v>
      </c>
      <c r="K16" s="46">
        <f t="shared" si="2"/>
        <v>618.29999999999995</v>
      </c>
      <c r="L16" s="46">
        <f>+K16</f>
        <v>618.29999999999995</v>
      </c>
      <c r="M16" s="46">
        <f>M15+K16-L16</f>
        <v>0</v>
      </c>
      <c r="N16" s="46"/>
    </row>
    <row r="17" spans="1:18">
      <c r="A17" s="55">
        <v>14</v>
      </c>
      <c r="B17" s="270">
        <v>45791</v>
      </c>
      <c r="C17" s="46">
        <v>0</v>
      </c>
      <c r="D17" s="46"/>
      <c r="E17" s="46">
        <v>0</v>
      </c>
      <c r="F17" s="46">
        <v>0</v>
      </c>
      <c r="G17" s="46">
        <f t="shared" si="0"/>
        <v>0</v>
      </c>
      <c r="H17" s="46">
        <v>6</v>
      </c>
      <c r="I17" s="46">
        <v>103.5</v>
      </c>
      <c r="J17" s="46">
        <f t="shared" si="1"/>
        <v>621</v>
      </c>
      <c r="K17" s="46">
        <f t="shared" si="2"/>
        <v>621</v>
      </c>
      <c r="L17" s="46">
        <f>+K17</f>
        <v>621</v>
      </c>
      <c r="M17" s="46">
        <v>0</v>
      </c>
      <c r="N17" s="46"/>
      <c r="R17" s="280"/>
    </row>
    <row r="18" spans="1:18">
      <c r="A18" s="55">
        <v>15</v>
      </c>
      <c r="B18" s="270">
        <v>45792</v>
      </c>
      <c r="C18" s="46">
        <v>0</v>
      </c>
      <c r="D18" s="46"/>
      <c r="E18" s="46">
        <v>20</v>
      </c>
      <c r="F18" s="46">
        <v>91.14</v>
      </c>
      <c r="G18" s="46">
        <f t="shared" si="0"/>
        <v>1822.8</v>
      </c>
      <c r="H18" s="46">
        <v>0</v>
      </c>
      <c r="I18" s="46">
        <v>0</v>
      </c>
      <c r="J18" s="46">
        <f t="shared" si="1"/>
        <v>0</v>
      </c>
      <c r="K18" s="46">
        <f t="shared" si="2"/>
        <v>1822.8</v>
      </c>
      <c r="L18" s="46">
        <f>+K18</f>
        <v>1822.8</v>
      </c>
      <c r="M18" s="46">
        <v>0</v>
      </c>
      <c r="N18" s="46"/>
    </row>
    <row r="19" spans="1:18">
      <c r="A19" s="55">
        <v>16</v>
      </c>
      <c r="B19" s="270">
        <v>45793</v>
      </c>
      <c r="C19" s="46">
        <v>0</v>
      </c>
      <c r="D19" s="46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f>+K19</f>
        <v>0</v>
      </c>
      <c r="M19" s="46">
        <v>0</v>
      </c>
      <c r="N19" s="46"/>
    </row>
    <row r="20" spans="1:18">
      <c r="A20" s="55">
        <v>17</v>
      </c>
      <c r="B20" s="270">
        <v>45794</v>
      </c>
      <c r="C20" s="46">
        <v>0</v>
      </c>
      <c r="D20" s="46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>
        <v>0</v>
      </c>
      <c r="M20" s="46">
        <v>0</v>
      </c>
      <c r="N20" s="46"/>
    </row>
    <row r="21" spans="1:18">
      <c r="A21" s="55">
        <v>18</v>
      </c>
      <c r="B21" s="270">
        <v>45795</v>
      </c>
      <c r="C21" s="46">
        <v>0</v>
      </c>
      <c r="D21" s="46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>
        <v>0</v>
      </c>
      <c r="M21" s="46">
        <v>0</v>
      </c>
      <c r="N21" s="46"/>
    </row>
    <row r="22" spans="1:18">
      <c r="A22" s="55">
        <v>19</v>
      </c>
      <c r="B22" s="270">
        <v>45796</v>
      </c>
      <c r="C22" s="46">
        <v>0</v>
      </c>
      <c r="D22" s="46"/>
      <c r="E22" s="46">
        <v>0</v>
      </c>
      <c r="F22" s="46">
        <v>0</v>
      </c>
      <c r="G22" s="46">
        <f t="shared" si="0"/>
        <v>0</v>
      </c>
      <c r="H22" s="46">
        <v>0</v>
      </c>
      <c r="I22" s="46">
        <v>0</v>
      </c>
      <c r="J22" s="46">
        <f t="shared" si="1"/>
        <v>0</v>
      </c>
      <c r="K22" s="46">
        <f t="shared" si="2"/>
        <v>0</v>
      </c>
      <c r="L22" s="46">
        <v>0</v>
      </c>
      <c r="M22" s="46">
        <v>0</v>
      </c>
      <c r="N22" s="46"/>
    </row>
    <row r="23" spans="1:18">
      <c r="A23" s="55">
        <v>20</v>
      </c>
      <c r="B23" s="270">
        <v>45797</v>
      </c>
      <c r="C23" s="46">
        <v>0</v>
      </c>
      <c r="D23" s="46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v>0</v>
      </c>
      <c r="M23" s="46">
        <v>0</v>
      </c>
      <c r="N23" s="46"/>
    </row>
    <row r="24" spans="1:18">
      <c r="A24" s="55">
        <v>21</v>
      </c>
      <c r="B24" s="270">
        <v>45798</v>
      </c>
      <c r="C24" s="46">
        <v>0</v>
      </c>
      <c r="D24" s="46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v>0</v>
      </c>
      <c r="M24" s="46">
        <v>0</v>
      </c>
      <c r="N24" s="46"/>
    </row>
    <row r="25" spans="1:18">
      <c r="A25" s="55">
        <v>22</v>
      </c>
      <c r="B25" s="270">
        <v>45799</v>
      </c>
      <c r="C25" s="46">
        <v>0</v>
      </c>
      <c r="D25" s="46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>
        <v>0</v>
      </c>
      <c r="M25" s="46">
        <v>0</v>
      </c>
      <c r="N25" s="46"/>
    </row>
    <row r="26" spans="1:18">
      <c r="A26" s="55">
        <v>23</v>
      </c>
      <c r="B26" s="270">
        <v>45800</v>
      </c>
      <c r="C26" s="46">
        <v>0</v>
      </c>
      <c r="D26" s="46"/>
      <c r="E26" s="46">
        <v>0</v>
      </c>
      <c r="F26" s="46">
        <v>0</v>
      </c>
      <c r="G26" s="46">
        <f t="shared" si="0"/>
        <v>0</v>
      </c>
      <c r="H26" s="46">
        <v>0</v>
      </c>
      <c r="I26" s="46">
        <v>0</v>
      </c>
      <c r="J26" s="46">
        <f t="shared" si="1"/>
        <v>0</v>
      </c>
      <c r="K26" s="46">
        <f t="shared" si="2"/>
        <v>0</v>
      </c>
      <c r="L26" s="46">
        <v>0</v>
      </c>
      <c r="M26" s="46">
        <v>0</v>
      </c>
      <c r="N26" s="46"/>
    </row>
    <row r="27" spans="1:18">
      <c r="A27" s="55">
        <v>24</v>
      </c>
      <c r="B27" s="270">
        <v>45801</v>
      </c>
      <c r="C27" s="46">
        <v>0</v>
      </c>
      <c r="D27" s="46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v>0</v>
      </c>
      <c r="M27" s="258"/>
      <c r="N27" s="258"/>
    </row>
    <row r="28" spans="1:18">
      <c r="A28" s="272">
        <v>25</v>
      </c>
      <c r="B28" s="270">
        <v>45802</v>
      </c>
      <c r="C28" s="46">
        <v>0</v>
      </c>
      <c r="D28" s="46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v>0</v>
      </c>
      <c r="M28" s="46"/>
      <c r="N28" s="46"/>
    </row>
    <row r="29" spans="1:18">
      <c r="A29" s="272">
        <v>26</v>
      </c>
      <c r="B29" s="270">
        <v>45803</v>
      </c>
      <c r="C29" s="46">
        <v>0</v>
      </c>
      <c r="D29" s="46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>
        <v>0</v>
      </c>
      <c r="M29" s="46"/>
      <c r="N29" s="46"/>
    </row>
    <row r="30" spans="1:18">
      <c r="A30" s="272">
        <v>27</v>
      </c>
      <c r="B30" s="270">
        <v>45804</v>
      </c>
      <c r="C30" s="46">
        <v>0</v>
      </c>
      <c r="D30" s="46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>
        <v>0</v>
      </c>
      <c r="M30" s="46"/>
      <c r="N30" s="46"/>
    </row>
    <row r="31" spans="1:18">
      <c r="A31" s="272">
        <v>28</v>
      </c>
      <c r="B31" s="270">
        <v>45805</v>
      </c>
      <c r="C31" s="46">
        <v>0</v>
      </c>
      <c r="D31" s="46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>
        <v>0</v>
      </c>
      <c r="M31" s="46"/>
      <c r="N31" s="46"/>
    </row>
    <row r="32" spans="1:18">
      <c r="A32" s="273">
        <v>29</v>
      </c>
      <c r="B32" s="270">
        <v>45806</v>
      </c>
      <c r="C32" s="46">
        <v>0</v>
      </c>
      <c r="D32" s="46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v>0</v>
      </c>
      <c r="M32" s="46"/>
      <c r="N32" s="46"/>
    </row>
    <row r="33" spans="1:14">
      <c r="A33" s="273">
        <v>30</v>
      </c>
      <c r="B33" s="270">
        <v>45807</v>
      </c>
      <c r="C33" s="46">
        <v>0</v>
      </c>
      <c r="D33" s="46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v>0</v>
      </c>
      <c r="M33" s="46"/>
      <c r="N33" s="46"/>
    </row>
    <row r="34" spans="1:14">
      <c r="A34" s="273">
        <v>31</v>
      </c>
      <c r="B34" s="270">
        <v>45808</v>
      </c>
      <c r="C34" s="46">
        <v>0</v>
      </c>
      <c r="D34" s="46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>
        <f t="shared" ref="L34" si="4">+K34</f>
        <v>0</v>
      </c>
      <c r="M34" s="46"/>
      <c r="N34" s="46"/>
    </row>
    <row r="35" spans="1:14">
      <c r="A35" s="209"/>
      <c r="B35" s="209"/>
      <c r="C35" s="209"/>
      <c r="D35" s="209"/>
      <c r="E35" s="209">
        <f>SUM(E4:E34)</f>
        <v>132.92000000000002</v>
      </c>
      <c r="F35" s="209"/>
      <c r="G35" s="209">
        <f>SUM(G4:G34)</f>
        <v>12114.328799999999</v>
      </c>
      <c r="H35" s="209">
        <f>SUM(H4:H34)</f>
        <v>18</v>
      </c>
      <c r="I35" s="209"/>
      <c r="J35" s="209">
        <f>SUM(J4:J34)</f>
        <v>1857.6</v>
      </c>
      <c r="K35" s="209">
        <f>SUM(K4:K34)</f>
        <v>13971.928799999998</v>
      </c>
      <c r="L35" s="209">
        <f>SUM(L4:L34)</f>
        <v>13971.928799999998</v>
      </c>
      <c r="M35" s="209"/>
      <c r="N35" s="209"/>
    </row>
    <row r="36" spans="1:14">
      <c r="E36" s="24">
        <v>20</v>
      </c>
      <c r="G36" s="24">
        <v>1835.6</v>
      </c>
      <c r="H36" s="24">
        <v>19.28</v>
      </c>
      <c r="J36" s="24">
        <v>1999.9144000000001</v>
      </c>
      <c r="K36" s="24">
        <v>3835.5144</v>
      </c>
      <c r="L36" s="24">
        <v>3835.5144</v>
      </c>
    </row>
    <row r="37" spans="1:14">
      <c r="E37" s="24">
        <f>SUM(E35:E36)</f>
        <v>152.92000000000002</v>
      </c>
      <c r="G37" s="24">
        <f>SUM(G35:G36)</f>
        <v>13949.9288</v>
      </c>
      <c r="H37" s="24">
        <f>SUM(H35:H36)</f>
        <v>37.28</v>
      </c>
      <c r="J37" s="24">
        <f>SUM(J35:J36)</f>
        <v>3857.5144</v>
      </c>
      <c r="K37" s="24">
        <f>SUM(K35:K36)</f>
        <v>17807.443199999998</v>
      </c>
      <c r="L37" s="24">
        <f>SUM(L35:L36)</f>
        <v>17807.443199999998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50"/>
  <sheetViews>
    <sheetView workbookViewId="0">
      <pane ySplit="2" topLeftCell="A21" activePane="bottomLeft" state="frozen"/>
      <selection pane="bottomLeft" activeCell="R37" sqref="R37"/>
    </sheetView>
  </sheetViews>
  <sheetFormatPr defaultRowHeight="15"/>
  <cols>
    <col min="1" max="1" width="6.140625" bestFit="1" customWidth="1"/>
    <col min="2" max="2" width="11.85546875" style="91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19" bestFit="1" customWidth="1"/>
    <col min="8" max="8" width="10.85546875" bestFit="1" customWidth="1"/>
    <col min="9" max="9" width="8.140625" bestFit="1" customWidth="1"/>
    <col min="10" max="10" width="10.85546875" style="219" bestFit="1" customWidth="1"/>
    <col min="11" max="11" width="13.85546875" style="91" bestFit="1" customWidth="1"/>
    <col min="12" max="12" width="12.7109375" style="91" bestFit="1" customWidth="1"/>
    <col min="13" max="13" width="12.7109375" style="91" customWidth="1"/>
    <col min="14" max="14" width="14.140625" bestFit="1" customWidth="1"/>
    <col min="15" max="15" width="10.42578125" customWidth="1"/>
  </cols>
  <sheetData>
    <row r="1" spans="1:15" ht="15.75">
      <c r="A1" s="427" t="s">
        <v>72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65"/>
    </row>
    <row r="2" spans="1:15">
      <c r="A2" s="66" t="s">
        <v>99</v>
      </c>
      <c r="B2" s="67" t="s">
        <v>100</v>
      </c>
      <c r="C2" s="67" t="s">
        <v>101</v>
      </c>
      <c r="D2" s="67" t="s">
        <v>102</v>
      </c>
      <c r="E2" s="114" t="s">
        <v>103</v>
      </c>
      <c r="F2" s="114" t="s">
        <v>104</v>
      </c>
      <c r="G2" s="213" t="s">
        <v>105</v>
      </c>
      <c r="H2" s="114" t="s">
        <v>106</v>
      </c>
      <c r="I2" s="114" t="s">
        <v>104</v>
      </c>
      <c r="J2" s="220" t="s">
        <v>105</v>
      </c>
      <c r="K2" s="115" t="s">
        <v>107</v>
      </c>
      <c r="L2" s="157" t="s">
        <v>108</v>
      </c>
      <c r="M2" s="162" t="s">
        <v>115</v>
      </c>
      <c r="N2" s="116" t="s">
        <v>110</v>
      </c>
      <c r="O2" s="72"/>
    </row>
    <row r="3" spans="1:15">
      <c r="A3" s="259"/>
      <c r="B3"/>
      <c r="D3" s="112" t="s">
        <v>111</v>
      </c>
      <c r="E3" s="19"/>
      <c r="F3" s="19"/>
      <c r="G3" s="214"/>
      <c r="H3" s="19"/>
      <c r="I3" s="19"/>
      <c r="J3" s="214"/>
      <c r="K3" s="269">
        <v>1036347.3179000001</v>
      </c>
      <c r="L3" s="19"/>
      <c r="M3" s="166">
        <f>+K3</f>
        <v>1036347.3179000001</v>
      </c>
      <c r="N3" s="19"/>
      <c r="O3" s="72"/>
    </row>
    <row r="4" spans="1:15">
      <c r="A4" s="55">
        <v>1</v>
      </c>
      <c r="B4" s="240">
        <v>45778</v>
      </c>
      <c r="C4" s="11"/>
      <c r="D4" s="12"/>
      <c r="E4" s="15">
        <v>0</v>
      </c>
      <c r="F4" s="15">
        <v>0</v>
      </c>
      <c r="G4" s="215">
        <f>E4*F4</f>
        <v>0</v>
      </c>
      <c r="H4" s="159">
        <v>0</v>
      </c>
      <c r="I4" s="159">
        <v>0</v>
      </c>
      <c r="J4" s="221">
        <f>H4*I4</f>
        <v>0</v>
      </c>
      <c r="K4" s="253">
        <f>G4+J4</f>
        <v>0</v>
      </c>
      <c r="L4" s="81">
        <v>0</v>
      </c>
      <c r="M4" s="254">
        <f>M3+K4-L4</f>
        <v>1036347.3179000001</v>
      </c>
      <c r="N4" s="161"/>
      <c r="O4" s="82"/>
    </row>
    <row r="5" spans="1:15">
      <c r="A5" s="55">
        <v>2</v>
      </c>
      <c r="B5" s="240">
        <v>45779</v>
      </c>
      <c r="C5" s="256"/>
      <c r="D5" s="12"/>
      <c r="E5" s="15">
        <v>0</v>
      </c>
      <c r="F5" s="15">
        <v>0</v>
      </c>
      <c r="G5" s="215">
        <f t="shared" ref="G5:G33" si="0">E5*F5</f>
        <v>0</v>
      </c>
      <c r="H5" s="159">
        <v>0</v>
      </c>
      <c r="I5" s="159">
        <v>0</v>
      </c>
      <c r="J5" s="221">
        <f t="shared" ref="J5:J33" si="1">H5*I5</f>
        <v>0</v>
      </c>
      <c r="K5" s="253">
        <f t="shared" ref="K5:K33" si="2">G5+J5</f>
        <v>0</v>
      </c>
      <c r="L5" s="81">
        <v>0</v>
      </c>
      <c r="M5" s="254">
        <f>M4+K5-L5</f>
        <v>1036347.3179000001</v>
      </c>
      <c r="N5" s="14"/>
      <c r="O5" s="82"/>
    </row>
    <row r="6" spans="1:15">
      <c r="A6" s="55">
        <v>3</v>
      </c>
      <c r="B6" s="240">
        <v>45780</v>
      </c>
      <c r="C6" s="80"/>
      <c r="D6" s="12"/>
      <c r="E6" s="15">
        <v>0</v>
      </c>
      <c r="F6" s="15">
        <v>0</v>
      </c>
      <c r="G6" s="215">
        <f t="shared" si="0"/>
        <v>0</v>
      </c>
      <c r="H6" s="159">
        <v>0</v>
      </c>
      <c r="I6" s="159">
        <v>0</v>
      </c>
      <c r="J6" s="221">
        <f t="shared" si="1"/>
        <v>0</v>
      </c>
      <c r="K6" s="253">
        <f t="shared" si="2"/>
        <v>0</v>
      </c>
      <c r="L6" s="81">
        <v>0</v>
      </c>
      <c r="M6" s="255">
        <f>M5+K6-L6</f>
        <v>1036347.3179000001</v>
      </c>
      <c r="N6" s="47"/>
      <c r="O6" s="82"/>
    </row>
    <row r="7" spans="1:15">
      <c r="A7" s="55">
        <v>4</v>
      </c>
      <c r="B7" s="240">
        <v>45781</v>
      </c>
      <c r="C7" s="80"/>
      <c r="D7" s="12"/>
      <c r="E7" s="15">
        <v>0</v>
      </c>
      <c r="F7" s="15">
        <v>0</v>
      </c>
      <c r="G7" s="215">
        <f t="shared" si="0"/>
        <v>0</v>
      </c>
      <c r="H7" s="159">
        <v>0</v>
      </c>
      <c r="I7" s="159">
        <v>0</v>
      </c>
      <c r="J7" s="221">
        <f t="shared" si="1"/>
        <v>0</v>
      </c>
      <c r="K7" s="253">
        <f t="shared" si="2"/>
        <v>0</v>
      </c>
      <c r="L7" s="81">
        <v>0</v>
      </c>
      <c r="M7" s="255">
        <f t="shared" ref="M7:M33" si="3">M6+K7-L7</f>
        <v>1036347.3179000001</v>
      </c>
      <c r="N7" s="47"/>
      <c r="O7" s="82"/>
    </row>
    <row r="8" spans="1:15">
      <c r="A8" s="55">
        <v>5</v>
      </c>
      <c r="B8" s="240">
        <v>45782</v>
      </c>
      <c r="C8" s="80"/>
      <c r="D8" s="12"/>
      <c r="E8" s="15">
        <v>0</v>
      </c>
      <c r="F8" s="15">
        <v>0</v>
      </c>
      <c r="G8" s="215">
        <f t="shared" si="0"/>
        <v>0</v>
      </c>
      <c r="H8" s="159">
        <v>0</v>
      </c>
      <c r="I8" s="159">
        <v>0</v>
      </c>
      <c r="J8" s="221">
        <f t="shared" si="1"/>
        <v>0</v>
      </c>
      <c r="K8" s="253">
        <f t="shared" si="2"/>
        <v>0</v>
      </c>
      <c r="L8" s="81">
        <v>0</v>
      </c>
      <c r="M8" s="254">
        <f t="shared" si="3"/>
        <v>1036347.3179000001</v>
      </c>
      <c r="N8" s="251"/>
      <c r="O8" s="82"/>
    </row>
    <row r="9" spans="1:15">
      <c r="A9" s="55">
        <v>6</v>
      </c>
      <c r="B9" s="240">
        <v>45783</v>
      </c>
      <c r="C9" s="257"/>
      <c r="D9" s="12"/>
      <c r="E9" s="15">
        <v>0</v>
      </c>
      <c r="F9" s="15">
        <v>0</v>
      </c>
      <c r="G9" s="215">
        <f t="shared" si="0"/>
        <v>0</v>
      </c>
      <c r="H9" s="159">
        <v>0</v>
      </c>
      <c r="I9" s="159">
        <v>0</v>
      </c>
      <c r="J9" s="221">
        <f t="shared" si="1"/>
        <v>0</v>
      </c>
      <c r="K9" s="253">
        <f t="shared" si="2"/>
        <v>0</v>
      </c>
      <c r="L9" s="81">
        <v>0</v>
      </c>
      <c r="M9" s="254">
        <f t="shared" si="3"/>
        <v>1036347.3179000001</v>
      </c>
      <c r="N9" s="47"/>
      <c r="O9" s="82"/>
    </row>
    <row r="10" spans="1:15">
      <c r="A10" s="55">
        <v>7</v>
      </c>
      <c r="B10" s="240">
        <v>45784</v>
      </c>
      <c r="C10" s="83"/>
      <c r="D10" s="12"/>
      <c r="E10" s="15">
        <v>0</v>
      </c>
      <c r="F10" s="15">
        <v>0</v>
      </c>
      <c r="G10" s="215">
        <f t="shared" si="0"/>
        <v>0</v>
      </c>
      <c r="H10" s="159">
        <v>0</v>
      </c>
      <c r="I10" s="159">
        <v>0</v>
      </c>
      <c r="J10" s="221">
        <f t="shared" si="1"/>
        <v>0</v>
      </c>
      <c r="K10" s="253">
        <f t="shared" si="2"/>
        <v>0</v>
      </c>
      <c r="L10" s="81">
        <v>0</v>
      </c>
      <c r="M10" s="254">
        <f t="shared" si="3"/>
        <v>1036347.3179000001</v>
      </c>
      <c r="N10" s="47"/>
      <c r="O10" s="82"/>
    </row>
    <row r="11" spans="1:15">
      <c r="A11" s="55">
        <v>8</v>
      </c>
      <c r="B11" s="240">
        <v>45785</v>
      </c>
      <c r="C11" s="83"/>
      <c r="D11" s="12"/>
      <c r="E11" s="15">
        <v>0</v>
      </c>
      <c r="F11" s="15">
        <v>0</v>
      </c>
      <c r="G11" s="215">
        <f t="shared" si="0"/>
        <v>0</v>
      </c>
      <c r="H11" s="159">
        <v>0</v>
      </c>
      <c r="I11" s="159">
        <v>0</v>
      </c>
      <c r="J11" s="221">
        <f t="shared" si="1"/>
        <v>0</v>
      </c>
      <c r="K11" s="253">
        <f t="shared" si="2"/>
        <v>0</v>
      </c>
      <c r="L11" s="81">
        <v>0</v>
      </c>
      <c r="M11" s="254">
        <f t="shared" si="3"/>
        <v>1036347.3179000001</v>
      </c>
      <c r="N11" s="47"/>
      <c r="O11" s="82"/>
    </row>
    <row r="12" spans="1:15">
      <c r="A12" s="55">
        <v>9</v>
      </c>
      <c r="B12" s="240">
        <v>45786</v>
      </c>
      <c r="C12" s="83"/>
      <c r="D12" s="12"/>
      <c r="E12" s="15">
        <v>0</v>
      </c>
      <c r="F12" s="15">
        <v>0</v>
      </c>
      <c r="G12" s="215">
        <f t="shared" si="0"/>
        <v>0</v>
      </c>
      <c r="H12" s="159">
        <v>0</v>
      </c>
      <c r="I12" s="159">
        <v>0</v>
      </c>
      <c r="J12" s="221">
        <f t="shared" si="1"/>
        <v>0</v>
      </c>
      <c r="K12" s="253">
        <f t="shared" si="2"/>
        <v>0</v>
      </c>
      <c r="L12" s="81">
        <v>200000</v>
      </c>
      <c r="M12" s="254">
        <f t="shared" si="3"/>
        <v>836347.31790000014</v>
      </c>
      <c r="N12" s="47"/>
      <c r="O12" s="82"/>
    </row>
    <row r="13" spans="1:15">
      <c r="A13" s="55">
        <v>10</v>
      </c>
      <c r="B13" s="240">
        <v>45787</v>
      </c>
      <c r="C13" s="83"/>
      <c r="D13" s="12"/>
      <c r="E13" s="15">
        <v>0</v>
      </c>
      <c r="F13" s="15">
        <v>0</v>
      </c>
      <c r="G13" s="215">
        <f t="shared" si="0"/>
        <v>0</v>
      </c>
      <c r="H13" s="159">
        <v>0</v>
      </c>
      <c r="I13" s="159">
        <v>0</v>
      </c>
      <c r="J13" s="221">
        <f t="shared" si="1"/>
        <v>0</v>
      </c>
      <c r="K13" s="253">
        <f t="shared" si="2"/>
        <v>0</v>
      </c>
      <c r="L13" s="81">
        <v>0</v>
      </c>
      <c r="M13" s="254">
        <f t="shared" si="3"/>
        <v>836347.31790000014</v>
      </c>
      <c r="N13" s="47"/>
      <c r="O13" s="82"/>
    </row>
    <row r="14" spans="1:15">
      <c r="A14" s="55">
        <v>11</v>
      </c>
      <c r="B14" s="240">
        <v>45788</v>
      </c>
      <c r="C14" s="83"/>
      <c r="D14" s="12"/>
      <c r="E14" s="15">
        <v>0</v>
      </c>
      <c r="F14" s="15">
        <v>0</v>
      </c>
      <c r="G14" s="215">
        <f t="shared" si="0"/>
        <v>0</v>
      </c>
      <c r="H14" s="159">
        <v>0</v>
      </c>
      <c r="I14" s="159">
        <v>0</v>
      </c>
      <c r="J14" s="221">
        <f t="shared" si="1"/>
        <v>0</v>
      </c>
      <c r="K14" s="253">
        <f t="shared" si="2"/>
        <v>0</v>
      </c>
      <c r="L14" s="81">
        <v>0</v>
      </c>
      <c r="M14" s="254">
        <f t="shared" si="3"/>
        <v>836347.31790000014</v>
      </c>
      <c r="N14" s="47"/>
      <c r="O14" s="82"/>
    </row>
    <row r="15" spans="1:15">
      <c r="A15" s="55">
        <v>12</v>
      </c>
      <c r="B15" s="240">
        <v>45789</v>
      </c>
      <c r="C15" s="83"/>
      <c r="D15" s="12"/>
      <c r="E15" s="15">
        <v>0</v>
      </c>
      <c r="F15" s="15">
        <v>0</v>
      </c>
      <c r="G15" s="215">
        <f t="shared" si="0"/>
        <v>0</v>
      </c>
      <c r="H15" s="159">
        <v>0</v>
      </c>
      <c r="I15" s="159">
        <v>0</v>
      </c>
      <c r="J15" s="221">
        <f t="shared" si="1"/>
        <v>0</v>
      </c>
      <c r="K15" s="253">
        <f t="shared" si="2"/>
        <v>0</v>
      </c>
      <c r="L15" s="81">
        <v>0</v>
      </c>
      <c r="M15" s="254">
        <f t="shared" si="3"/>
        <v>836347.31790000014</v>
      </c>
      <c r="N15" s="47"/>
      <c r="O15" s="82"/>
    </row>
    <row r="16" spans="1:15">
      <c r="A16" s="55">
        <v>13</v>
      </c>
      <c r="B16" s="240">
        <v>45790</v>
      </c>
      <c r="C16" s="83"/>
      <c r="D16" s="12"/>
      <c r="E16" s="15">
        <v>0</v>
      </c>
      <c r="F16" s="15">
        <v>0</v>
      </c>
      <c r="G16" s="215">
        <f t="shared" si="0"/>
        <v>0</v>
      </c>
      <c r="H16" s="159">
        <v>0</v>
      </c>
      <c r="I16" s="159">
        <v>0</v>
      </c>
      <c r="J16" s="221">
        <f t="shared" si="1"/>
        <v>0</v>
      </c>
      <c r="K16" s="253">
        <f t="shared" si="2"/>
        <v>0</v>
      </c>
      <c r="L16" s="81">
        <v>0</v>
      </c>
      <c r="M16" s="254">
        <f t="shared" si="3"/>
        <v>836347.31790000014</v>
      </c>
      <c r="N16" s="47"/>
      <c r="O16" s="82"/>
    </row>
    <row r="17" spans="1:15">
      <c r="A17" s="55">
        <v>14</v>
      </c>
      <c r="B17" s="240">
        <v>45791</v>
      </c>
      <c r="C17" s="83"/>
      <c r="D17" s="12"/>
      <c r="E17" s="15">
        <v>0</v>
      </c>
      <c r="F17" s="15">
        <v>0</v>
      </c>
      <c r="G17" s="215">
        <f t="shared" si="0"/>
        <v>0</v>
      </c>
      <c r="H17" s="159">
        <v>0</v>
      </c>
      <c r="I17" s="159">
        <v>0</v>
      </c>
      <c r="J17" s="221">
        <f t="shared" si="1"/>
        <v>0</v>
      </c>
      <c r="K17" s="253">
        <f t="shared" si="2"/>
        <v>0</v>
      </c>
      <c r="L17" s="81">
        <v>0</v>
      </c>
      <c r="M17" s="254">
        <f t="shared" si="3"/>
        <v>836347.31790000014</v>
      </c>
      <c r="N17" s="47"/>
      <c r="O17" s="82"/>
    </row>
    <row r="18" spans="1:15">
      <c r="A18" s="55">
        <v>15</v>
      </c>
      <c r="B18" s="240">
        <v>45792</v>
      </c>
      <c r="C18" s="83"/>
      <c r="D18" s="12"/>
      <c r="E18" s="15">
        <v>0</v>
      </c>
      <c r="F18" s="15">
        <v>0</v>
      </c>
      <c r="G18" s="215">
        <f t="shared" si="0"/>
        <v>0</v>
      </c>
      <c r="H18" s="159">
        <v>0</v>
      </c>
      <c r="I18" s="159">
        <v>0</v>
      </c>
      <c r="J18" s="221">
        <f t="shared" si="1"/>
        <v>0</v>
      </c>
      <c r="K18" s="253">
        <f t="shared" si="2"/>
        <v>0</v>
      </c>
      <c r="L18" s="81">
        <v>0</v>
      </c>
      <c r="M18" s="254">
        <f t="shared" si="3"/>
        <v>836347.31790000014</v>
      </c>
      <c r="N18" s="47"/>
      <c r="O18" s="82"/>
    </row>
    <row r="19" spans="1:15">
      <c r="A19" s="55">
        <v>16</v>
      </c>
      <c r="B19" s="240">
        <v>45793</v>
      </c>
      <c r="C19" s="83"/>
      <c r="D19" s="12"/>
      <c r="E19" s="15">
        <v>0</v>
      </c>
      <c r="F19" s="15">
        <v>0</v>
      </c>
      <c r="G19" s="215">
        <f t="shared" si="0"/>
        <v>0</v>
      </c>
      <c r="H19" s="159">
        <v>0</v>
      </c>
      <c r="I19" s="159">
        <v>0</v>
      </c>
      <c r="J19" s="221">
        <f t="shared" si="1"/>
        <v>0</v>
      </c>
      <c r="K19" s="253">
        <f t="shared" si="2"/>
        <v>0</v>
      </c>
      <c r="L19" s="81">
        <v>0</v>
      </c>
      <c r="M19" s="254">
        <f t="shared" si="3"/>
        <v>836347.31790000014</v>
      </c>
      <c r="N19" s="47"/>
      <c r="O19" s="82"/>
    </row>
    <row r="20" spans="1:15">
      <c r="A20" s="55">
        <v>17</v>
      </c>
      <c r="B20" s="240">
        <v>45794</v>
      </c>
      <c r="C20" s="83"/>
      <c r="D20" s="12"/>
      <c r="E20" s="15">
        <v>0</v>
      </c>
      <c r="F20" s="15">
        <v>0</v>
      </c>
      <c r="G20" s="215">
        <f t="shared" si="0"/>
        <v>0</v>
      </c>
      <c r="H20" s="159">
        <v>0</v>
      </c>
      <c r="I20" s="159">
        <v>0</v>
      </c>
      <c r="J20" s="221">
        <f t="shared" si="1"/>
        <v>0</v>
      </c>
      <c r="K20" s="253">
        <f t="shared" si="2"/>
        <v>0</v>
      </c>
      <c r="L20" s="81">
        <v>0</v>
      </c>
      <c r="M20" s="254">
        <f t="shared" si="3"/>
        <v>836347.31790000014</v>
      </c>
      <c r="N20" s="47"/>
      <c r="O20" s="82"/>
    </row>
    <row r="21" spans="1:15">
      <c r="A21" s="55">
        <v>18</v>
      </c>
      <c r="B21" s="240">
        <v>45795</v>
      </c>
      <c r="C21" s="83"/>
      <c r="D21" s="12"/>
      <c r="E21" s="15">
        <v>0</v>
      </c>
      <c r="F21" s="15">
        <v>0</v>
      </c>
      <c r="G21" s="215">
        <f t="shared" si="0"/>
        <v>0</v>
      </c>
      <c r="H21" s="159">
        <v>0</v>
      </c>
      <c r="I21" s="159">
        <v>0</v>
      </c>
      <c r="J21" s="221">
        <f t="shared" si="1"/>
        <v>0</v>
      </c>
      <c r="K21" s="253">
        <f t="shared" si="2"/>
        <v>0</v>
      </c>
      <c r="L21" s="81">
        <v>0</v>
      </c>
      <c r="M21" s="254">
        <f t="shared" si="3"/>
        <v>836347.31790000014</v>
      </c>
      <c r="N21" s="47"/>
      <c r="O21" s="82"/>
    </row>
    <row r="22" spans="1:15">
      <c r="A22" s="55">
        <v>19</v>
      </c>
      <c r="B22" s="240">
        <v>45796</v>
      </c>
      <c r="C22" s="83"/>
      <c r="D22" s="12"/>
      <c r="E22" s="15">
        <v>0</v>
      </c>
      <c r="F22" s="15">
        <v>0</v>
      </c>
      <c r="G22" s="215">
        <f t="shared" si="0"/>
        <v>0</v>
      </c>
      <c r="H22" s="159">
        <v>0</v>
      </c>
      <c r="I22" s="159">
        <v>0</v>
      </c>
      <c r="J22" s="221">
        <f t="shared" si="1"/>
        <v>0</v>
      </c>
      <c r="K22" s="253">
        <f t="shared" si="2"/>
        <v>0</v>
      </c>
      <c r="L22" s="81">
        <v>0</v>
      </c>
      <c r="M22" s="254">
        <f t="shared" si="3"/>
        <v>836347.31790000014</v>
      </c>
      <c r="N22" s="47"/>
      <c r="O22" s="82"/>
    </row>
    <row r="23" spans="1:15">
      <c r="A23" s="55">
        <v>20</v>
      </c>
      <c r="B23" s="240">
        <v>45797</v>
      </c>
      <c r="C23" s="83"/>
      <c r="D23" s="12"/>
      <c r="E23" s="15">
        <v>0</v>
      </c>
      <c r="F23" s="15">
        <v>0</v>
      </c>
      <c r="G23" s="215">
        <f t="shared" si="0"/>
        <v>0</v>
      </c>
      <c r="H23" s="159">
        <v>0</v>
      </c>
      <c r="I23" s="159">
        <v>0</v>
      </c>
      <c r="J23" s="221">
        <f t="shared" si="1"/>
        <v>0</v>
      </c>
      <c r="K23" s="253">
        <f t="shared" si="2"/>
        <v>0</v>
      </c>
      <c r="L23" s="81">
        <v>0</v>
      </c>
      <c r="M23" s="254">
        <f t="shared" si="3"/>
        <v>836347.31790000014</v>
      </c>
      <c r="N23" s="47"/>
      <c r="O23" s="82"/>
    </row>
    <row r="24" spans="1:15">
      <c r="A24" s="55">
        <v>21</v>
      </c>
      <c r="B24" s="240">
        <v>45798</v>
      </c>
      <c r="C24" s="83"/>
      <c r="D24" s="12"/>
      <c r="E24" s="15">
        <v>0</v>
      </c>
      <c r="F24" s="15">
        <v>0</v>
      </c>
      <c r="G24" s="215">
        <f t="shared" si="0"/>
        <v>0</v>
      </c>
      <c r="H24" s="159">
        <v>0</v>
      </c>
      <c r="I24" s="159">
        <v>0</v>
      </c>
      <c r="J24" s="221">
        <f t="shared" si="1"/>
        <v>0</v>
      </c>
      <c r="K24" s="253">
        <f t="shared" si="2"/>
        <v>0</v>
      </c>
      <c r="L24" s="81">
        <v>200000</v>
      </c>
      <c r="M24" s="254">
        <f t="shared" si="3"/>
        <v>636347.31790000014</v>
      </c>
      <c r="N24" s="47"/>
      <c r="O24" s="82"/>
    </row>
    <row r="25" spans="1:15">
      <c r="A25" s="55">
        <v>22</v>
      </c>
      <c r="B25" s="240">
        <v>45799</v>
      </c>
      <c r="C25" s="225"/>
      <c r="D25" s="12"/>
      <c r="E25" s="15">
        <v>0</v>
      </c>
      <c r="F25" s="15">
        <v>0</v>
      </c>
      <c r="G25" s="215">
        <f t="shared" si="0"/>
        <v>0</v>
      </c>
      <c r="H25" s="159">
        <v>0</v>
      </c>
      <c r="I25" s="159">
        <v>0</v>
      </c>
      <c r="J25" s="221">
        <f t="shared" si="1"/>
        <v>0</v>
      </c>
      <c r="K25" s="253">
        <f t="shared" si="2"/>
        <v>0</v>
      </c>
      <c r="L25" s="81">
        <v>0</v>
      </c>
      <c r="M25" s="254">
        <f t="shared" si="3"/>
        <v>636347.31790000014</v>
      </c>
      <c r="N25" s="47"/>
      <c r="O25" s="82"/>
    </row>
    <row r="26" spans="1:15">
      <c r="A26" s="55">
        <v>23</v>
      </c>
      <c r="B26" s="240">
        <v>45800</v>
      </c>
      <c r="C26" s="80"/>
      <c r="D26" s="12"/>
      <c r="E26" s="15">
        <v>0</v>
      </c>
      <c r="F26" s="15">
        <v>0</v>
      </c>
      <c r="G26" s="215">
        <f t="shared" si="0"/>
        <v>0</v>
      </c>
      <c r="H26" s="159">
        <v>0</v>
      </c>
      <c r="I26" s="159">
        <v>0</v>
      </c>
      <c r="J26" s="221">
        <f t="shared" si="1"/>
        <v>0</v>
      </c>
      <c r="K26" s="253">
        <f t="shared" si="2"/>
        <v>0</v>
      </c>
      <c r="L26" s="81">
        <v>0</v>
      </c>
      <c r="M26" s="254">
        <f t="shared" si="3"/>
        <v>636347.31790000014</v>
      </c>
      <c r="N26" s="210"/>
      <c r="O26" s="82"/>
    </row>
    <row r="27" spans="1:15">
      <c r="A27" s="55">
        <v>24</v>
      </c>
      <c r="B27" s="240">
        <v>45801</v>
      </c>
      <c r="C27" s="80"/>
      <c r="D27" s="12"/>
      <c r="E27" s="15">
        <v>0</v>
      </c>
      <c r="F27" s="15">
        <v>0</v>
      </c>
      <c r="G27" s="215">
        <f t="shared" si="0"/>
        <v>0</v>
      </c>
      <c r="H27" s="159">
        <v>0</v>
      </c>
      <c r="I27" s="159">
        <v>0</v>
      </c>
      <c r="J27" s="221">
        <f t="shared" si="1"/>
        <v>0</v>
      </c>
      <c r="K27" s="253">
        <f t="shared" si="2"/>
        <v>0</v>
      </c>
      <c r="L27" s="81">
        <v>0</v>
      </c>
      <c r="M27" s="254">
        <f t="shared" si="3"/>
        <v>636347.31790000014</v>
      </c>
      <c r="N27" s="210"/>
      <c r="O27" s="82"/>
    </row>
    <row r="28" spans="1:15">
      <c r="A28" s="55">
        <v>25</v>
      </c>
      <c r="B28" s="240">
        <v>45802</v>
      </c>
      <c r="C28" s="80"/>
      <c r="D28" s="12"/>
      <c r="E28" s="15">
        <v>0</v>
      </c>
      <c r="F28" s="15">
        <v>0</v>
      </c>
      <c r="G28" s="215">
        <f t="shared" si="0"/>
        <v>0</v>
      </c>
      <c r="H28" s="159">
        <v>0</v>
      </c>
      <c r="I28" s="159">
        <v>0</v>
      </c>
      <c r="J28" s="221">
        <f t="shared" si="1"/>
        <v>0</v>
      </c>
      <c r="K28" s="253">
        <f t="shared" si="2"/>
        <v>0</v>
      </c>
      <c r="L28" s="81">
        <v>0</v>
      </c>
      <c r="M28" s="254">
        <f t="shared" si="3"/>
        <v>636347.31790000014</v>
      </c>
      <c r="N28" s="210"/>
      <c r="O28" s="82"/>
    </row>
    <row r="29" spans="1:15">
      <c r="A29" s="55">
        <v>26</v>
      </c>
      <c r="B29" s="240">
        <v>45803</v>
      </c>
      <c r="C29" s="80"/>
      <c r="D29" s="12"/>
      <c r="E29" s="15">
        <v>0</v>
      </c>
      <c r="F29" s="15">
        <v>0</v>
      </c>
      <c r="G29" s="215">
        <f t="shared" si="0"/>
        <v>0</v>
      </c>
      <c r="H29" s="159">
        <v>0</v>
      </c>
      <c r="I29" s="159">
        <v>0</v>
      </c>
      <c r="J29" s="221">
        <f t="shared" si="1"/>
        <v>0</v>
      </c>
      <c r="K29" s="253">
        <f t="shared" si="2"/>
        <v>0</v>
      </c>
      <c r="L29" s="81">
        <v>0</v>
      </c>
      <c r="M29" s="254">
        <f t="shared" si="3"/>
        <v>636347.31790000014</v>
      </c>
      <c r="N29" s="210"/>
      <c r="O29" s="82"/>
    </row>
    <row r="30" spans="1:15">
      <c r="A30" s="55">
        <v>27</v>
      </c>
      <c r="B30" s="240">
        <v>45804</v>
      </c>
      <c r="C30" s="80"/>
      <c r="D30" s="12"/>
      <c r="E30" s="15">
        <v>0</v>
      </c>
      <c r="F30" s="15">
        <v>0</v>
      </c>
      <c r="G30" s="215">
        <f t="shared" si="0"/>
        <v>0</v>
      </c>
      <c r="H30" s="159">
        <v>0</v>
      </c>
      <c r="I30" s="159">
        <v>0</v>
      </c>
      <c r="J30" s="221">
        <f t="shared" si="1"/>
        <v>0</v>
      </c>
      <c r="K30" s="253">
        <f t="shared" si="2"/>
        <v>0</v>
      </c>
      <c r="L30" s="81">
        <v>500000</v>
      </c>
      <c r="M30" s="254">
        <f t="shared" si="3"/>
        <v>136347.31790000014</v>
      </c>
      <c r="N30" s="210"/>
      <c r="O30" s="82"/>
    </row>
    <row r="31" spans="1:15">
      <c r="A31" s="55">
        <v>28</v>
      </c>
      <c r="B31" s="240">
        <v>45805</v>
      </c>
      <c r="C31" s="80"/>
      <c r="D31" s="12"/>
      <c r="E31" s="15">
        <v>0</v>
      </c>
      <c r="F31" s="15">
        <v>0</v>
      </c>
      <c r="G31" s="215">
        <f t="shared" si="0"/>
        <v>0</v>
      </c>
      <c r="H31" s="159">
        <v>0</v>
      </c>
      <c r="I31" s="159">
        <v>0</v>
      </c>
      <c r="J31" s="221">
        <f t="shared" si="1"/>
        <v>0</v>
      </c>
      <c r="K31" s="253">
        <f t="shared" si="2"/>
        <v>0</v>
      </c>
      <c r="L31" s="81">
        <v>0</v>
      </c>
      <c r="M31" s="254">
        <f t="shared" si="3"/>
        <v>136347.31790000014</v>
      </c>
      <c r="N31" s="210"/>
      <c r="O31" s="82"/>
    </row>
    <row r="32" spans="1:15">
      <c r="A32" s="234">
        <v>29</v>
      </c>
      <c r="B32" s="240">
        <v>45806</v>
      </c>
      <c r="C32" s="80"/>
      <c r="D32" s="12"/>
      <c r="E32" s="15">
        <v>0</v>
      </c>
      <c r="F32" s="15">
        <v>0</v>
      </c>
      <c r="G32" s="215">
        <f t="shared" si="0"/>
        <v>0</v>
      </c>
      <c r="H32" s="159">
        <v>0</v>
      </c>
      <c r="I32" s="159">
        <v>0</v>
      </c>
      <c r="J32" s="221">
        <f t="shared" si="1"/>
        <v>0</v>
      </c>
      <c r="K32" s="253">
        <f t="shared" si="2"/>
        <v>0</v>
      </c>
      <c r="L32" s="81">
        <v>136347</v>
      </c>
      <c r="M32" s="254">
        <f t="shared" si="3"/>
        <v>0.31790000014007092</v>
      </c>
      <c r="N32" s="210"/>
      <c r="O32" s="82"/>
    </row>
    <row r="33" spans="1:15">
      <c r="A33" s="234">
        <v>30</v>
      </c>
      <c r="B33" s="240">
        <v>45807</v>
      </c>
      <c r="C33" s="80"/>
      <c r="D33" s="12"/>
      <c r="E33" s="15">
        <v>0</v>
      </c>
      <c r="F33" s="15">
        <v>0</v>
      </c>
      <c r="G33" s="215">
        <f t="shared" si="0"/>
        <v>0</v>
      </c>
      <c r="H33" s="159">
        <v>0</v>
      </c>
      <c r="I33" s="159">
        <v>0</v>
      </c>
      <c r="J33" s="221">
        <f t="shared" si="1"/>
        <v>0</v>
      </c>
      <c r="K33" s="253">
        <f t="shared" si="2"/>
        <v>0</v>
      </c>
      <c r="L33" s="81">
        <v>0</v>
      </c>
      <c r="M33" s="254">
        <f t="shared" ref="M33:M34" si="4">M32+K33-L33</f>
        <v>0.31790000014007092</v>
      </c>
      <c r="N33" s="210"/>
      <c r="O33" s="82"/>
    </row>
    <row r="34" spans="1:15">
      <c r="A34" s="234">
        <v>31</v>
      </c>
      <c r="B34" s="240">
        <v>45808</v>
      </c>
      <c r="C34" s="145"/>
      <c r="D34" s="84"/>
      <c r="E34" s="15">
        <v>0</v>
      </c>
      <c r="F34" s="15">
        <v>0</v>
      </c>
      <c r="G34" s="215">
        <f t="shared" ref="G33:G34" si="5">E34*F34</f>
        <v>0</v>
      </c>
      <c r="H34" s="159">
        <v>0</v>
      </c>
      <c r="I34" s="159">
        <v>0</v>
      </c>
      <c r="J34" s="221">
        <f t="shared" ref="J33:J34" si="6">H34*I34</f>
        <v>0</v>
      </c>
      <c r="K34" s="253">
        <f t="shared" ref="K33:K34" si="7">G34+J34</f>
        <v>0</v>
      </c>
      <c r="L34" s="81">
        <v>0</v>
      </c>
      <c r="M34" s="254">
        <f t="shared" si="4"/>
        <v>0.31790000014007092</v>
      </c>
      <c r="N34" s="210"/>
      <c r="O34" s="82"/>
    </row>
    <row r="35" spans="1:15">
      <c r="A35" s="227"/>
      <c r="B35" s="227"/>
      <c r="C35" s="227"/>
      <c r="D35" s="227"/>
      <c r="E35" s="212">
        <f>SUM(E4:E33)</f>
        <v>0</v>
      </c>
      <c r="F35" s="212"/>
      <c r="G35" s="212">
        <f>SUM(G4:G33)</f>
        <v>0</v>
      </c>
      <c r="H35" s="212">
        <f>SUM(H4:H33)</f>
        <v>0</v>
      </c>
      <c r="I35" s="212"/>
      <c r="J35" s="212">
        <f>SUM(J4:J33)</f>
        <v>0</v>
      </c>
      <c r="K35" s="212">
        <f>SUM(K4:K33)</f>
        <v>0</v>
      </c>
      <c r="L35" s="212">
        <f>SUM(L4:L33)</f>
        <v>1036347</v>
      </c>
      <c r="M35" s="212"/>
      <c r="N35" s="85"/>
      <c r="O35" s="72"/>
    </row>
    <row r="36" spans="1:15">
      <c r="A36" s="86"/>
      <c r="B36" s="87"/>
      <c r="C36" s="86"/>
      <c r="D36" s="86"/>
      <c r="E36" s="88"/>
      <c r="F36" s="88"/>
      <c r="G36" s="216"/>
      <c r="H36" s="88"/>
      <c r="I36" s="88"/>
      <c r="J36" s="216"/>
      <c r="K36" s="89"/>
      <c r="L36" s="89"/>
      <c r="M36" s="89"/>
      <c r="N36" s="88"/>
      <c r="O36" s="82"/>
    </row>
    <row r="37" spans="1:15">
      <c r="A37" s="82"/>
      <c r="B37" s="72"/>
      <c r="C37" s="82"/>
      <c r="D37" s="82"/>
      <c r="E37" s="82"/>
      <c r="F37" s="82"/>
      <c r="G37" s="217"/>
      <c r="H37" s="82"/>
      <c r="I37" s="82"/>
      <c r="J37" s="218"/>
      <c r="K37" s="72"/>
      <c r="L37" s="72"/>
      <c r="M37" s="72"/>
      <c r="N37" s="82"/>
      <c r="O37" s="88"/>
    </row>
    <row r="38" spans="1:15">
      <c r="A38" s="82"/>
      <c r="B38" s="452"/>
      <c r="C38" s="452"/>
      <c r="D38" s="452"/>
      <c r="E38" s="452"/>
      <c r="F38" s="82"/>
      <c r="G38" s="218"/>
      <c r="H38" s="82"/>
      <c r="I38" s="452"/>
      <c r="J38" s="452"/>
      <c r="K38" s="452"/>
      <c r="L38" s="452"/>
      <c r="M38" s="452"/>
      <c r="N38" s="452"/>
      <c r="O38" s="88"/>
    </row>
    <row r="39" spans="1:15">
      <c r="A39" s="82"/>
      <c r="B39" s="72"/>
      <c r="C39" s="82"/>
      <c r="D39" s="82"/>
      <c r="E39" s="82"/>
      <c r="F39" s="82"/>
      <c r="G39" s="218"/>
      <c r="H39" s="82"/>
      <c r="I39" s="82"/>
      <c r="J39" s="218"/>
      <c r="K39" s="72"/>
      <c r="L39" s="72"/>
      <c r="M39" s="72"/>
      <c r="N39" s="82"/>
      <c r="O39" s="88"/>
    </row>
    <row r="47" spans="1:15">
      <c r="L47" s="91">
        <v>3010</v>
      </c>
    </row>
    <row r="48" spans="1:15">
      <c r="L48" s="91">
        <v>4900</v>
      </c>
    </row>
    <row r="49" spans="12:12">
      <c r="L49" s="91">
        <v>6953</v>
      </c>
    </row>
    <row r="50" spans="12:12">
      <c r="L50" s="91">
        <v>7527</v>
      </c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6D91-1F13-477B-A610-F4DB0E64F2F7}">
  <sheetPr>
    <tabColor rgb="FF002060"/>
  </sheetPr>
  <dimension ref="A1:P35"/>
  <sheetViews>
    <sheetView workbookViewId="0">
      <selection activeCell="R6" sqref="R6"/>
    </sheetView>
  </sheetViews>
  <sheetFormatPr defaultRowHeight="15"/>
  <cols>
    <col min="2" max="2" width="16" customWidth="1"/>
    <col min="5" max="5" width="21" customWidth="1"/>
    <col min="12" max="12" width="13" customWidth="1"/>
    <col min="13" max="13" width="15" customWidth="1"/>
  </cols>
  <sheetData>
    <row r="1" spans="1:16" ht="15.75">
      <c r="A1" s="470" t="s">
        <v>76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24"/>
    </row>
    <row r="2" spans="1:16" ht="30.75">
      <c r="A2" s="141" t="s">
        <v>99</v>
      </c>
      <c r="B2" s="260" t="s">
        <v>100</v>
      </c>
      <c r="C2" s="260"/>
      <c r="D2" s="260" t="s">
        <v>101</v>
      </c>
      <c r="E2" s="260" t="s">
        <v>122</v>
      </c>
      <c r="F2" s="260" t="s">
        <v>103</v>
      </c>
      <c r="G2" s="260" t="s">
        <v>104</v>
      </c>
      <c r="H2" s="260" t="s">
        <v>105</v>
      </c>
      <c r="I2" s="260" t="s">
        <v>106</v>
      </c>
      <c r="J2" s="260" t="s">
        <v>104</v>
      </c>
      <c r="K2" s="260" t="s">
        <v>105</v>
      </c>
      <c r="L2" s="202" t="s">
        <v>107</v>
      </c>
      <c r="M2" s="202" t="s">
        <v>108</v>
      </c>
      <c r="N2" s="202" t="s">
        <v>115</v>
      </c>
      <c r="O2" s="260" t="s">
        <v>110</v>
      </c>
      <c r="P2" s="24"/>
    </row>
    <row r="3" spans="1:16">
      <c r="A3" s="471" t="s">
        <v>111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 t="s">
        <v>150</v>
      </c>
      <c r="O3" s="471"/>
      <c r="P3" s="24"/>
    </row>
    <row r="4" spans="1:16">
      <c r="A4" s="234">
        <v>1</v>
      </c>
      <c r="B4" s="270">
        <v>45778</v>
      </c>
      <c r="C4" s="270"/>
      <c r="D4" s="46">
        <v>0</v>
      </c>
      <c r="E4" s="46"/>
      <c r="F4" s="46">
        <v>0</v>
      </c>
      <c r="G4" s="46">
        <v>0</v>
      </c>
      <c r="H4" s="46">
        <f>F4*G4</f>
        <v>0</v>
      </c>
      <c r="I4" s="46">
        <v>0</v>
      </c>
      <c r="J4" s="46">
        <v>0</v>
      </c>
      <c r="K4" s="46">
        <f>I4*J4</f>
        <v>0</v>
      </c>
      <c r="L4" s="46">
        <f>H4+K4</f>
        <v>0</v>
      </c>
      <c r="M4" s="46">
        <f>+L4</f>
        <v>0</v>
      </c>
      <c r="N4" s="46"/>
      <c r="O4" s="46"/>
      <c r="P4" s="24"/>
    </row>
    <row r="5" spans="1:16">
      <c r="A5" s="55">
        <v>2</v>
      </c>
      <c r="B5" s="270">
        <v>45779</v>
      </c>
      <c r="C5" s="240"/>
      <c r="D5" s="46">
        <v>0</v>
      </c>
      <c r="E5" s="46"/>
      <c r="F5" s="46">
        <v>0</v>
      </c>
      <c r="G5" s="46">
        <v>0</v>
      </c>
      <c r="H5" s="46">
        <f t="shared" ref="H5:H33" si="0">F5*G5</f>
        <v>0</v>
      </c>
      <c r="I5" s="46">
        <v>0</v>
      </c>
      <c r="J5" s="46">
        <v>0</v>
      </c>
      <c r="K5" s="46">
        <f t="shared" ref="K5:K33" si="1">I5*J5</f>
        <v>0</v>
      </c>
      <c r="L5" s="46">
        <f t="shared" ref="L5:L33" si="2">H5+K5</f>
        <v>0</v>
      </c>
      <c r="M5" s="46">
        <f t="shared" ref="M5:M33" si="3">+L5</f>
        <v>0</v>
      </c>
      <c r="N5" s="46"/>
      <c r="O5" s="46"/>
      <c r="P5" s="24"/>
    </row>
    <row r="6" spans="1:16">
      <c r="A6" s="55">
        <v>3</v>
      </c>
      <c r="B6" s="270">
        <v>45780</v>
      </c>
      <c r="C6" s="240"/>
      <c r="D6" s="46">
        <v>0</v>
      </c>
      <c r="E6" s="46"/>
      <c r="F6" s="46">
        <v>0</v>
      </c>
      <c r="G6" s="46">
        <v>0</v>
      </c>
      <c r="H6" s="46">
        <f t="shared" si="0"/>
        <v>0</v>
      </c>
      <c r="I6" s="46">
        <v>4.82</v>
      </c>
      <c r="J6" s="46">
        <v>103.73</v>
      </c>
      <c r="K6" s="46">
        <f t="shared" si="1"/>
        <v>499.97860000000003</v>
      </c>
      <c r="L6" s="46">
        <f t="shared" si="2"/>
        <v>499.97860000000003</v>
      </c>
      <c r="M6" s="46">
        <f t="shared" si="3"/>
        <v>499.97860000000003</v>
      </c>
      <c r="N6" s="46"/>
      <c r="O6" s="46"/>
      <c r="P6" s="24"/>
    </row>
    <row r="7" spans="1:16">
      <c r="A7" s="55">
        <v>4</v>
      </c>
      <c r="B7" s="270">
        <v>45781</v>
      </c>
      <c r="C7" s="240"/>
      <c r="D7" s="46">
        <v>0</v>
      </c>
      <c r="E7" s="46"/>
      <c r="F7" s="46">
        <v>0</v>
      </c>
      <c r="G7" s="46">
        <v>0</v>
      </c>
      <c r="H7" s="46">
        <f t="shared" si="0"/>
        <v>0</v>
      </c>
      <c r="I7" s="46">
        <v>0</v>
      </c>
      <c r="J7" s="46">
        <v>0</v>
      </c>
      <c r="K7" s="46">
        <f t="shared" si="1"/>
        <v>0</v>
      </c>
      <c r="L7" s="46">
        <f t="shared" si="2"/>
        <v>0</v>
      </c>
      <c r="M7" s="46">
        <f t="shared" si="3"/>
        <v>0</v>
      </c>
      <c r="N7" s="46"/>
      <c r="O7" s="46"/>
      <c r="P7" s="24"/>
    </row>
    <row r="8" spans="1:16">
      <c r="A8" s="55">
        <v>5</v>
      </c>
      <c r="B8" s="270">
        <v>45782</v>
      </c>
      <c r="C8" s="240"/>
      <c r="D8" s="46">
        <v>0</v>
      </c>
      <c r="E8" s="46"/>
      <c r="F8" s="46">
        <v>0</v>
      </c>
      <c r="G8" s="46">
        <v>0</v>
      </c>
      <c r="H8" s="46">
        <f t="shared" si="0"/>
        <v>0</v>
      </c>
      <c r="I8" s="46">
        <v>0</v>
      </c>
      <c r="J8" s="46">
        <v>0</v>
      </c>
      <c r="K8" s="46">
        <f t="shared" si="1"/>
        <v>0</v>
      </c>
      <c r="L8" s="46">
        <f t="shared" si="2"/>
        <v>0</v>
      </c>
      <c r="M8" s="46">
        <f t="shared" si="3"/>
        <v>0</v>
      </c>
      <c r="N8" s="46"/>
      <c r="O8" s="46"/>
      <c r="P8" s="24"/>
    </row>
    <row r="9" spans="1:16">
      <c r="A9" s="55">
        <v>6</v>
      </c>
      <c r="B9" s="270">
        <v>45783</v>
      </c>
      <c r="C9" s="240"/>
      <c r="D9" s="46">
        <v>0</v>
      </c>
      <c r="E9" s="46"/>
      <c r="F9" s="46">
        <v>0</v>
      </c>
      <c r="G9" s="46">
        <v>0</v>
      </c>
      <c r="H9" s="46">
        <f t="shared" si="0"/>
        <v>0</v>
      </c>
      <c r="I9" s="46">
        <v>0</v>
      </c>
      <c r="J9" s="46">
        <v>0</v>
      </c>
      <c r="K9" s="46">
        <f t="shared" si="1"/>
        <v>0</v>
      </c>
      <c r="L9" s="46">
        <f t="shared" si="2"/>
        <v>0</v>
      </c>
      <c r="M9" s="46">
        <f t="shared" si="3"/>
        <v>0</v>
      </c>
      <c r="N9" s="46"/>
      <c r="O9" s="46"/>
      <c r="P9" s="24"/>
    </row>
    <row r="10" spans="1:16">
      <c r="A10" s="55">
        <v>7</v>
      </c>
      <c r="B10" s="270">
        <v>45784</v>
      </c>
      <c r="C10" s="240"/>
      <c r="D10" s="46">
        <v>0</v>
      </c>
      <c r="E10" s="46"/>
      <c r="F10" s="46">
        <v>0</v>
      </c>
      <c r="G10" s="46">
        <v>0</v>
      </c>
      <c r="H10" s="46">
        <f t="shared" si="0"/>
        <v>0</v>
      </c>
      <c r="I10" s="46">
        <v>0</v>
      </c>
      <c r="J10" s="46">
        <v>0</v>
      </c>
      <c r="K10" s="46">
        <f t="shared" si="1"/>
        <v>0</v>
      </c>
      <c r="L10" s="46">
        <f t="shared" si="2"/>
        <v>0</v>
      </c>
      <c r="M10" s="46">
        <f t="shared" si="3"/>
        <v>0</v>
      </c>
      <c r="N10" s="46"/>
      <c r="O10" s="46"/>
      <c r="P10" s="24"/>
    </row>
    <row r="11" spans="1:16">
      <c r="A11" s="55">
        <v>8</v>
      </c>
      <c r="B11" s="270">
        <v>45785</v>
      </c>
      <c r="C11" s="240"/>
      <c r="D11" s="46">
        <v>0</v>
      </c>
      <c r="E11" s="46"/>
      <c r="F11" s="46">
        <v>0</v>
      </c>
      <c r="G11" s="46">
        <v>0</v>
      </c>
      <c r="H11" s="46">
        <f t="shared" si="0"/>
        <v>0</v>
      </c>
      <c r="I11" s="46">
        <v>0</v>
      </c>
      <c r="J11" s="46">
        <v>0</v>
      </c>
      <c r="K11" s="46">
        <f t="shared" si="1"/>
        <v>0</v>
      </c>
      <c r="L11" s="46">
        <f t="shared" si="2"/>
        <v>0</v>
      </c>
      <c r="M11" s="46">
        <f t="shared" si="3"/>
        <v>0</v>
      </c>
      <c r="N11" s="46"/>
      <c r="O11" s="46"/>
      <c r="P11" s="24"/>
    </row>
    <row r="12" spans="1:16">
      <c r="A12" s="55">
        <v>9</v>
      </c>
      <c r="B12" s="270">
        <v>45786</v>
      </c>
      <c r="C12" s="240"/>
      <c r="D12" s="46">
        <v>0</v>
      </c>
      <c r="E12" s="46"/>
      <c r="F12" s="46">
        <v>0</v>
      </c>
      <c r="G12" s="46">
        <v>0</v>
      </c>
      <c r="H12" s="46">
        <f t="shared" si="0"/>
        <v>0</v>
      </c>
      <c r="I12" s="46">
        <v>0</v>
      </c>
      <c r="J12" s="46">
        <v>0</v>
      </c>
      <c r="K12" s="46">
        <f t="shared" si="1"/>
        <v>0</v>
      </c>
      <c r="L12" s="46">
        <f t="shared" si="2"/>
        <v>0</v>
      </c>
      <c r="M12" s="46">
        <f t="shared" si="3"/>
        <v>0</v>
      </c>
      <c r="N12" s="46"/>
      <c r="O12" s="46"/>
      <c r="P12" s="24"/>
    </row>
    <row r="13" spans="1:16">
      <c r="A13" s="55">
        <v>10</v>
      </c>
      <c r="B13" s="270">
        <v>45787</v>
      </c>
      <c r="C13" s="240"/>
      <c r="D13" s="46">
        <v>0</v>
      </c>
      <c r="E13" s="46"/>
      <c r="F13" s="46">
        <v>0</v>
      </c>
      <c r="G13" s="46">
        <v>0</v>
      </c>
      <c r="H13" s="46">
        <f t="shared" si="0"/>
        <v>0</v>
      </c>
      <c r="I13" s="46">
        <v>0</v>
      </c>
      <c r="J13" s="46">
        <v>0</v>
      </c>
      <c r="K13" s="46">
        <f t="shared" si="1"/>
        <v>0</v>
      </c>
      <c r="L13" s="46">
        <f t="shared" si="2"/>
        <v>0</v>
      </c>
      <c r="M13" s="46">
        <f t="shared" si="3"/>
        <v>0</v>
      </c>
      <c r="N13" s="46"/>
      <c r="O13" s="46"/>
      <c r="P13" s="24"/>
    </row>
    <row r="14" spans="1:16">
      <c r="A14" s="55">
        <v>11</v>
      </c>
      <c r="B14" s="270">
        <v>45788</v>
      </c>
      <c r="C14" s="240"/>
      <c r="D14" s="46">
        <v>0</v>
      </c>
      <c r="E14" s="46"/>
      <c r="F14" s="46">
        <v>0</v>
      </c>
      <c r="G14" s="46">
        <v>0</v>
      </c>
      <c r="H14" s="46">
        <f t="shared" si="0"/>
        <v>0</v>
      </c>
      <c r="I14" s="46">
        <v>0</v>
      </c>
      <c r="J14" s="46">
        <v>0</v>
      </c>
      <c r="K14" s="46">
        <f t="shared" si="1"/>
        <v>0</v>
      </c>
      <c r="L14" s="46">
        <f t="shared" si="2"/>
        <v>0</v>
      </c>
      <c r="M14" s="46">
        <f t="shared" si="3"/>
        <v>0</v>
      </c>
      <c r="N14" s="46"/>
      <c r="O14" s="46"/>
      <c r="P14" s="24"/>
    </row>
    <row r="15" spans="1:16">
      <c r="A15" s="55">
        <v>12</v>
      </c>
      <c r="B15" s="270">
        <v>45789</v>
      </c>
      <c r="C15" s="240"/>
      <c r="D15" s="46">
        <v>0</v>
      </c>
      <c r="E15" s="46"/>
      <c r="F15" s="46">
        <v>0</v>
      </c>
      <c r="G15" s="46">
        <v>0</v>
      </c>
      <c r="H15" s="46">
        <f t="shared" si="0"/>
        <v>0</v>
      </c>
      <c r="I15" s="46">
        <v>0</v>
      </c>
      <c r="J15" s="46">
        <v>0</v>
      </c>
      <c r="K15" s="46">
        <f t="shared" si="1"/>
        <v>0</v>
      </c>
      <c r="L15" s="46">
        <f t="shared" si="2"/>
        <v>0</v>
      </c>
      <c r="M15" s="46">
        <f t="shared" si="3"/>
        <v>0</v>
      </c>
      <c r="N15" s="46"/>
      <c r="O15" s="46"/>
      <c r="P15" s="24"/>
    </row>
    <row r="16" spans="1:16">
      <c r="A16" s="55">
        <v>13</v>
      </c>
      <c r="B16" s="270">
        <v>45790</v>
      </c>
      <c r="C16" s="240"/>
      <c r="D16" s="46">
        <v>0</v>
      </c>
      <c r="E16" s="46"/>
      <c r="F16" s="46">
        <v>0</v>
      </c>
      <c r="G16" s="46">
        <v>0</v>
      </c>
      <c r="H16" s="46">
        <f t="shared" si="0"/>
        <v>0</v>
      </c>
      <c r="I16" s="46">
        <v>0</v>
      </c>
      <c r="J16" s="46">
        <v>0</v>
      </c>
      <c r="K16" s="46">
        <f t="shared" si="1"/>
        <v>0</v>
      </c>
      <c r="L16" s="46">
        <f t="shared" si="2"/>
        <v>0</v>
      </c>
      <c r="M16" s="46">
        <f t="shared" si="3"/>
        <v>0</v>
      </c>
      <c r="N16" s="46"/>
      <c r="O16" s="46"/>
      <c r="P16" s="24"/>
    </row>
    <row r="17" spans="1:16">
      <c r="A17" s="55">
        <v>14</v>
      </c>
      <c r="B17" s="270">
        <v>45791</v>
      </c>
      <c r="C17" s="240"/>
      <c r="D17" s="46">
        <v>0</v>
      </c>
      <c r="E17" s="46"/>
      <c r="F17" s="46">
        <v>0</v>
      </c>
      <c r="G17" s="46">
        <v>0</v>
      </c>
      <c r="H17" s="46">
        <f t="shared" si="0"/>
        <v>0</v>
      </c>
      <c r="I17" s="46">
        <v>0</v>
      </c>
      <c r="J17" s="46">
        <v>0</v>
      </c>
      <c r="K17" s="46">
        <f t="shared" si="1"/>
        <v>0</v>
      </c>
      <c r="L17" s="46">
        <f t="shared" si="2"/>
        <v>0</v>
      </c>
      <c r="M17" s="46">
        <f t="shared" si="3"/>
        <v>0</v>
      </c>
      <c r="N17" s="46"/>
      <c r="O17" s="46"/>
      <c r="P17" s="24"/>
    </row>
    <row r="18" spans="1:16">
      <c r="A18" s="55">
        <v>15</v>
      </c>
      <c r="B18" s="270">
        <v>45792</v>
      </c>
      <c r="C18" s="240"/>
      <c r="D18" s="46">
        <v>0</v>
      </c>
      <c r="E18" s="46"/>
      <c r="F18" s="46">
        <v>0</v>
      </c>
      <c r="G18" s="46">
        <v>0</v>
      </c>
      <c r="H18" s="46">
        <f t="shared" si="0"/>
        <v>0</v>
      </c>
      <c r="I18" s="46">
        <v>0</v>
      </c>
      <c r="J18" s="46">
        <v>0</v>
      </c>
      <c r="K18" s="46">
        <f t="shared" si="1"/>
        <v>0</v>
      </c>
      <c r="L18" s="46">
        <f t="shared" si="2"/>
        <v>0</v>
      </c>
      <c r="M18" s="46">
        <f t="shared" si="3"/>
        <v>0</v>
      </c>
      <c r="N18" s="46"/>
      <c r="O18" s="46"/>
      <c r="P18" s="24"/>
    </row>
    <row r="19" spans="1:16">
      <c r="A19" s="55">
        <v>16</v>
      </c>
      <c r="B19" s="270">
        <v>45793</v>
      </c>
      <c r="C19" s="240"/>
      <c r="D19" s="46">
        <v>0</v>
      </c>
      <c r="E19" s="46"/>
      <c r="F19" s="46">
        <v>0</v>
      </c>
      <c r="G19" s="46">
        <v>0</v>
      </c>
      <c r="H19" s="46">
        <f t="shared" si="0"/>
        <v>0</v>
      </c>
      <c r="I19" s="46">
        <v>0</v>
      </c>
      <c r="J19" s="46">
        <v>0</v>
      </c>
      <c r="K19" s="46">
        <f t="shared" si="1"/>
        <v>0</v>
      </c>
      <c r="L19" s="46">
        <f t="shared" si="2"/>
        <v>0</v>
      </c>
      <c r="M19" s="46">
        <f t="shared" si="3"/>
        <v>0</v>
      </c>
      <c r="N19" s="46"/>
      <c r="O19" s="46"/>
      <c r="P19" s="24"/>
    </row>
    <row r="20" spans="1:16">
      <c r="A20" s="55">
        <v>17</v>
      </c>
      <c r="B20" s="270">
        <v>45794</v>
      </c>
      <c r="C20" s="240"/>
      <c r="D20" s="46">
        <v>0</v>
      </c>
      <c r="E20" s="46"/>
      <c r="F20" s="46">
        <v>0</v>
      </c>
      <c r="G20" s="46">
        <v>0</v>
      </c>
      <c r="H20" s="46">
        <f t="shared" si="0"/>
        <v>0</v>
      </c>
      <c r="I20" s="46">
        <v>0</v>
      </c>
      <c r="J20" s="46">
        <v>0</v>
      </c>
      <c r="K20" s="46">
        <f t="shared" si="1"/>
        <v>0</v>
      </c>
      <c r="L20" s="46">
        <f t="shared" si="2"/>
        <v>0</v>
      </c>
      <c r="M20" s="46">
        <f t="shared" si="3"/>
        <v>0</v>
      </c>
      <c r="N20" s="46"/>
      <c r="O20" s="46"/>
      <c r="P20" s="24"/>
    </row>
    <row r="21" spans="1:16">
      <c r="A21" s="55">
        <v>18</v>
      </c>
      <c r="B21" s="270">
        <v>45795</v>
      </c>
      <c r="C21" s="240"/>
      <c r="D21" s="46">
        <v>0</v>
      </c>
      <c r="E21" s="46"/>
      <c r="F21" s="46">
        <v>0</v>
      </c>
      <c r="G21" s="46">
        <v>0</v>
      </c>
      <c r="H21" s="46">
        <f t="shared" si="0"/>
        <v>0</v>
      </c>
      <c r="I21" s="46">
        <v>0</v>
      </c>
      <c r="J21" s="46">
        <v>0</v>
      </c>
      <c r="K21" s="46">
        <f t="shared" si="1"/>
        <v>0</v>
      </c>
      <c r="L21" s="46">
        <f t="shared" si="2"/>
        <v>0</v>
      </c>
      <c r="M21" s="46">
        <f t="shared" si="3"/>
        <v>0</v>
      </c>
      <c r="N21" s="46"/>
      <c r="O21" s="46"/>
      <c r="P21" s="24"/>
    </row>
    <row r="22" spans="1:16">
      <c r="A22" s="55">
        <v>19</v>
      </c>
      <c r="B22" s="270">
        <v>45796</v>
      </c>
      <c r="C22" s="240"/>
      <c r="D22" s="46">
        <v>0</v>
      </c>
      <c r="E22" s="46"/>
      <c r="F22" s="46">
        <v>0</v>
      </c>
      <c r="G22" s="46">
        <v>0</v>
      </c>
      <c r="H22" s="46">
        <f t="shared" si="0"/>
        <v>0</v>
      </c>
      <c r="I22" s="46">
        <v>0</v>
      </c>
      <c r="J22" s="46">
        <v>0</v>
      </c>
      <c r="K22" s="46">
        <f t="shared" si="1"/>
        <v>0</v>
      </c>
      <c r="L22" s="46">
        <f t="shared" si="2"/>
        <v>0</v>
      </c>
      <c r="M22" s="46">
        <f t="shared" si="3"/>
        <v>0</v>
      </c>
      <c r="N22" s="46"/>
      <c r="O22" s="46"/>
      <c r="P22" s="24"/>
    </row>
    <row r="23" spans="1:16">
      <c r="A23" s="55">
        <v>20</v>
      </c>
      <c r="B23" s="270">
        <v>45797</v>
      </c>
      <c r="C23" s="240"/>
      <c r="D23" s="46">
        <v>0</v>
      </c>
      <c r="E23" s="46"/>
      <c r="F23" s="46">
        <v>0</v>
      </c>
      <c r="G23" s="46">
        <v>0</v>
      </c>
      <c r="H23" s="46">
        <f t="shared" si="0"/>
        <v>0</v>
      </c>
      <c r="I23" s="46">
        <v>0</v>
      </c>
      <c r="J23" s="46">
        <v>0</v>
      </c>
      <c r="K23" s="46">
        <f t="shared" si="1"/>
        <v>0</v>
      </c>
      <c r="L23" s="46">
        <f t="shared" si="2"/>
        <v>0</v>
      </c>
      <c r="M23" s="46">
        <f t="shared" si="3"/>
        <v>0</v>
      </c>
      <c r="N23" s="46"/>
      <c r="O23" s="46"/>
      <c r="P23" s="24"/>
    </row>
    <row r="24" spans="1:16">
      <c r="A24" s="55">
        <v>21</v>
      </c>
      <c r="B24" s="270">
        <v>45798</v>
      </c>
      <c r="C24" s="240"/>
      <c r="D24" s="46">
        <v>0</v>
      </c>
      <c r="E24" s="46"/>
      <c r="F24" s="46">
        <v>0</v>
      </c>
      <c r="G24" s="46">
        <v>0</v>
      </c>
      <c r="H24" s="46">
        <f t="shared" si="0"/>
        <v>0</v>
      </c>
      <c r="I24" s="46">
        <v>0</v>
      </c>
      <c r="J24" s="46">
        <v>0</v>
      </c>
      <c r="K24" s="46">
        <f t="shared" si="1"/>
        <v>0</v>
      </c>
      <c r="L24" s="46">
        <f t="shared" si="2"/>
        <v>0</v>
      </c>
      <c r="M24" s="46">
        <f t="shared" si="3"/>
        <v>0</v>
      </c>
      <c r="N24" s="46"/>
      <c r="O24" s="46"/>
      <c r="P24" s="24"/>
    </row>
    <row r="25" spans="1:16">
      <c r="A25" s="55">
        <v>22</v>
      </c>
      <c r="B25" s="270">
        <v>45799</v>
      </c>
      <c r="C25" s="240"/>
      <c r="D25" s="46">
        <v>0</v>
      </c>
      <c r="E25" s="46"/>
      <c r="F25" s="46">
        <v>0</v>
      </c>
      <c r="G25" s="46">
        <v>0</v>
      </c>
      <c r="H25" s="46">
        <f t="shared" si="0"/>
        <v>0</v>
      </c>
      <c r="I25" s="46">
        <v>0</v>
      </c>
      <c r="J25" s="46">
        <v>0</v>
      </c>
      <c r="K25" s="46">
        <f t="shared" si="1"/>
        <v>0</v>
      </c>
      <c r="L25" s="46">
        <f t="shared" si="2"/>
        <v>0</v>
      </c>
      <c r="M25" s="46">
        <f t="shared" si="3"/>
        <v>0</v>
      </c>
      <c r="N25" s="46"/>
      <c r="O25" s="46"/>
      <c r="P25" s="24"/>
    </row>
    <row r="26" spans="1:16">
      <c r="A26" s="55">
        <v>23</v>
      </c>
      <c r="B26" s="270">
        <v>45800</v>
      </c>
      <c r="C26" s="240"/>
      <c r="D26" s="46">
        <v>0</v>
      </c>
      <c r="E26" s="46"/>
      <c r="F26" s="46">
        <v>0</v>
      </c>
      <c r="G26" s="46">
        <v>0</v>
      </c>
      <c r="H26" s="46">
        <f t="shared" si="0"/>
        <v>0</v>
      </c>
      <c r="I26" s="46">
        <v>0</v>
      </c>
      <c r="J26" s="46">
        <v>0</v>
      </c>
      <c r="K26" s="46">
        <f t="shared" si="1"/>
        <v>0</v>
      </c>
      <c r="L26" s="46">
        <f t="shared" si="2"/>
        <v>0</v>
      </c>
      <c r="M26" s="46">
        <f t="shared" si="3"/>
        <v>0</v>
      </c>
      <c r="N26" s="46"/>
      <c r="O26" s="46"/>
      <c r="P26" s="24"/>
    </row>
    <row r="27" spans="1:16">
      <c r="A27" s="55">
        <v>24</v>
      </c>
      <c r="B27" s="270">
        <v>45801</v>
      </c>
      <c r="C27" s="268"/>
      <c r="D27" s="46">
        <v>0</v>
      </c>
      <c r="E27" s="46"/>
      <c r="F27" s="46">
        <v>0</v>
      </c>
      <c r="G27" s="46">
        <v>0</v>
      </c>
      <c r="H27" s="46">
        <f t="shared" si="0"/>
        <v>0</v>
      </c>
      <c r="I27" s="46">
        <v>0</v>
      </c>
      <c r="J27" s="46">
        <v>0</v>
      </c>
      <c r="K27" s="46">
        <f t="shared" si="1"/>
        <v>0</v>
      </c>
      <c r="L27" s="46">
        <f t="shared" si="2"/>
        <v>0</v>
      </c>
      <c r="M27" s="46">
        <f t="shared" si="3"/>
        <v>0</v>
      </c>
      <c r="N27" s="258"/>
      <c r="O27" s="258"/>
      <c r="P27" s="24"/>
    </row>
    <row r="28" spans="1:16">
      <c r="A28" s="272">
        <v>25</v>
      </c>
      <c r="B28" s="270">
        <v>45802</v>
      </c>
      <c r="C28" s="100"/>
      <c r="D28" s="46">
        <v>0</v>
      </c>
      <c r="E28" s="46"/>
      <c r="F28" s="46">
        <v>0</v>
      </c>
      <c r="G28" s="46">
        <v>0</v>
      </c>
      <c r="H28" s="46">
        <f t="shared" si="0"/>
        <v>0</v>
      </c>
      <c r="I28" s="46">
        <v>0</v>
      </c>
      <c r="J28" s="46">
        <v>0</v>
      </c>
      <c r="K28" s="46">
        <f t="shared" si="1"/>
        <v>0</v>
      </c>
      <c r="L28" s="46">
        <f t="shared" si="2"/>
        <v>0</v>
      </c>
      <c r="M28" s="46">
        <f t="shared" si="3"/>
        <v>0</v>
      </c>
      <c r="N28" s="46"/>
      <c r="O28" s="46"/>
      <c r="P28" s="24"/>
    </row>
    <row r="29" spans="1:16">
      <c r="A29" s="272">
        <v>26</v>
      </c>
      <c r="B29" s="270">
        <v>45803</v>
      </c>
      <c r="C29" s="100"/>
      <c r="D29" s="46">
        <v>0</v>
      </c>
      <c r="E29" s="46"/>
      <c r="F29" s="46">
        <v>0</v>
      </c>
      <c r="G29" s="46">
        <v>0</v>
      </c>
      <c r="H29" s="46">
        <f t="shared" si="0"/>
        <v>0</v>
      </c>
      <c r="I29" s="46">
        <v>0</v>
      </c>
      <c r="J29" s="46">
        <v>0</v>
      </c>
      <c r="K29" s="46">
        <f t="shared" si="1"/>
        <v>0</v>
      </c>
      <c r="L29" s="46">
        <f t="shared" si="2"/>
        <v>0</v>
      </c>
      <c r="M29" s="46">
        <f t="shared" si="3"/>
        <v>0</v>
      </c>
      <c r="N29" s="46"/>
      <c r="O29" s="46"/>
      <c r="P29" s="24"/>
    </row>
    <row r="30" spans="1:16">
      <c r="A30" s="272">
        <v>27</v>
      </c>
      <c r="B30" s="270">
        <v>45804</v>
      </c>
      <c r="C30" s="100"/>
      <c r="D30" s="46">
        <v>0</v>
      </c>
      <c r="E30" s="46"/>
      <c r="F30" s="46">
        <v>0</v>
      </c>
      <c r="G30" s="46">
        <v>0</v>
      </c>
      <c r="H30" s="46">
        <f t="shared" si="0"/>
        <v>0</v>
      </c>
      <c r="I30" s="46">
        <v>0</v>
      </c>
      <c r="J30" s="46">
        <v>0</v>
      </c>
      <c r="K30" s="46">
        <f t="shared" si="1"/>
        <v>0</v>
      </c>
      <c r="L30" s="46">
        <f t="shared" si="2"/>
        <v>0</v>
      </c>
      <c r="M30" s="46">
        <f t="shared" si="3"/>
        <v>0</v>
      </c>
      <c r="N30" s="46"/>
      <c r="O30" s="46"/>
      <c r="P30" s="24"/>
    </row>
    <row r="31" spans="1:16">
      <c r="A31" s="272">
        <v>28</v>
      </c>
      <c r="B31" s="270">
        <v>45805</v>
      </c>
      <c r="C31" s="100"/>
      <c r="D31" s="46">
        <v>0</v>
      </c>
      <c r="E31" s="46"/>
      <c r="F31" s="46">
        <v>0</v>
      </c>
      <c r="G31" s="46">
        <v>0</v>
      </c>
      <c r="H31" s="46">
        <f t="shared" si="0"/>
        <v>0</v>
      </c>
      <c r="I31" s="46">
        <v>0</v>
      </c>
      <c r="J31" s="46">
        <v>0</v>
      </c>
      <c r="K31" s="46">
        <f t="shared" si="1"/>
        <v>0</v>
      </c>
      <c r="L31" s="46">
        <f t="shared" si="2"/>
        <v>0</v>
      </c>
      <c r="M31" s="46">
        <f t="shared" si="3"/>
        <v>0</v>
      </c>
      <c r="N31" s="46"/>
      <c r="O31" s="46"/>
      <c r="P31" s="24"/>
    </row>
    <row r="32" spans="1:16">
      <c r="A32" s="273">
        <v>29</v>
      </c>
      <c r="B32" s="270">
        <v>45806</v>
      </c>
      <c r="C32" s="100"/>
      <c r="D32" s="46">
        <v>0</v>
      </c>
      <c r="E32" s="46"/>
      <c r="F32" s="46">
        <v>0</v>
      </c>
      <c r="G32" s="46">
        <v>0</v>
      </c>
      <c r="H32" s="46">
        <f t="shared" si="0"/>
        <v>0</v>
      </c>
      <c r="I32" s="46">
        <v>0</v>
      </c>
      <c r="J32" s="46">
        <v>0</v>
      </c>
      <c r="K32" s="46">
        <f t="shared" si="1"/>
        <v>0</v>
      </c>
      <c r="L32" s="46">
        <f t="shared" si="2"/>
        <v>0</v>
      </c>
      <c r="M32" s="46">
        <f t="shared" si="3"/>
        <v>0</v>
      </c>
      <c r="N32" s="46"/>
      <c r="O32" s="46"/>
      <c r="P32" s="24"/>
    </row>
    <row r="33" spans="1:16">
      <c r="A33" s="273">
        <v>30</v>
      </c>
      <c r="B33" s="270">
        <v>45807</v>
      </c>
      <c r="C33" s="100"/>
      <c r="D33" s="46">
        <v>0</v>
      </c>
      <c r="E33" s="46"/>
      <c r="F33" s="46">
        <v>0</v>
      </c>
      <c r="G33" s="46">
        <v>0</v>
      </c>
      <c r="H33" s="46">
        <f t="shared" si="0"/>
        <v>0</v>
      </c>
      <c r="I33" s="46">
        <v>0</v>
      </c>
      <c r="J33" s="46">
        <v>0</v>
      </c>
      <c r="K33" s="46">
        <f t="shared" si="1"/>
        <v>0</v>
      </c>
      <c r="L33" s="46">
        <f t="shared" si="2"/>
        <v>0</v>
      </c>
      <c r="M33" s="46">
        <f t="shared" si="3"/>
        <v>0</v>
      </c>
      <c r="N33" s="46"/>
      <c r="O33" s="46"/>
      <c r="P33" s="24"/>
    </row>
    <row r="34" spans="1:16">
      <c r="A34" s="273">
        <v>31</v>
      </c>
      <c r="B34" s="270">
        <v>45808</v>
      </c>
      <c r="C34" s="100"/>
      <c r="D34" s="46">
        <v>0</v>
      </c>
      <c r="E34" s="46"/>
      <c r="F34" s="46">
        <v>0</v>
      </c>
      <c r="G34" s="46">
        <v>0</v>
      </c>
      <c r="H34" s="46">
        <f t="shared" ref="H34" si="4">F34*G34</f>
        <v>0</v>
      </c>
      <c r="I34" s="46">
        <v>0</v>
      </c>
      <c r="J34" s="46">
        <v>0</v>
      </c>
      <c r="K34" s="46">
        <f t="shared" ref="K34" si="5">I34*J34</f>
        <v>0</v>
      </c>
      <c r="L34" s="46">
        <f t="shared" ref="L34" si="6">H34+K34</f>
        <v>0</v>
      </c>
      <c r="M34" s="46">
        <f t="shared" ref="M34" si="7">+L34</f>
        <v>0</v>
      </c>
      <c r="N34" s="46"/>
      <c r="O34" s="46"/>
      <c r="P34" s="24"/>
    </row>
    <row r="35" spans="1:16">
      <c r="A35" s="209"/>
      <c r="B35" s="209"/>
      <c r="C35" s="209"/>
      <c r="D35" s="209"/>
      <c r="E35" s="209"/>
      <c r="F35" s="209">
        <f>SUM(F4:F31)</f>
        <v>0</v>
      </c>
      <c r="G35" s="209"/>
      <c r="H35" s="209">
        <f>SUM(H4:H31)</f>
        <v>0</v>
      </c>
      <c r="I35" s="209">
        <f>SUM(I4:I31)</f>
        <v>4.82</v>
      </c>
      <c r="J35" s="209"/>
      <c r="K35" s="209">
        <f>SUM(K4:K31)</f>
        <v>499.97860000000003</v>
      </c>
      <c r="L35" s="209">
        <f>SUM(L4:L31)</f>
        <v>499.97860000000003</v>
      </c>
      <c r="M35" s="209">
        <f>SUM(M4:M31)</f>
        <v>499.97860000000003</v>
      </c>
      <c r="N35" s="209"/>
      <c r="O35" s="209"/>
      <c r="P35" s="24"/>
    </row>
  </sheetData>
  <mergeCells count="3">
    <mergeCell ref="A1:O1"/>
    <mergeCell ref="A3:M3"/>
    <mergeCell ref="N3:O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O35"/>
  <sheetViews>
    <sheetView topLeftCell="A23" workbookViewId="0">
      <selection activeCell="H39" sqref="H39"/>
    </sheetView>
  </sheetViews>
  <sheetFormatPr defaultColWidth="12.140625" defaultRowHeight="15"/>
  <cols>
    <col min="1" max="1" width="10.42578125" customWidth="1"/>
    <col min="13" max="13" width="13.5703125" bestFit="1" customWidth="1"/>
  </cols>
  <sheetData>
    <row r="1" spans="1:15" ht="15.75">
      <c r="A1" s="427" t="s">
        <v>74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5" ht="30.75">
      <c r="A2" s="113" t="s">
        <v>99</v>
      </c>
      <c r="B2" s="114" t="s">
        <v>100</v>
      </c>
      <c r="C2" s="114" t="s">
        <v>101</v>
      </c>
      <c r="D2" s="114" t="s">
        <v>102</v>
      </c>
      <c r="E2" s="114" t="s">
        <v>103</v>
      </c>
      <c r="F2" s="114" t="s">
        <v>104</v>
      </c>
      <c r="G2" s="213" t="s">
        <v>105</v>
      </c>
      <c r="H2" s="114" t="s">
        <v>106</v>
      </c>
      <c r="I2" s="114" t="s">
        <v>104</v>
      </c>
      <c r="J2" s="220" t="s">
        <v>105</v>
      </c>
      <c r="K2" s="115" t="s">
        <v>107</v>
      </c>
      <c r="L2" s="157" t="s">
        <v>108</v>
      </c>
      <c r="M2" s="162" t="s">
        <v>115</v>
      </c>
      <c r="N2" s="116" t="s">
        <v>110</v>
      </c>
    </row>
    <row r="3" spans="1:15">
      <c r="A3" s="179"/>
      <c r="B3" s="19"/>
      <c r="C3" s="19"/>
      <c r="D3" s="271" t="s">
        <v>111</v>
      </c>
      <c r="E3" s="19"/>
      <c r="F3" s="19"/>
      <c r="G3" s="214"/>
      <c r="H3" s="19"/>
      <c r="I3" s="19"/>
      <c r="J3" s="214"/>
      <c r="K3" s="269">
        <v>473791</v>
      </c>
      <c r="L3" s="19"/>
      <c r="M3" s="166">
        <f>+K3</f>
        <v>473791</v>
      </c>
      <c r="N3" s="19"/>
    </row>
    <row r="4" spans="1:15">
      <c r="A4" s="234">
        <v>1</v>
      </c>
      <c r="B4" s="270">
        <v>45778</v>
      </c>
      <c r="C4" s="155"/>
      <c r="D4" s="155"/>
      <c r="E4" s="312">
        <v>336.62</v>
      </c>
      <c r="F4" s="312">
        <v>91.48</v>
      </c>
      <c r="G4" s="354">
        <f>E4*F4</f>
        <v>30793.997600000002</v>
      </c>
      <c r="H4" s="312">
        <v>23</v>
      </c>
      <c r="I4" s="312">
        <v>103.41</v>
      </c>
      <c r="J4" s="312">
        <f>H4*I4</f>
        <v>2378.4299999999998</v>
      </c>
      <c r="K4" s="354">
        <f>G4+J4</f>
        <v>33172.427600000003</v>
      </c>
      <c r="L4" s="155"/>
      <c r="M4" s="166">
        <f>M3+K4-L4</f>
        <v>506963.4276</v>
      </c>
      <c r="N4" s="155"/>
      <c r="O4" s="24"/>
    </row>
    <row r="5" spans="1:15">
      <c r="A5" s="55">
        <v>2</v>
      </c>
      <c r="B5" s="270">
        <v>45779</v>
      </c>
      <c r="C5" s="19"/>
      <c r="D5" s="19"/>
      <c r="E5" s="312">
        <v>579.47</v>
      </c>
      <c r="F5" s="312">
        <v>91.48</v>
      </c>
      <c r="G5" s="354">
        <f t="shared" ref="G5:G34" si="0">E5*F5</f>
        <v>53009.915600000008</v>
      </c>
      <c r="H5" s="312">
        <v>4</v>
      </c>
      <c r="I5" s="312">
        <v>103.41</v>
      </c>
      <c r="J5" s="312">
        <f t="shared" ref="J5:J34" si="1">H5*I5</f>
        <v>413.64</v>
      </c>
      <c r="K5" s="354">
        <f t="shared" ref="K5:K34" si="2">G5+J5</f>
        <v>53423.555600000007</v>
      </c>
      <c r="L5" s="19"/>
      <c r="M5" s="166">
        <f t="shared" ref="M5:M34" si="3">M4+K5-L5</f>
        <v>560386.98320000002</v>
      </c>
      <c r="N5" s="19"/>
    </row>
    <row r="6" spans="1:15">
      <c r="A6" s="55">
        <v>3</v>
      </c>
      <c r="B6" s="270">
        <v>45780</v>
      </c>
      <c r="C6" s="19"/>
      <c r="D6" s="19"/>
      <c r="E6" s="312">
        <v>70</v>
      </c>
      <c r="F6" s="312">
        <v>91.48</v>
      </c>
      <c r="G6" s="354">
        <f t="shared" si="0"/>
        <v>6403.6</v>
      </c>
      <c r="H6" s="312">
        <v>5</v>
      </c>
      <c r="I6" s="312">
        <v>103.41</v>
      </c>
      <c r="J6" s="312">
        <f t="shared" si="1"/>
        <v>517.04999999999995</v>
      </c>
      <c r="K6" s="354">
        <f t="shared" si="2"/>
        <v>6920.6500000000005</v>
      </c>
      <c r="L6" s="19"/>
      <c r="M6" s="166">
        <f>M5+K6-L6</f>
        <v>567307.63320000004</v>
      </c>
      <c r="N6" s="19"/>
    </row>
    <row r="7" spans="1:15">
      <c r="A7" s="55">
        <v>4</v>
      </c>
      <c r="B7" s="270">
        <v>45781</v>
      </c>
      <c r="C7" s="19"/>
      <c r="D7" s="19"/>
      <c r="E7" s="312">
        <v>286.95</v>
      </c>
      <c r="F7" s="312">
        <v>91.48</v>
      </c>
      <c r="G7" s="354">
        <f t="shared" si="0"/>
        <v>26250.186000000002</v>
      </c>
      <c r="H7" s="312">
        <v>11</v>
      </c>
      <c r="I7" s="312">
        <v>103.41</v>
      </c>
      <c r="J7" s="312">
        <f t="shared" si="1"/>
        <v>1137.51</v>
      </c>
      <c r="K7" s="354">
        <f t="shared" si="2"/>
        <v>27387.696</v>
      </c>
      <c r="L7" s="19"/>
      <c r="M7" s="166">
        <f t="shared" si="3"/>
        <v>594695.32920000004</v>
      </c>
      <c r="N7" s="19"/>
    </row>
    <row r="8" spans="1:15">
      <c r="A8" s="55">
        <v>5</v>
      </c>
      <c r="B8" s="270">
        <v>45782</v>
      </c>
      <c r="C8" s="19"/>
      <c r="D8" s="19"/>
      <c r="E8" s="312">
        <v>1109.45</v>
      </c>
      <c r="F8" s="312">
        <v>91.48</v>
      </c>
      <c r="G8" s="354">
        <f t="shared" si="0"/>
        <v>101492.486</v>
      </c>
      <c r="H8" s="312">
        <v>27</v>
      </c>
      <c r="I8" s="312">
        <v>103.41</v>
      </c>
      <c r="J8" s="312">
        <f t="shared" si="1"/>
        <v>2792.0699999999997</v>
      </c>
      <c r="K8" s="354">
        <f t="shared" si="2"/>
        <v>104284.55600000001</v>
      </c>
      <c r="L8" s="19"/>
      <c r="M8" s="166">
        <f t="shared" si="3"/>
        <v>698979.88520000002</v>
      </c>
      <c r="N8" s="19"/>
    </row>
    <row r="9" spans="1:15">
      <c r="A9" s="55">
        <v>6</v>
      </c>
      <c r="B9" s="270">
        <v>45783</v>
      </c>
      <c r="C9" s="19"/>
      <c r="D9" s="19"/>
      <c r="E9" s="312">
        <v>479.49</v>
      </c>
      <c r="F9" s="312">
        <v>91.48</v>
      </c>
      <c r="G9" s="354">
        <f t="shared" si="0"/>
        <v>43863.745200000005</v>
      </c>
      <c r="H9" s="312">
        <v>11</v>
      </c>
      <c r="I9" s="312">
        <v>103.41</v>
      </c>
      <c r="J9" s="312">
        <f t="shared" si="1"/>
        <v>1137.51</v>
      </c>
      <c r="K9" s="354">
        <f t="shared" si="2"/>
        <v>45001.255200000007</v>
      </c>
      <c r="L9" s="19"/>
      <c r="M9" s="166">
        <f t="shared" si="3"/>
        <v>743981.14040000003</v>
      </c>
      <c r="N9" s="19"/>
    </row>
    <row r="10" spans="1:15">
      <c r="A10" s="55">
        <v>7</v>
      </c>
      <c r="B10" s="270">
        <v>45784</v>
      </c>
      <c r="C10" s="19"/>
      <c r="D10" s="19"/>
      <c r="E10" s="312">
        <v>597.61</v>
      </c>
      <c r="F10" s="312">
        <v>91.48</v>
      </c>
      <c r="G10" s="354">
        <f t="shared" si="0"/>
        <v>54669.362800000003</v>
      </c>
      <c r="H10" s="312">
        <v>16</v>
      </c>
      <c r="I10" s="312">
        <v>103.41</v>
      </c>
      <c r="J10" s="312">
        <f t="shared" si="1"/>
        <v>1654.56</v>
      </c>
      <c r="K10" s="354">
        <f t="shared" si="2"/>
        <v>56323.9228</v>
      </c>
      <c r="L10" s="19"/>
      <c r="M10" s="166">
        <f t="shared" si="3"/>
        <v>800305.06319999998</v>
      </c>
      <c r="N10" s="19"/>
    </row>
    <row r="11" spans="1:15">
      <c r="A11" s="55">
        <v>8</v>
      </c>
      <c r="B11" s="270">
        <v>45785</v>
      </c>
      <c r="C11" s="19"/>
      <c r="D11" s="19"/>
      <c r="E11" s="312">
        <v>464.1</v>
      </c>
      <c r="F11" s="312">
        <v>91.48</v>
      </c>
      <c r="G11" s="354">
        <f t="shared" si="0"/>
        <v>42455.868000000002</v>
      </c>
      <c r="H11" s="312">
        <v>11</v>
      </c>
      <c r="I11" s="312">
        <v>103.41</v>
      </c>
      <c r="J11" s="312">
        <f t="shared" si="1"/>
        <v>1137.51</v>
      </c>
      <c r="K11" s="354">
        <f t="shared" si="2"/>
        <v>43593.378000000004</v>
      </c>
      <c r="L11" s="19"/>
      <c r="M11" s="166">
        <f t="shared" si="3"/>
        <v>843898.4412</v>
      </c>
      <c r="N11" s="19"/>
    </row>
    <row r="12" spans="1:15">
      <c r="A12" s="55">
        <v>9</v>
      </c>
      <c r="B12" s="270">
        <v>45786</v>
      </c>
      <c r="C12" s="19"/>
      <c r="D12" s="19"/>
      <c r="E12" s="312">
        <v>361</v>
      </c>
      <c r="F12" s="312">
        <v>91.48</v>
      </c>
      <c r="G12" s="354">
        <f t="shared" si="0"/>
        <v>33024.28</v>
      </c>
      <c r="H12" s="312">
        <v>27</v>
      </c>
      <c r="I12" s="312">
        <v>103.41</v>
      </c>
      <c r="J12" s="312">
        <f t="shared" si="1"/>
        <v>2792.0699999999997</v>
      </c>
      <c r="K12" s="354">
        <f t="shared" si="2"/>
        <v>35816.35</v>
      </c>
      <c r="L12" s="19"/>
      <c r="M12" s="166">
        <f t="shared" si="3"/>
        <v>879714.79119999998</v>
      </c>
      <c r="N12" s="19"/>
    </row>
    <row r="13" spans="1:15">
      <c r="A13" s="55">
        <v>10</v>
      </c>
      <c r="B13" s="270">
        <v>45787</v>
      </c>
      <c r="C13" s="19"/>
      <c r="D13" s="19"/>
      <c r="E13" s="312">
        <v>1106.28</v>
      </c>
      <c r="F13" s="312">
        <v>91.48</v>
      </c>
      <c r="G13" s="354">
        <f t="shared" si="0"/>
        <v>101202.4944</v>
      </c>
      <c r="H13" s="312">
        <v>6</v>
      </c>
      <c r="I13" s="312">
        <v>103.41</v>
      </c>
      <c r="J13" s="312">
        <f t="shared" si="1"/>
        <v>620.46</v>
      </c>
      <c r="K13" s="354">
        <f t="shared" si="2"/>
        <v>101822.9544</v>
      </c>
      <c r="L13" s="19"/>
      <c r="M13" s="166">
        <f t="shared" si="3"/>
        <v>981537.74560000002</v>
      </c>
      <c r="N13" s="19"/>
    </row>
    <row r="14" spans="1:15">
      <c r="A14" s="55">
        <v>11</v>
      </c>
      <c r="B14" s="270">
        <v>45788</v>
      </c>
      <c r="C14" s="19"/>
      <c r="D14" s="19"/>
      <c r="E14" s="312">
        <v>400</v>
      </c>
      <c r="F14" s="312">
        <v>91.48</v>
      </c>
      <c r="G14" s="354">
        <f t="shared" si="0"/>
        <v>36592</v>
      </c>
      <c r="H14" s="312">
        <v>4</v>
      </c>
      <c r="I14" s="312">
        <v>103.41</v>
      </c>
      <c r="J14" s="312">
        <f t="shared" si="1"/>
        <v>413.64</v>
      </c>
      <c r="K14" s="354">
        <f t="shared" si="2"/>
        <v>37005.64</v>
      </c>
      <c r="L14" s="19"/>
      <c r="M14" s="166">
        <f t="shared" si="3"/>
        <v>1018543.3856</v>
      </c>
      <c r="N14" s="19"/>
    </row>
    <row r="15" spans="1:15">
      <c r="A15" s="55">
        <v>12</v>
      </c>
      <c r="B15" s="270">
        <v>45789</v>
      </c>
      <c r="C15" s="19"/>
      <c r="D15" s="19"/>
      <c r="E15" s="312">
        <v>576.54</v>
      </c>
      <c r="F15" s="312">
        <v>91.48</v>
      </c>
      <c r="G15" s="354">
        <f t="shared" si="0"/>
        <v>52741.879199999996</v>
      </c>
      <c r="H15" s="312">
        <v>5</v>
      </c>
      <c r="I15" s="312">
        <v>103.41</v>
      </c>
      <c r="J15" s="312">
        <f t="shared" si="1"/>
        <v>517.04999999999995</v>
      </c>
      <c r="K15" s="354">
        <f t="shared" si="2"/>
        <v>53258.929199999999</v>
      </c>
      <c r="L15" s="19"/>
      <c r="M15" s="166">
        <f t="shared" si="3"/>
        <v>1071802.3148000001</v>
      </c>
      <c r="N15" s="19"/>
    </row>
    <row r="16" spans="1:15">
      <c r="A16" s="55">
        <v>13</v>
      </c>
      <c r="B16" s="270">
        <v>45790</v>
      </c>
      <c r="C16" s="19"/>
      <c r="D16" s="19"/>
      <c r="E16" s="312">
        <v>1316.05</v>
      </c>
      <c r="F16" s="312">
        <v>91.48</v>
      </c>
      <c r="G16" s="354">
        <f t="shared" si="0"/>
        <v>120392.254</v>
      </c>
      <c r="H16" s="312">
        <v>16</v>
      </c>
      <c r="I16" s="312">
        <v>103.41</v>
      </c>
      <c r="J16" s="312">
        <f t="shared" si="1"/>
        <v>1654.56</v>
      </c>
      <c r="K16" s="354">
        <f t="shared" si="2"/>
        <v>122046.814</v>
      </c>
      <c r="L16" s="19"/>
      <c r="M16" s="166">
        <f t="shared" si="3"/>
        <v>1193849.1288000001</v>
      </c>
      <c r="N16" s="19"/>
    </row>
    <row r="17" spans="1:14">
      <c r="A17" s="55">
        <v>14</v>
      </c>
      <c r="B17" s="270">
        <v>45791</v>
      </c>
      <c r="C17" s="19"/>
      <c r="D17" s="19"/>
      <c r="E17" s="312">
        <v>422.25</v>
      </c>
      <c r="F17" s="312">
        <v>91.48</v>
      </c>
      <c r="G17" s="354">
        <f t="shared" si="0"/>
        <v>38627.43</v>
      </c>
      <c r="H17" s="312">
        <v>4</v>
      </c>
      <c r="I17" s="312">
        <v>103.41</v>
      </c>
      <c r="J17" s="312">
        <f t="shared" si="1"/>
        <v>413.64</v>
      </c>
      <c r="K17" s="354">
        <f t="shared" si="2"/>
        <v>39041.07</v>
      </c>
      <c r="L17" s="19"/>
      <c r="M17" s="166">
        <f t="shared" si="3"/>
        <v>1232890.1988000001</v>
      </c>
      <c r="N17" s="19"/>
    </row>
    <row r="18" spans="1:14">
      <c r="A18" s="55">
        <v>15</v>
      </c>
      <c r="B18" s="270">
        <v>45792</v>
      </c>
      <c r="C18" s="19"/>
      <c r="D18" s="19"/>
      <c r="E18" s="312">
        <v>538.5</v>
      </c>
      <c r="F18" s="312">
        <v>91.48</v>
      </c>
      <c r="G18" s="354">
        <f t="shared" si="0"/>
        <v>49261.98</v>
      </c>
      <c r="H18" s="312">
        <v>15</v>
      </c>
      <c r="I18" s="312">
        <v>103.41</v>
      </c>
      <c r="J18" s="312">
        <f t="shared" si="1"/>
        <v>1551.1499999999999</v>
      </c>
      <c r="K18" s="354">
        <f t="shared" si="2"/>
        <v>50813.130000000005</v>
      </c>
      <c r="L18" s="19">
        <v>300000</v>
      </c>
      <c r="M18" s="166">
        <f t="shared" si="3"/>
        <v>983703.32880000025</v>
      </c>
      <c r="N18" s="19"/>
    </row>
    <row r="19" spans="1:14">
      <c r="A19" s="55">
        <v>16</v>
      </c>
      <c r="B19" s="270">
        <v>45793</v>
      </c>
      <c r="C19" s="19"/>
      <c r="D19" s="19"/>
      <c r="E19" s="312">
        <v>438.81</v>
      </c>
      <c r="F19" s="312">
        <v>91.48</v>
      </c>
      <c r="G19" s="354">
        <f t="shared" si="0"/>
        <v>40142.338800000005</v>
      </c>
      <c r="H19" s="312">
        <v>11</v>
      </c>
      <c r="I19" s="312">
        <v>103.41</v>
      </c>
      <c r="J19" s="312">
        <f t="shared" si="1"/>
        <v>1137.51</v>
      </c>
      <c r="K19" s="354">
        <f t="shared" si="2"/>
        <v>41279.848800000007</v>
      </c>
      <c r="L19" s="19"/>
      <c r="M19" s="166">
        <f t="shared" si="3"/>
        <v>1024983.1776000003</v>
      </c>
      <c r="N19" s="19"/>
    </row>
    <row r="20" spans="1:14">
      <c r="A20" s="55">
        <v>17</v>
      </c>
      <c r="B20" s="270">
        <v>45794</v>
      </c>
      <c r="C20" s="19"/>
      <c r="D20" s="19"/>
      <c r="E20" s="312">
        <v>314.06</v>
      </c>
      <c r="F20" s="312">
        <v>91.48</v>
      </c>
      <c r="G20" s="354">
        <f t="shared" si="0"/>
        <v>28730.2088</v>
      </c>
      <c r="H20" s="312">
        <v>15</v>
      </c>
      <c r="I20" s="312">
        <v>103.41</v>
      </c>
      <c r="J20" s="312">
        <f t="shared" si="1"/>
        <v>1551.1499999999999</v>
      </c>
      <c r="K20" s="354">
        <f t="shared" si="2"/>
        <v>30281.358800000002</v>
      </c>
      <c r="L20" s="19"/>
      <c r="M20" s="166">
        <f t="shared" si="3"/>
        <v>1055264.5364000003</v>
      </c>
      <c r="N20" s="19"/>
    </row>
    <row r="21" spans="1:14">
      <c r="A21" s="55">
        <v>18</v>
      </c>
      <c r="B21" s="270">
        <v>45795</v>
      </c>
      <c r="C21" s="19"/>
      <c r="D21" s="19"/>
      <c r="E21" s="312">
        <v>345.5</v>
      </c>
      <c r="F21" s="312">
        <v>91.48</v>
      </c>
      <c r="G21" s="354">
        <f t="shared" si="0"/>
        <v>31606.34</v>
      </c>
      <c r="H21" s="312">
        <v>11</v>
      </c>
      <c r="I21" s="312">
        <v>103.41</v>
      </c>
      <c r="J21" s="312">
        <f t="shared" si="1"/>
        <v>1137.51</v>
      </c>
      <c r="K21" s="354">
        <f t="shared" si="2"/>
        <v>32743.85</v>
      </c>
      <c r="L21" s="19"/>
      <c r="M21" s="166">
        <f t="shared" si="3"/>
        <v>1088008.3864000004</v>
      </c>
      <c r="N21" s="19"/>
    </row>
    <row r="22" spans="1:14">
      <c r="A22" s="55">
        <v>19</v>
      </c>
      <c r="B22" s="270">
        <v>45796</v>
      </c>
      <c r="C22" s="19"/>
      <c r="D22" s="19"/>
      <c r="E22" s="312">
        <v>173.28</v>
      </c>
      <c r="F22" s="312">
        <v>91.48</v>
      </c>
      <c r="G22" s="354">
        <f t="shared" si="0"/>
        <v>15851.654400000001</v>
      </c>
      <c r="H22" s="312">
        <v>23</v>
      </c>
      <c r="I22" s="312">
        <v>103.41</v>
      </c>
      <c r="J22" s="312">
        <f t="shared" si="1"/>
        <v>2378.4299999999998</v>
      </c>
      <c r="K22" s="354">
        <f t="shared" si="2"/>
        <v>18230.0844</v>
      </c>
      <c r="L22" s="19"/>
      <c r="M22" s="166">
        <f t="shared" si="3"/>
        <v>1106238.4708000005</v>
      </c>
      <c r="N22" s="19"/>
    </row>
    <row r="23" spans="1:14">
      <c r="A23" s="55">
        <v>20</v>
      </c>
      <c r="B23" s="270">
        <v>45797</v>
      </c>
      <c r="C23" s="19"/>
      <c r="D23" s="19"/>
      <c r="E23" s="312">
        <v>188</v>
      </c>
      <c r="F23" s="312">
        <v>91.48</v>
      </c>
      <c r="G23" s="354">
        <f t="shared" si="0"/>
        <v>17198.240000000002</v>
      </c>
      <c r="H23" s="312">
        <v>15</v>
      </c>
      <c r="I23" s="312">
        <v>103.41</v>
      </c>
      <c r="J23" s="312">
        <f t="shared" si="1"/>
        <v>1551.1499999999999</v>
      </c>
      <c r="K23" s="354">
        <f t="shared" si="2"/>
        <v>18749.390000000003</v>
      </c>
      <c r="L23" s="19"/>
      <c r="M23" s="166">
        <f t="shared" si="3"/>
        <v>1124987.8608000004</v>
      </c>
      <c r="N23" s="19"/>
    </row>
    <row r="24" spans="1:14">
      <c r="A24" s="55">
        <v>21</v>
      </c>
      <c r="B24" s="270">
        <v>45798</v>
      </c>
      <c r="C24" s="19"/>
      <c r="D24" s="19"/>
      <c r="E24" s="312">
        <v>1010.01</v>
      </c>
      <c r="F24" s="312">
        <v>91.48</v>
      </c>
      <c r="G24" s="354">
        <f t="shared" si="0"/>
        <v>92395.714800000002</v>
      </c>
      <c r="H24" s="312">
        <v>11</v>
      </c>
      <c r="I24" s="312">
        <v>103.41</v>
      </c>
      <c r="J24" s="312">
        <f t="shared" si="1"/>
        <v>1137.51</v>
      </c>
      <c r="K24" s="354">
        <f t="shared" si="2"/>
        <v>93533.224799999996</v>
      </c>
      <c r="L24" s="19"/>
      <c r="M24" s="166">
        <f t="shared" si="3"/>
        <v>1218521.0856000003</v>
      </c>
      <c r="N24" s="19"/>
    </row>
    <row r="25" spans="1:14">
      <c r="A25" s="55">
        <v>22</v>
      </c>
      <c r="B25" s="270">
        <v>45799</v>
      </c>
      <c r="C25" s="19"/>
      <c r="D25" s="19"/>
      <c r="E25" s="312">
        <v>951.52</v>
      </c>
      <c r="F25" s="312">
        <v>91.48</v>
      </c>
      <c r="G25" s="354">
        <f t="shared" si="0"/>
        <v>87045.049599999998</v>
      </c>
      <c r="H25" s="312">
        <v>15</v>
      </c>
      <c r="I25" s="312">
        <v>103.41</v>
      </c>
      <c r="J25" s="312">
        <f t="shared" si="1"/>
        <v>1551.1499999999999</v>
      </c>
      <c r="K25" s="354">
        <f t="shared" si="2"/>
        <v>88596.199599999993</v>
      </c>
      <c r="L25" s="19">
        <v>200000</v>
      </c>
      <c r="M25" s="166">
        <f t="shared" si="3"/>
        <v>1107117.2852000003</v>
      </c>
      <c r="N25" s="19"/>
    </row>
    <row r="26" spans="1:14">
      <c r="A26" s="55">
        <v>23</v>
      </c>
      <c r="B26" s="270">
        <v>45800</v>
      </c>
      <c r="C26" s="19"/>
      <c r="D26" s="19"/>
      <c r="E26" s="312">
        <v>896.8</v>
      </c>
      <c r="F26" s="312">
        <v>91.48</v>
      </c>
      <c r="G26" s="354">
        <f t="shared" si="0"/>
        <v>82039.263999999996</v>
      </c>
      <c r="H26" s="312">
        <v>26</v>
      </c>
      <c r="I26" s="312">
        <v>103.41</v>
      </c>
      <c r="J26" s="312">
        <f t="shared" si="1"/>
        <v>2688.66</v>
      </c>
      <c r="K26" s="354">
        <f t="shared" si="2"/>
        <v>84727.923999999999</v>
      </c>
      <c r="L26" s="19"/>
      <c r="M26" s="166">
        <f t="shared" si="3"/>
        <v>1191845.2092000004</v>
      </c>
      <c r="N26" s="19"/>
    </row>
    <row r="27" spans="1:14">
      <c r="A27" s="55">
        <v>24</v>
      </c>
      <c r="B27" s="270">
        <v>45801</v>
      </c>
      <c r="C27" s="19"/>
      <c r="D27" s="19"/>
      <c r="E27" s="312">
        <v>311.69</v>
      </c>
      <c r="F27" s="312">
        <v>91.48</v>
      </c>
      <c r="G27" s="354">
        <f t="shared" si="0"/>
        <v>28513.4012</v>
      </c>
      <c r="H27" s="312">
        <v>6</v>
      </c>
      <c r="I27" s="312">
        <v>103.41</v>
      </c>
      <c r="J27" s="312">
        <f t="shared" si="1"/>
        <v>620.46</v>
      </c>
      <c r="K27" s="354">
        <f t="shared" si="2"/>
        <v>29133.861199999999</v>
      </c>
      <c r="L27" s="19"/>
      <c r="M27" s="166">
        <f t="shared" si="3"/>
        <v>1220979.0704000003</v>
      </c>
      <c r="N27" s="19"/>
    </row>
    <row r="28" spans="1:14">
      <c r="A28" s="55">
        <v>25</v>
      </c>
      <c r="B28" s="270">
        <v>45802</v>
      </c>
      <c r="C28" s="109"/>
      <c r="D28" s="109"/>
      <c r="E28" s="312">
        <v>249.48</v>
      </c>
      <c r="F28" s="312">
        <v>91.48</v>
      </c>
      <c r="G28" s="354">
        <f t="shared" si="0"/>
        <v>22822.430400000001</v>
      </c>
      <c r="H28" s="312">
        <v>0</v>
      </c>
      <c r="I28" s="312">
        <v>0</v>
      </c>
      <c r="J28" s="312">
        <f t="shared" si="1"/>
        <v>0</v>
      </c>
      <c r="K28" s="354">
        <f t="shared" si="2"/>
        <v>22822.430400000001</v>
      </c>
      <c r="L28" s="109"/>
      <c r="M28" s="166">
        <f t="shared" si="3"/>
        <v>1243801.5008000003</v>
      </c>
      <c r="N28" s="109"/>
    </row>
    <row r="29" spans="1:14">
      <c r="A29" s="55">
        <v>26</v>
      </c>
      <c r="B29" s="270">
        <v>45803</v>
      </c>
      <c r="C29" s="19"/>
      <c r="D29" s="19"/>
      <c r="E29" s="312">
        <v>164</v>
      </c>
      <c r="F29" s="312">
        <v>91.48</v>
      </c>
      <c r="G29" s="354">
        <f t="shared" si="0"/>
        <v>15002.720000000001</v>
      </c>
      <c r="H29" s="312">
        <v>12</v>
      </c>
      <c r="I29" s="312">
        <v>103.41</v>
      </c>
      <c r="J29" s="312">
        <f t="shared" si="1"/>
        <v>1240.92</v>
      </c>
      <c r="K29" s="354">
        <f t="shared" si="2"/>
        <v>16243.640000000001</v>
      </c>
      <c r="L29" s="19"/>
      <c r="M29" s="166">
        <f t="shared" si="3"/>
        <v>1260045.1408000002</v>
      </c>
      <c r="N29" s="19"/>
    </row>
    <row r="30" spans="1:14">
      <c r="A30" s="55">
        <v>27</v>
      </c>
      <c r="B30" s="270">
        <v>45804</v>
      </c>
      <c r="C30" s="19"/>
      <c r="D30" s="19"/>
      <c r="E30" s="312">
        <v>246.72</v>
      </c>
      <c r="F30" s="312">
        <v>91.48</v>
      </c>
      <c r="G30" s="354">
        <f t="shared" si="0"/>
        <v>22569.945599999999</v>
      </c>
      <c r="H30" s="312">
        <v>31</v>
      </c>
      <c r="I30" s="312">
        <v>103.41</v>
      </c>
      <c r="J30" s="312">
        <f t="shared" si="1"/>
        <v>3205.71</v>
      </c>
      <c r="K30" s="354">
        <f t="shared" si="2"/>
        <v>25775.655599999998</v>
      </c>
      <c r="L30" s="19"/>
      <c r="M30" s="166">
        <f t="shared" si="3"/>
        <v>1285820.7964000001</v>
      </c>
      <c r="N30" s="19"/>
    </row>
    <row r="31" spans="1:14">
      <c r="A31" s="55">
        <v>28</v>
      </c>
      <c r="B31" s="270">
        <v>45805</v>
      </c>
      <c r="C31" s="19"/>
      <c r="D31" s="19"/>
      <c r="E31" s="312">
        <v>396.14</v>
      </c>
      <c r="F31" s="312">
        <v>91.48</v>
      </c>
      <c r="G31" s="354">
        <f t="shared" si="0"/>
        <v>36238.887199999997</v>
      </c>
      <c r="H31" s="312">
        <v>53</v>
      </c>
      <c r="I31" s="312">
        <v>103.41</v>
      </c>
      <c r="J31" s="312">
        <f t="shared" si="1"/>
        <v>5480.73</v>
      </c>
      <c r="K31" s="354">
        <f t="shared" si="2"/>
        <v>41719.617199999993</v>
      </c>
      <c r="L31" s="19"/>
      <c r="M31" s="166">
        <f t="shared" si="3"/>
        <v>1327540.4136000001</v>
      </c>
      <c r="N31" s="19"/>
    </row>
    <row r="32" spans="1:14">
      <c r="A32" s="234">
        <v>29</v>
      </c>
      <c r="B32" s="270">
        <v>45806</v>
      </c>
      <c r="C32" s="19"/>
      <c r="D32" s="19"/>
      <c r="E32" s="312">
        <v>333.11</v>
      </c>
      <c r="F32" s="312">
        <v>91.48</v>
      </c>
      <c r="G32" s="354">
        <f t="shared" si="0"/>
        <v>30472.902800000003</v>
      </c>
      <c r="H32" s="312">
        <v>21</v>
      </c>
      <c r="I32" s="312">
        <v>111.17</v>
      </c>
      <c r="J32" s="312">
        <f t="shared" si="1"/>
        <v>2334.5700000000002</v>
      </c>
      <c r="K32" s="354">
        <f t="shared" si="2"/>
        <v>32807.472800000003</v>
      </c>
      <c r="L32" s="19"/>
      <c r="M32" s="166">
        <f t="shared" si="3"/>
        <v>1360347.8864000002</v>
      </c>
      <c r="N32" s="19"/>
    </row>
    <row r="33" spans="1:14">
      <c r="A33" s="234">
        <v>30</v>
      </c>
      <c r="B33" s="270">
        <v>45807</v>
      </c>
      <c r="C33" s="19"/>
      <c r="D33" s="19"/>
      <c r="E33" s="312">
        <v>966.81000000000006</v>
      </c>
      <c r="F33" s="312">
        <v>91.48</v>
      </c>
      <c r="G33" s="354">
        <f t="shared" si="0"/>
        <v>88443.778800000015</v>
      </c>
      <c r="H33" s="312">
        <v>0</v>
      </c>
      <c r="I33" s="312">
        <v>0</v>
      </c>
      <c r="J33" s="312">
        <f t="shared" si="1"/>
        <v>0</v>
      </c>
      <c r="K33" s="354">
        <f t="shared" si="2"/>
        <v>88443.778800000015</v>
      </c>
      <c r="L33" s="19"/>
      <c r="M33" s="166">
        <f t="shared" si="3"/>
        <v>1448791.6652000002</v>
      </c>
      <c r="N33" s="19"/>
    </row>
    <row r="34" spans="1:14">
      <c r="A34" s="234">
        <v>31</v>
      </c>
      <c r="B34" s="270">
        <v>45808</v>
      </c>
      <c r="C34" s="19"/>
      <c r="D34" s="19"/>
      <c r="E34" s="312">
        <v>955.83</v>
      </c>
      <c r="F34" s="312">
        <v>91.48</v>
      </c>
      <c r="G34" s="354">
        <f t="shared" si="0"/>
        <v>87439.328400000013</v>
      </c>
      <c r="H34" s="312">
        <v>17</v>
      </c>
      <c r="I34" s="312">
        <v>103.41</v>
      </c>
      <c r="J34" s="312">
        <f t="shared" si="1"/>
        <v>1757.97</v>
      </c>
      <c r="K34" s="354">
        <f t="shared" si="2"/>
        <v>89197.298400000014</v>
      </c>
      <c r="L34" s="19"/>
      <c r="M34" s="166">
        <f t="shared" si="3"/>
        <v>1537988.9636000001</v>
      </c>
      <c r="N34" s="19"/>
    </row>
    <row r="35" spans="1:14">
      <c r="A35" s="209"/>
      <c r="B35" s="209"/>
      <c r="C35" s="209"/>
      <c r="D35" s="209"/>
      <c r="E35" s="209">
        <f>SUM(E4:E34)</f>
        <v>16586.07</v>
      </c>
      <c r="F35" s="209"/>
      <c r="G35" s="209">
        <f>SUM(G4:G34)</f>
        <v>1517293.6835999996</v>
      </c>
      <c r="H35" s="209">
        <f>SUM(H4:H34)</f>
        <v>452</v>
      </c>
      <c r="I35" s="209"/>
      <c r="J35" s="209">
        <f>SUM(J4:J34)</f>
        <v>46904.279999999992</v>
      </c>
      <c r="K35" s="209">
        <f>SUM(K4:K34)</f>
        <v>1564197.9635999997</v>
      </c>
      <c r="L35" s="209">
        <f>SUM(L4:L34)</f>
        <v>500000</v>
      </c>
      <c r="M35" s="209"/>
      <c r="N35" s="209"/>
    </row>
  </sheetData>
  <mergeCells count="1">
    <mergeCell ref="A1:N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O44"/>
  <sheetViews>
    <sheetView workbookViewId="0">
      <pane ySplit="2" topLeftCell="A15" activePane="bottomLeft" state="frozen"/>
      <selection pane="bottomLeft" activeCell="H40" sqref="H40"/>
    </sheetView>
  </sheetViews>
  <sheetFormatPr defaultRowHeight="15"/>
  <cols>
    <col min="1" max="1" width="5.140625" style="91" bestFit="1" customWidth="1"/>
    <col min="2" max="2" width="10.85546875" style="91" bestFit="1" customWidth="1"/>
    <col min="3" max="3" width="16" style="91" bestFit="1" customWidth="1"/>
    <col min="4" max="4" width="13.28515625" style="91" bestFit="1" customWidth="1"/>
    <col min="5" max="6" width="10.7109375" style="91" bestFit="1" customWidth="1"/>
    <col min="7" max="7" width="11.5703125" style="91" bestFit="1" customWidth="1"/>
    <col min="8" max="8" width="10.7109375" style="91" bestFit="1" customWidth="1"/>
    <col min="9" max="9" width="7.140625" style="91" bestFit="1" customWidth="1"/>
    <col min="10" max="10" width="9.7109375" style="91" bestFit="1" customWidth="1"/>
    <col min="11" max="11" width="13.5703125" style="91" bestFit="1" customWidth="1"/>
    <col min="12" max="12" width="13.5703125" style="350" bestFit="1" customWidth="1"/>
    <col min="13" max="13" width="15" style="91" customWidth="1"/>
    <col min="14" max="14" width="14.28515625" style="91" bestFit="1" customWidth="1"/>
    <col min="15" max="16384" width="9.140625" style="91"/>
  </cols>
  <sheetData>
    <row r="1" spans="1:15" ht="15.75">
      <c r="A1" s="427" t="s">
        <v>52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65"/>
    </row>
    <row r="2" spans="1:15">
      <c r="A2" s="113" t="s">
        <v>99</v>
      </c>
      <c r="B2" s="114" t="s">
        <v>100</v>
      </c>
      <c r="C2" s="114" t="s">
        <v>101</v>
      </c>
      <c r="D2" s="114" t="s">
        <v>122</v>
      </c>
      <c r="E2" s="114" t="s">
        <v>103</v>
      </c>
      <c r="F2" s="114" t="s">
        <v>104</v>
      </c>
      <c r="G2" s="114" t="s">
        <v>105</v>
      </c>
      <c r="H2" s="114" t="s">
        <v>106</v>
      </c>
      <c r="I2" s="114" t="s">
        <v>104</v>
      </c>
      <c r="J2" s="156" t="s">
        <v>105</v>
      </c>
      <c r="K2" s="115" t="s">
        <v>107</v>
      </c>
      <c r="L2" s="285" t="s">
        <v>108</v>
      </c>
      <c r="M2" s="162" t="s">
        <v>115</v>
      </c>
      <c r="N2" s="116" t="s">
        <v>110</v>
      </c>
      <c r="O2" s="72"/>
    </row>
    <row r="3" spans="1:15">
      <c r="A3" s="473" t="s">
        <v>111</v>
      </c>
      <c r="B3" s="474"/>
      <c r="C3" s="474"/>
      <c r="D3" s="474"/>
      <c r="E3" s="474"/>
      <c r="F3" s="474"/>
      <c r="G3" s="474"/>
      <c r="H3" s="474"/>
      <c r="I3" s="474"/>
      <c r="J3" s="475"/>
      <c r="K3" s="249">
        <v>0</v>
      </c>
      <c r="L3" s="249">
        <v>234525.2237</v>
      </c>
      <c r="M3" s="172">
        <f>+L3</f>
        <v>234525.2237</v>
      </c>
      <c r="N3" s="180"/>
      <c r="O3" s="8"/>
    </row>
    <row r="4" spans="1:15">
      <c r="A4" s="28">
        <v>1</v>
      </c>
      <c r="B4" s="29">
        <v>45778</v>
      </c>
      <c r="C4" s="27"/>
      <c r="D4" s="20"/>
      <c r="E4" s="56">
        <v>0</v>
      </c>
      <c r="F4" s="56">
        <v>0</v>
      </c>
      <c r="G4" s="8">
        <f>E4*F4</f>
        <v>0</v>
      </c>
      <c r="H4" s="56">
        <v>11</v>
      </c>
      <c r="I4" s="56">
        <v>103.73</v>
      </c>
      <c r="J4" s="8">
        <f>H4*I4</f>
        <v>1141.03</v>
      </c>
      <c r="K4" s="8">
        <f>G4+J4</f>
        <v>1141.03</v>
      </c>
      <c r="L4" s="348"/>
      <c r="M4" s="8">
        <f>M3+K4-L4</f>
        <v>235666.2537</v>
      </c>
      <c r="N4" s="8"/>
      <c r="O4" s="72"/>
    </row>
    <row r="5" spans="1:15">
      <c r="A5" s="28">
        <v>2</v>
      </c>
      <c r="B5" s="29">
        <v>45779</v>
      </c>
      <c r="C5" s="27"/>
      <c r="D5" s="20"/>
      <c r="E5" s="56">
        <v>0</v>
      </c>
      <c r="F5" s="56">
        <v>0</v>
      </c>
      <c r="G5" s="8">
        <f t="shared" ref="G5:G32" si="0">E5*F5</f>
        <v>0</v>
      </c>
      <c r="H5" s="56"/>
      <c r="I5" s="56"/>
      <c r="J5" s="8">
        <f t="shared" ref="J5:J32" si="1">H5*I5</f>
        <v>0</v>
      </c>
      <c r="K5" s="8">
        <f t="shared" ref="K5:K34" si="2">G5+J5</f>
        <v>0</v>
      </c>
      <c r="L5" s="348"/>
      <c r="M5" s="8">
        <f t="shared" ref="M5:M16" si="3">M4+K5-L5</f>
        <v>235666.2537</v>
      </c>
      <c r="N5" s="8"/>
      <c r="O5" s="72"/>
    </row>
    <row r="6" spans="1:15">
      <c r="A6" s="28">
        <v>3</v>
      </c>
      <c r="B6" s="29">
        <v>45780</v>
      </c>
      <c r="C6" s="27"/>
      <c r="D6" s="20"/>
      <c r="E6" s="56">
        <v>90</v>
      </c>
      <c r="F6" s="56">
        <v>91.787000000000006</v>
      </c>
      <c r="G6" s="8">
        <f t="shared" si="0"/>
        <v>8260.83</v>
      </c>
      <c r="H6" s="56"/>
      <c r="I6" s="56"/>
      <c r="J6" s="8">
        <f t="shared" si="1"/>
        <v>0</v>
      </c>
      <c r="K6" s="8">
        <f t="shared" si="2"/>
        <v>8260.83</v>
      </c>
      <c r="L6" s="348"/>
      <c r="M6" s="8">
        <f t="shared" si="3"/>
        <v>243927.08369999999</v>
      </c>
      <c r="N6" s="8"/>
      <c r="O6" s="72"/>
    </row>
    <row r="7" spans="1:15">
      <c r="A7" s="28">
        <v>4</v>
      </c>
      <c r="B7" s="29">
        <v>45781</v>
      </c>
      <c r="C7" s="27"/>
      <c r="D7" s="20"/>
      <c r="E7" s="56">
        <v>0</v>
      </c>
      <c r="F7" s="56">
        <v>0</v>
      </c>
      <c r="G7" s="8">
        <f t="shared" si="0"/>
        <v>0</v>
      </c>
      <c r="H7" s="56"/>
      <c r="I7" s="56"/>
      <c r="J7" s="8">
        <f t="shared" si="1"/>
        <v>0</v>
      </c>
      <c r="K7" s="8">
        <f t="shared" si="2"/>
        <v>0</v>
      </c>
      <c r="L7" s="348"/>
      <c r="M7" s="8">
        <f t="shared" si="3"/>
        <v>243927.08369999999</v>
      </c>
      <c r="N7" s="8"/>
      <c r="O7" s="72"/>
    </row>
    <row r="8" spans="1:15">
      <c r="A8" s="28">
        <v>5</v>
      </c>
      <c r="B8" s="29">
        <v>45782</v>
      </c>
      <c r="C8" s="27"/>
      <c r="D8" s="20"/>
      <c r="E8" s="56">
        <v>0</v>
      </c>
      <c r="F8" s="56">
        <v>91.77</v>
      </c>
      <c r="G8" s="8">
        <f t="shared" si="0"/>
        <v>0</v>
      </c>
      <c r="H8" s="56">
        <v>0</v>
      </c>
      <c r="I8" s="56">
        <v>103.73</v>
      </c>
      <c r="J8" s="8">
        <f t="shared" si="1"/>
        <v>0</v>
      </c>
      <c r="K8" s="8">
        <f t="shared" si="2"/>
        <v>0</v>
      </c>
      <c r="L8" s="348"/>
      <c r="M8" s="8">
        <f t="shared" si="3"/>
        <v>243927.08369999999</v>
      </c>
      <c r="N8" s="8"/>
      <c r="O8" s="72"/>
    </row>
    <row r="9" spans="1:15">
      <c r="A9" s="28">
        <v>6</v>
      </c>
      <c r="B9" s="29">
        <v>45783</v>
      </c>
      <c r="C9" s="27"/>
      <c r="D9" s="20"/>
      <c r="E9" s="56">
        <v>0</v>
      </c>
      <c r="F9" s="56">
        <v>0</v>
      </c>
      <c r="G9" s="8">
        <f t="shared" si="0"/>
        <v>0</v>
      </c>
      <c r="H9" s="56">
        <v>10</v>
      </c>
      <c r="I9" s="56">
        <v>103.73</v>
      </c>
      <c r="J9" s="8">
        <f t="shared" si="1"/>
        <v>1037.3</v>
      </c>
      <c r="K9" s="8">
        <f t="shared" si="2"/>
        <v>1037.3</v>
      </c>
      <c r="L9" s="348"/>
      <c r="M9" s="8">
        <f t="shared" si="3"/>
        <v>244964.38369999998</v>
      </c>
      <c r="N9" s="8"/>
      <c r="O9" s="72"/>
    </row>
    <row r="10" spans="1:15">
      <c r="A10" s="28">
        <v>7</v>
      </c>
      <c r="B10" s="29">
        <v>45784</v>
      </c>
      <c r="C10" s="27"/>
      <c r="D10" s="20"/>
      <c r="E10" s="56">
        <v>0</v>
      </c>
      <c r="F10" s="56">
        <v>0</v>
      </c>
      <c r="G10" s="8">
        <f t="shared" si="0"/>
        <v>0</v>
      </c>
      <c r="H10" s="56"/>
      <c r="I10" s="56"/>
      <c r="J10" s="8">
        <f t="shared" si="1"/>
        <v>0</v>
      </c>
      <c r="K10" s="8">
        <f t="shared" si="2"/>
        <v>0</v>
      </c>
      <c r="L10" s="348"/>
      <c r="M10" s="8">
        <f t="shared" si="3"/>
        <v>244964.38369999998</v>
      </c>
      <c r="N10" s="8"/>
      <c r="O10" s="72">
        <v>33436.271499999944</v>
      </c>
    </row>
    <row r="11" spans="1:15">
      <c r="A11" s="28">
        <v>8</v>
      </c>
      <c r="B11" s="29">
        <v>45785</v>
      </c>
      <c r="C11" s="27"/>
      <c r="D11" s="20"/>
      <c r="E11" s="56">
        <v>0</v>
      </c>
      <c r="F11" s="56">
        <v>0</v>
      </c>
      <c r="G11" s="8">
        <f t="shared" si="0"/>
        <v>0</v>
      </c>
      <c r="H11" s="56"/>
      <c r="I11" s="56"/>
      <c r="J11" s="8">
        <f t="shared" si="1"/>
        <v>0</v>
      </c>
      <c r="K11" s="8">
        <f t="shared" si="2"/>
        <v>0</v>
      </c>
      <c r="L11" s="348"/>
      <c r="M11" s="8">
        <f t="shared" si="3"/>
        <v>244964.38369999998</v>
      </c>
      <c r="N11" s="8"/>
      <c r="O11" s="72"/>
    </row>
    <row r="12" spans="1:15">
      <c r="A12" s="28">
        <v>9</v>
      </c>
      <c r="B12" s="29">
        <v>45786</v>
      </c>
      <c r="C12" s="27"/>
      <c r="D12" s="20"/>
      <c r="E12" s="56">
        <v>0</v>
      </c>
      <c r="F12" s="56">
        <v>0</v>
      </c>
      <c r="G12" s="8">
        <f t="shared" si="0"/>
        <v>0</v>
      </c>
      <c r="H12" s="56"/>
      <c r="I12" s="56"/>
      <c r="J12" s="8">
        <f t="shared" si="1"/>
        <v>0</v>
      </c>
      <c r="K12" s="8">
        <f t="shared" si="2"/>
        <v>0</v>
      </c>
      <c r="L12" s="348"/>
      <c r="M12" s="8">
        <f t="shared" si="3"/>
        <v>244964.38369999998</v>
      </c>
      <c r="N12" s="8"/>
      <c r="O12" s="72"/>
    </row>
    <row r="13" spans="1:15">
      <c r="A13" s="28">
        <v>10</v>
      </c>
      <c r="B13" s="29">
        <v>45787</v>
      </c>
      <c r="C13" s="27"/>
      <c r="D13" s="20"/>
      <c r="E13" s="56">
        <v>0</v>
      </c>
      <c r="F13" s="56">
        <v>0</v>
      </c>
      <c r="G13" s="8">
        <f t="shared" si="0"/>
        <v>0</v>
      </c>
      <c r="H13" s="56"/>
      <c r="I13" s="56"/>
      <c r="J13" s="8">
        <f t="shared" si="1"/>
        <v>0</v>
      </c>
      <c r="K13" s="8">
        <f t="shared" si="2"/>
        <v>0</v>
      </c>
      <c r="L13" s="348"/>
      <c r="M13" s="8">
        <f t="shared" si="3"/>
        <v>244964.38369999998</v>
      </c>
      <c r="N13" s="21"/>
      <c r="O13" s="72"/>
    </row>
    <row r="14" spans="1:15">
      <c r="A14" s="28">
        <v>11</v>
      </c>
      <c r="B14" s="29">
        <v>45788</v>
      </c>
      <c r="C14" s="27"/>
      <c r="D14" s="20"/>
      <c r="E14" s="56">
        <v>0</v>
      </c>
      <c r="F14" s="56">
        <v>91.77</v>
      </c>
      <c r="G14" s="8">
        <f t="shared" si="0"/>
        <v>0</v>
      </c>
      <c r="H14" s="56"/>
      <c r="I14" s="56"/>
      <c r="J14" s="8">
        <f t="shared" si="1"/>
        <v>0</v>
      </c>
      <c r="K14" s="8">
        <f t="shared" si="2"/>
        <v>0</v>
      </c>
      <c r="L14" s="348">
        <v>0</v>
      </c>
      <c r="M14" s="8">
        <f t="shared" si="3"/>
        <v>244964.38369999998</v>
      </c>
      <c r="N14" s="21" t="s">
        <v>120</v>
      </c>
      <c r="O14" s="72"/>
    </row>
    <row r="15" spans="1:15">
      <c r="A15" s="28">
        <v>12</v>
      </c>
      <c r="B15" s="29">
        <v>45789</v>
      </c>
      <c r="C15" s="27"/>
      <c r="D15" s="20"/>
      <c r="E15" s="56">
        <v>0</v>
      </c>
      <c r="F15" s="56">
        <v>91.77</v>
      </c>
      <c r="G15" s="8">
        <f t="shared" si="0"/>
        <v>0</v>
      </c>
      <c r="H15" s="56"/>
      <c r="I15" s="56"/>
      <c r="J15" s="8">
        <f t="shared" si="1"/>
        <v>0</v>
      </c>
      <c r="K15" s="8">
        <f t="shared" si="2"/>
        <v>0</v>
      </c>
      <c r="L15" s="348">
        <v>0</v>
      </c>
      <c r="M15" s="8">
        <f t="shared" si="3"/>
        <v>244964.38369999998</v>
      </c>
      <c r="N15" s="21" t="s">
        <v>120</v>
      </c>
      <c r="O15" s="72"/>
    </row>
    <row r="16" spans="1:15">
      <c r="A16" s="28">
        <v>13</v>
      </c>
      <c r="B16" s="29">
        <v>45790</v>
      </c>
      <c r="C16" s="27"/>
      <c r="D16" s="20"/>
      <c r="E16" s="56">
        <v>0</v>
      </c>
      <c r="F16" s="56">
        <v>0</v>
      </c>
      <c r="G16" s="8">
        <f t="shared" si="0"/>
        <v>0</v>
      </c>
      <c r="H16" s="56"/>
      <c r="I16" s="56"/>
      <c r="J16" s="8">
        <f t="shared" si="1"/>
        <v>0</v>
      </c>
      <c r="K16" s="8">
        <f t="shared" si="2"/>
        <v>0</v>
      </c>
      <c r="L16" s="348"/>
      <c r="M16" s="8">
        <f>M15+K16-L16</f>
        <v>244964.38369999998</v>
      </c>
      <c r="N16" s="21"/>
      <c r="O16" s="72"/>
    </row>
    <row r="17" spans="1:15">
      <c r="A17" s="28">
        <v>14</v>
      </c>
      <c r="B17" s="29">
        <v>45791</v>
      </c>
      <c r="C17" s="27"/>
      <c r="D17" s="20"/>
      <c r="E17" s="56">
        <v>0</v>
      </c>
      <c r="F17" s="56">
        <v>0</v>
      </c>
      <c r="G17" s="8">
        <f t="shared" si="0"/>
        <v>0</v>
      </c>
      <c r="H17" s="56"/>
      <c r="I17" s="56"/>
      <c r="J17" s="8">
        <f t="shared" si="1"/>
        <v>0</v>
      </c>
      <c r="K17" s="8">
        <f t="shared" si="2"/>
        <v>0</v>
      </c>
      <c r="L17" s="348"/>
      <c r="M17" s="8">
        <f>M16+K17-L17</f>
        <v>244964.38369999998</v>
      </c>
      <c r="N17" s="21"/>
      <c r="O17" s="72"/>
    </row>
    <row r="18" spans="1:15">
      <c r="A18" s="28">
        <v>15</v>
      </c>
      <c r="B18" s="29">
        <v>45792</v>
      </c>
      <c r="C18" s="27"/>
      <c r="D18" s="20"/>
      <c r="E18" s="56">
        <v>0</v>
      </c>
      <c r="F18" s="56">
        <v>0</v>
      </c>
      <c r="G18" s="8">
        <f t="shared" si="0"/>
        <v>0</v>
      </c>
      <c r="H18" s="56"/>
      <c r="I18" s="56"/>
      <c r="J18" s="8">
        <f t="shared" si="1"/>
        <v>0</v>
      </c>
      <c r="K18" s="8">
        <f t="shared" si="2"/>
        <v>0</v>
      </c>
      <c r="L18" s="348"/>
      <c r="M18" s="8">
        <f>M17+K18-L18</f>
        <v>244964.38369999998</v>
      </c>
      <c r="N18" s="21"/>
      <c r="O18" s="72"/>
    </row>
    <row r="19" spans="1:15">
      <c r="A19" s="28">
        <v>16</v>
      </c>
      <c r="B19" s="29">
        <v>45793</v>
      </c>
      <c r="C19" s="27"/>
      <c r="D19" s="20"/>
      <c r="E19" s="56">
        <v>0</v>
      </c>
      <c r="F19" s="56">
        <v>0</v>
      </c>
      <c r="G19" s="8">
        <f t="shared" si="0"/>
        <v>0</v>
      </c>
      <c r="H19" s="56"/>
      <c r="I19" s="56"/>
      <c r="J19" s="8">
        <f t="shared" si="1"/>
        <v>0</v>
      </c>
      <c r="K19" s="8">
        <f t="shared" si="2"/>
        <v>0</v>
      </c>
      <c r="L19" s="348">
        <v>244962</v>
      </c>
      <c r="M19" s="8">
        <f>M18+K19-L19</f>
        <v>2.3836999999766704</v>
      </c>
      <c r="N19" s="21"/>
      <c r="O19" s="72"/>
    </row>
    <row r="20" spans="1:15">
      <c r="A20" s="28">
        <v>17</v>
      </c>
      <c r="B20" s="29">
        <v>45794</v>
      </c>
      <c r="C20" s="27"/>
      <c r="D20" s="20"/>
      <c r="E20" s="56">
        <v>60</v>
      </c>
      <c r="F20" s="56">
        <v>91.77</v>
      </c>
      <c r="G20" s="8">
        <f t="shared" si="0"/>
        <v>5506.2</v>
      </c>
      <c r="H20" s="56"/>
      <c r="I20" s="56"/>
      <c r="J20" s="8">
        <f t="shared" si="1"/>
        <v>0</v>
      </c>
      <c r="K20" s="8">
        <f t="shared" si="2"/>
        <v>5506.2</v>
      </c>
      <c r="L20" s="348"/>
      <c r="M20" s="8">
        <f>M19+K20-L20</f>
        <v>5508.5836999999765</v>
      </c>
      <c r="N20" s="21"/>
      <c r="O20" s="72"/>
    </row>
    <row r="21" spans="1:15">
      <c r="A21" s="28">
        <v>18</v>
      </c>
      <c r="B21" s="29">
        <v>45795</v>
      </c>
      <c r="C21" s="27"/>
      <c r="D21" s="20"/>
      <c r="E21" s="56">
        <v>5</v>
      </c>
      <c r="F21" s="56">
        <v>91.77</v>
      </c>
      <c r="G21" s="8">
        <f t="shared" si="0"/>
        <v>458.84999999999997</v>
      </c>
      <c r="H21" s="56">
        <v>5</v>
      </c>
      <c r="I21" s="56">
        <v>103.73</v>
      </c>
      <c r="J21" s="8">
        <f t="shared" si="1"/>
        <v>518.65</v>
      </c>
      <c r="K21" s="8">
        <f t="shared" si="2"/>
        <v>977.5</v>
      </c>
      <c r="L21" s="348"/>
      <c r="M21" s="8">
        <f>M20+K21-L21</f>
        <v>6486.0836999999765</v>
      </c>
      <c r="N21" s="21"/>
      <c r="O21" s="72"/>
    </row>
    <row r="22" spans="1:15">
      <c r="A22" s="28">
        <v>19</v>
      </c>
      <c r="B22" s="29">
        <v>45796</v>
      </c>
      <c r="C22" s="27"/>
      <c r="D22" s="20"/>
      <c r="E22" s="56">
        <v>0</v>
      </c>
      <c r="F22" s="56">
        <v>0</v>
      </c>
      <c r="G22" s="8">
        <f t="shared" si="0"/>
        <v>0</v>
      </c>
      <c r="H22" s="56"/>
      <c r="I22" s="56"/>
      <c r="J22" s="8">
        <f t="shared" si="1"/>
        <v>0</v>
      </c>
      <c r="K22" s="8">
        <f t="shared" si="2"/>
        <v>0</v>
      </c>
      <c r="L22" s="348"/>
      <c r="M22" s="8">
        <f>M21+K22-L22</f>
        <v>6486.0836999999765</v>
      </c>
      <c r="N22" s="21"/>
      <c r="O22" s="72"/>
    </row>
    <row r="23" spans="1:15">
      <c r="A23" s="28">
        <v>20</v>
      </c>
      <c r="B23" s="29">
        <v>45797</v>
      </c>
      <c r="C23" s="27"/>
      <c r="D23" s="20"/>
      <c r="E23" s="56">
        <v>0</v>
      </c>
      <c r="F23" s="56">
        <v>0</v>
      </c>
      <c r="G23" s="8">
        <f t="shared" si="0"/>
        <v>0</v>
      </c>
      <c r="H23" s="56"/>
      <c r="I23" s="56"/>
      <c r="J23" s="8">
        <f t="shared" si="1"/>
        <v>0</v>
      </c>
      <c r="K23" s="8">
        <f t="shared" si="2"/>
        <v>0</v>
      </c>
      <c r="L23" s="348"/>
      <c r="M23" s="8">
        <f>M22+K23-L23</f>
        <v>6486.0836999999765</v>
      </c>
      <c r="N23" s="21"/>
      <c r="O23" s="72"/>
    </row>
    <row r="24" spans="1:15">
      <c r="A24" s="28">
        <v>21</v>
      </c>
      <c r="B24" s="29">
        <v>45798</v>
      </c>
      <c r="C24" s="27"/>
      <c r="D24" s="20"/>
      <c r="E24" s="56">
        <v>60</v>
      </c>
      <c r="F24" s="56">
        <v>91.77</v>
      </c>
      <c r="G24" s="8">
        <f t="shared" si="0"/>
        <v>5506.2</v>
      </c>
      <c r="H24" s="56">
        <v>5</v>
      </c>
      <c r="I24" s="56">
        <v>103.73</v>
      </c>
      <c r="J24" s="8">
        <f t="shared" si="1"/>
        <v>518.65</v>
      </c>
      <c r="K24" s="8">
        <f t="shared" si="2"/>
        <v>6024.8499999999995</v>
      </c>
      <c r="L24" s="348"/>
      <c r="M24" s="8">
        <f>M23+K24-L24</f>
        <v>12510.933699999976</v>
      </c>
      <c r="N24" s="21"/>
      <c r="O24" s="72"/>
    </row>
    <row r="25" spans="1:15">
      <c r="A25" s="28">
        <v>22</v>
      </c>
      <c r="B25" s="29">
        <v>45799</v>
      </c>
      <c r="C25" s="27"/>
      <c r="D25" s="20"/>
      <c r="E25" s="56">
        <v>0</v>
      </c>
      <c r="F25" s="56">
        <v>0</v>
      </c>
      <c r="G25" s="8">
        <f t="shared" si="0"/>
        <v>0</v>
      </c>
      <c r="H25" s="56">
        <v>5</v>
      </c>
      <c r="I25" s="56">
        <v>103.73</v>
      </c>
      <c r="J25" s="8">
        <f t="shared" si="1"/>
        <v>518.65</v>
      </c>
      <c r="K25" s="8">
        <f t="shared" si="2"/>
        <v>518.65</v>
      </c>
      <c r="L25" s="348"/>
      <c r="M25" s="8">
        <f t="shared" ref="M25:M34" si="4">M24+K25-L25</f>
        <v>13029.583699999976</v>
      </c>
      <c r="N25" s="21"/>
      <c r="O25" s="72"/>
    </row>
    <row r="26" spans="1:15">
      <c r="A26" s="28">
        <v>23</v>
      </c>
      <c r="B26" s="29">
        <v>45800</v>
      </c>
      <c r="C26" s="27"/>
      <c r="D26" s="20"/>
      <c r="E26" s="56">
        <v>0</v>
      </c>
      <c r="F26" s="56">
        <v>0</v>
      </c>
      <c r="G26" s="8">
        <f t="shared" si="0"/>
        <v>0</v>
      </c>
      <c r="H26" s="56"/>
      <c r="I26" s="56"/>
      <c r="J26" s="8">
        <f t="shared" si="1"/>
        <v>0</v>
      </c>
      <c r="K26" s="8">
        <f t="shared" si="2"/>
        <v>0</v>
      </c>
      <c r="L26" s="348"/>
      <c r="M26" s="8">
        <f t="shared" si="4"/>
        <v>13029.583699999976</v>
      </c>
      <c r="N26" s="21"/>
      <c r="O26" s="72"/>
    </row>
    <row r="27" spans="1:15">
      <c r="A27" s="28">
        <v>24</v>
      </c>
      <c r="B27" s="29">
        <v>45801</v>
      </c>
      <c r="C27" s="27"/>
      <c r="D27" s="20"/>
      <c r="E27" s="56">
        <v>60</v>
      </c>
      <c r="F27" s="56">
        <v>91.77</v>
      </c>
      <c r="G27" s="8">
        <f t="shared" si="0"/>
        <v>5506.2</v>
      </c>
      <c r="H27" s="56"/>
      <c r="I27" s="56"/>
      <c r="J27" s="8">
        <f t="shared" si="1"/>
        <v>0</v>
      </c>
      <c r="K27" s="8">
        <f t="shared" si="2"/>
        <v>5506.2</v>
      </c>
      <c r="L27" s="348"/>
      <c r="M27" s="8">
        <f t="shared" si="4"/>
        <v>18535.783699999974</v>
      </c>
      <c r="N27" s="21"/>
      <c r="O27" s="72"/>
    </row>
    <row r="28" spans="1:15">
      <c r="A28" s="28">
        <v>25</v>
      </c>
      <c r="B28" s="29">
        <v>45802</v>
      </c>
      <c r="C28" s="27"/>
      <c r="D28" s="20"/>
      <c r="E28" s="56">
        <v>30</v>
      </c>
      <c r="F28" s="56">
        <v>91.77</v>
      </c>
      <c r="G28" s="8">
        <f t="shared" si="0"/>
        <v>2753.1</v>
      </c>
      <c r="H28" s="56"/>
      <c r="I28" s="56"/>
      <c r="J28" s="8">
        <f t="shared" si="1"/>
        <v>0</v>
      </c>
      <c r="K28" s="8">
        <f t="shared" si="2"/>
        <v>2753.1</v>
      </c>
      <c r="L28" s="348"/>
      <c r="M28" s="8">
        <f t="shared" si="4"/>
        <v>21288.883699999973</v>
      </c>
      <c r="N28" s="21"/>
      <c r="O28" s="72"/>
    </row>
    <row r="29" spans="1:15">
      <c r="A29" s="28">
        <v>26</v>
      </c>
      <c r="B29" s="29">
        <v>45803</v>
      </c>
      <c r="C29" s="27"/>
      <c r="D29" s="20"/>
      <c r="E29" s="56">
        <v>0</v>
      </c>
      <c r="F29" s="56">
        <v>0</v>
      </c>
      <c r="G29" s="8">
        <f t="shared" si="0"/>
        <v>0</v>
      </c>
      <c r="H29" s="56">
        <v>5</v>
      </c>
      <c r="I29" s="56">
        <v>103.73</v>
      </c>
      <c r="J29" s="8">
        <f t="shared" si="1"/>
        <v>518.65</v>
      </c>
      <c r="K29" s="8">
        <f t="shared" si="2"/>
        <v>518.65</v>
      </c>
      <c r="L29" s="348"/>
      <c r="M29" s="8">
        <f t="shared" si="4"/>
        <v>21807.533699999974</v>
      </c>
      <c r="N29" s="21"/>
      <c r="O29" s="72"/>
    </row>
    <row r="30" spans="1:15">
      <c r="A30" s="28">
        <v>27</v>
      </c>
      <c r="B30" s="29">
        <v>45804</v>
      </c>
      <c r="C30" s="27"/>
      <c r="D30" s="20"/>
      <c r="E30" s="56">
        <v>0</v>
      </c>
      <c r="F30" s="56">
        <v>0</v>
      </c>
      <c r="G30" s="8">
        <f t="shared" si="0"/>
        <v>0</v>
      </c>
      <c r="H30" s="56">
        <v>5</v>
      </c>
      <c r="I30" s="56">
        <v>103.73</v>
      </c>
      <c r="J30" s="8">
        <f t="shared" si="1"/>
        <v>518.65</v>
      </c>
      <c r="K30" s="8">
        <f t="shared" si="2"/>
        <v>518.65</v>
      </c>
      <c r="L30" s="348"/>
      <c r="M30" s="8">
        <f t="shared" si="4"/>
        <v>22326.183699999976</v>
      </c>
      <c r="N30" s="21"/>
      <c r="O30" s="72"/>
    </row>
    <row r="31" spans="1:15">
      <c r="A31" s="266">
        <v>28</v>
      </c>
      <c r="B31" s="29">
        <v>45805</v>
      </c>
      <c r="C31" s="27"/>
      <c r="D31" s="20"/>
      <c r="E31" s="56">
        <v>5.45</v>
      </c>
      <c r="F31" s="56">
        <v>91.77</v>
      </c>
      <c r="G31" s="8">
        <f t="shared" si="0"/>
        <v>500.1465</v>
      </c>
      <c r="H31" s="56">
        <v>0</v>
      </c>
      <c r="I31" s="56">
        <v>103.73</v>
      </c>
      <c r="J31" s="8">
        <f t="shared" si="1"/>
        <v>0</v>
      </c>
      <c r="K31" s="8">
        <f t="shared" si="2"/>
        <v>500.1465</v>
      </c>
      <c r="L31" s="348"/>
      <c r="M31" s="8">
        <f t="shared" si="4"/>
        <v>22826.330199999975</v>
      </c>
      <c r="N31" s="21"/>
      <c r="O31" s="72"/>
    </row>
    <row r="32" spans="1:15">
      <c r="A32" s="28">
        <v>29</v>
      </c>
      <c r="B32" s="29">
        <v>45806</v>
      </c>
      <c r="C32" s="27"/>
      <c r="D32" s="20"/>
      <c r="E32" s="56">
        <v>0</v>
      </c>
      <c r="F32" s="56">
        <v>0</v>
      </c>
      <c r="G32" s="8">
        <f t="shared" si="0"/>
        <v>0</v>
      </c>
      <c r="H32" s="56"/>
      <c r="I32" s="56"/>
      <c r="J32" s="8">
        <f t="shared" si="1"/>
        <v>0</v>
      </c>
      <c r="K32" s="8">
        <f t="shared" si="2"/>
        <v>0</v>
      </c>
      <c r="L32" s="348"/>
      <c r="M32" s="8">
        <f t="shared" si="4"/>
        <v>22826.330199999975</v>
      </c>
      <c r="N32" s="21"/>
      <c r="O32" s="72"/>
    </row>
    <row r="33" spans="1:15">
      <c r="A33" s="28">
        <v>30</v>
      </c>
      <c r="B33" s="29">
        <v>45807</v>
      </c>
      <c r="C33" s="27"/>
      <c r="D33" s="20"/>
      <c r="E33" s="56">
        <v>0</v>
      </c>
      <c r="F33" s="56">
        <v>0</v>
      </c>
      <c r="G33" s="8">
        <f t="shared" ref="G33" si="5">E33*F33</f>
        <v>0</v>
      </c>
      <c r="H33" s="56"/>
      <c r="I33" s="56"/>
      <c r="J33" s="8">
        <f t="shared" ref="J5:J34" si="6">H33*I33</f>
        <v>0</v>
      </c>
      <c r="K33" s="8">
        <f t="shared" si="2"/>
        <v>0</v>
      </c>
      <c r="L33" s="348"/>
      <c r="M33" s="8">
        <f t="shared" si="4"/>
        <v>22826.330199999975</v>
      </c>
      <c r="N33" s="21"/>
      <c r="O33" s="72"/>
    </row>
    <row r="34" spans="1:15">
      <c r="A34" s="28">
        <v>31</v>
      </c>
      <c r="B34" s="29">
        <v>45808</v>
      </c>
      <c r="C34" s="27"/>
      <c r="D34" s="20"/>
      <c r="E34" s="380">
        <v>135</v>
      </c>
      <c r="F34" s="380">
        <v>91.77</v>
      </c>
      <c r="G34" s="381">
        <f>E34*F34</f>
        <v>12388.949999999999</v>
      </c>
      <c r="H34" s="56"/>
      <c r="I34" s="56"/>
      <c r="J34" s="8">
        <f t="shared" si="6"/>
        <v>0</v>
      </c>
      <c r="K34" s="8">
        <f t="shared" si="2"/>
        <v>12388.949999999999</v>
      </c>
      <c r="L34" s="348">
        <v>12388.95</v>
      </c>
      <c r="M34" s="8">
        <f t="shared" si="4"/>
        <v>22826.330199999971</v>
      </c>
      <c r="N34" s="21"/>
      <c r="O34" s="72"/>
    </row>
    <row r="35" spans="1:15">
      <c r="A35" s="184"/>
      <c r="B35" s="184"/>
      <c r="C35" s="184"/>
      <c r="D35" s="184"/>
      <c r="E35" s="185">
        <f>SUM(E4:E34)</f>
        <v>445.45</v>
      </c>
      <c r="F35" s="185"/>
      <c r="G35" s="185">
        <f>SUM(G4:G34)</f>
        <v>40880.476499999997</v>
      </c>
      <c r="H35" s="185">
        <f>SUM(H4:H34)</f>
        <v>46</v>
      </c>
      <c r="I35" s="185"/>
      <c r="J35" s="185">
        <f>SUM(J4:J34)</f>
        <v>4771.58</v>
      </c>
      <c r="K35" s="185">
        <f>SUM(K4:K34)</f>
        <v>45652.056499999999</v>
      </c>
      <c r="L35" s="185">
        <f>SUM(L4:L34)</f>
        <v>257350.95</v>
      </c>
      <c r="M35" s="185"/>
      <c r="N35" s="185"/>
      <c r="O35" s="72"/>
    </row>
    <row r="36" spans="1:15">
      <c r="A36" s="87"/>
      <c r="B36" s="87"/>
      <c r="C36" s="87"/>
      <c r="D36" s="87"/>
      <c r="E36" s="89"/>
      <c r="F36" s="89"/>
      <c r="G36" s="89"/>
      <c r="H36" s="89"/>
      <c r="I36" s="89"/>
      <c r="J36" s="89"/>
      <c r="K36" s="89"/>
      <c r="L36" s="349"/>
      <c r="M36" s="89"/>
      <c r="N36" s="89"/>
      <c r="O36" s="72"/>
    </row>
    <row r="37" spans="1:15">
      <c r="E37" s="379"/>
      <c r="G37" s="379"/>
      <c r="H37" s="379"/>
      <c r="I37" s="379"/>
      <c r="J37" s="379"/>
      <c r="K37" s="379"/>
      <c r="L37" s="379"/>
      <c r="O37" s="72"/>
    </row>
    <row r="38" spans="1:15"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72"/>
      <c r="C42" s="72"/>
      <c r="D42" s="72"/>
      <c r="E42" s="72"/>
      <c r="F42" s="72"/>
      <c r="G42" s="95"/>
      <c r="H42" s="72"/>
      <c r="I42" s="72"/>
      <c r="J42" s="72"/>
      <c r="K42" s="72"/>
      <c r="L42" s="87"/>
      <c r="M42" s="72"/>
      <c r="N42" s="72"/>
      <c r="O42" s="89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89"/>
    </row>
    <row r="44" spans="1:1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87"/>
      <c r="M44" s="72"/>
      <c r="N44" s="72"/>
      <c r="O44" s="89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1" activePane="bottomLeft" state="frozen"/>
      <selection pane="bottomLeft" activeCell="N39" sqref="N39"/>
    </sheetView>
  </sheetViews>
  <sheetFormatPr defaultRowHeight="15"/>
  <cols>
    <col min="1" max="1" width="5.140625" style="82" bestFit="1" customWidth="1"/>
    <col min="2" max="2" width="10.85546875" style="82" bestFit="1" customWidth="1"/>
    <col min="3" max="3" width="8" style="82" bestFit="1" customWidth="1"/>
    <col min="4" max="4" width="16" style="82" bestFit="1" customWidth="1"/>
    <col min="5" max="5" width="10.7109375" style="82" bestFit="1" customWidth="1"/>
    <col min="6" max="6" width="14.5703125" style="82" bestFit="1" customWidth="1"/>
    <col min="7" max="7" width="11.85546875" style="82" bestFit="1" customWidth="1"/>
    <col min="8" max="8" width="10.7109375" style="82" bestFit="1" customWidth="1"/>
    <col min="9" max="9" width="7.140625" style="82" bestFit="1" customWidth="1"/>
    <col min="10" max="10" width="10.85546875" style="82" bestFit="1" customWidth="1"/>
    <col min="11" max="11" width="14.5703125" style="82" bestFit="1" customWidth="1"/>
    <col min="12" max="12" width="13.5703125" style="82" bestFit="1" customWidth="1"/>
    <col min="13" max="13" width="13.5703125" style="82" customWidth="1"/>
    <col min="14" max="14" width="14.140625" style="82" bestFit="1" customWidth="1"/>
    <col min="15" max="15" width="11.28515625" style="82" customWidth="1"/>
    <col min="16" max="16" width="9.140625" style="82" customWidth="1"/>
    <col min="17" max="16384" width="9.140625" style="82"/>
  </cols>
  <sheetData>
    <row r="1" spans="1:17" ht="15.75">
      <c r="A1" s="442" t="s">
        <v>54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96"/>
    </row>
    <row r="2" spans="1:17">
      <c r="A2" s="77" t="s">
        <v>99</v>
      </c>
      <c r="B2" s="97" t="s">
        <v>100</v>
      </c>
      <c r="C2" s="97" t="s">
        <v>101</v>
      </c>
      <c r="D2" s="97" t="s">
        <v>102</v>
      </c>
      <c r="E2" s="97" t="s">
        <v>103</v>
      </c>
      <c r="F2" s="97" t="s">
        <v>104</v>
      </c>
      <c r="G2" s="97" t="s">
        <v>105</v>
      </c>
      <c r="H2" s="97" t="s">
        <v>106</v>
      </c>
      <c r="I2" s="97" t="s">
        <v>104</v>
      </c>
      <c r="J2" s="98" t="s">
        <v>105</v>
      </c>
      <c r="K2" s="77" t="s">
        <v>107</v>
      </c>
      <c r="L2" s="99" t="s">
        <v>108</v>
      </c>
      <c r="M2" s="99" t="s">
        <v>115</v>
      </c>
      <c r="N2" s="97" t="s">
        <v>110</v>
      </c>
      <c r="O2" s="72"/>
    </row>
    <row r="3" spans="1:17">
      <c r="A3" s="436" t="s">
        <v>111</v>
      </c>
      <c r="B3" s="437"/>
      <c r="C3" s="437"/>
      <c r="D3" s="437"/>
      <c r="E3" s="437"/>
      <c r="F3" s="437"/>
      <c r="G3" s="437"/>
      <c r="H3" s="437"/>
      <c r="I3" s="437"/>
      <c r="J3" s="451"/>
      <c r="K3" s="187">
        <v>273179.6173000001</v>
      </c>
      <c r="L3" s="80"/>
      <c r="M3" s="183">
        <f>+K3</f>
        <v>273179.6173000001</v>
      </c>
      <c r="N3" s="80"/>
      <c r="O3" s="72"/>
    </row>
    <row r="4" spans="1:17">
      <c r="A4" s="28">
        <v>1</v>
      </c>
      <c r="B4" s="29">
        <v>45778</v>
      </c>
      <c r="C4" s="80"/>
      <c r="D4" s="183"/>
      <c r="E4" s="188">
        <v>45</v>
      </c>
      <c r="F4" s="188">
        <v>91.93</v>
      </c>
      <c r="G4" s="8">
        <f>E4*F4</f>
        <v>4136.8500000000004</v>
      </c>
      <c r="H4" s="188">
        <v>0</v>
      </c>
      <c r="I4" s="188">
        <v>0</v>
      </c>
      <c r="J4" s="8">
        <f>H4*I4</f>
        <v>0</v>
      </c>
      <c r="K4" s="8">
        <f>G4+J4</f>
        <v>4136.8500000000004</v>
      </c>
      <c r="L4" s="189">
        <v>0</v>
      </c>
      <c r="M4" s="189">
        <f>M3+K4-L4</f>
        <v>277316.46730000008</v>
      </c>
      <c r="N4" s="47" t="s">
        <v>157</v>
      </c>
    </row>
    <row r="5" spans="1:17">
      <c r="A5" s="28">
        <v>2</v>
      </c>
      <c r="B5" s="29">
        <v>45779</v>
      </c>
      <c r="C5" s="80"/>
      <c r="D5" s="183"/>
      <c r="E5" s="188">
        <v>90</v>
      </c>
      <c r="F5" s="188">
        <v>91.93</v>
      </c>
      <c r="G5" s="8">
        <f t="shared" ref="G5:G33" si="0">E5*F5</f>
        <v>8273.7000000000007</v>
      </c>
      <c r="H5" s="188">
        <v>12</v>
      </c>
      <c r="I5" s="188">
        <v>103.89</v>
      </c>
      <c r="J5" s="8">
        <f t="shared" ref="J5:J33" si="1">H5*I5</f>
        <v>1246.68</v>
      </c>
      <c r="K5" s="8">
        <f t="shared" ref="K5:K34" si="2">G5+J5</f>
        <v>9520.380000000001</v>
      </c>
      <c r="L5" s="189">
        <v>0</v>
      </c>
      <c r="M5" s="189">
        <f>M4+K5-L5</f>
        <v>286836.84730000008</v>
      </c>
      <c r="N5" s="47"/>
    </row>
    <row r="6" spans="1:17">
      <c r="A6" s="28">
        <v>3</v>
      </c>
      <c r="B6" s="29">
        <v>45780</v>
      </c>
      <c r="C6" s="80"/>
      <c r="D6" s="183"/>
      <c r="E6" s="188">
        <v>0</v>
      </c>
      <c r="F6" s="188">
        <v>0</v>
      </c>
      <c r="G6" s="8">
        <f t="shared" si="0"/>
        <v>0</v>
      </c>
      <c r="H6" s="188">
        <v>6</v>
      </c>
      <c r="I6" s="188">
        <v>103.89</v>
      </c>
      <c r="J6" s="8">
        <f t="shared" si="1"/>
        <v>623.34</v>
      </c>
      <c r="K6" s="8">
        <f t="shared" si="2"/>
        <v>623.34</v>
      </c>
      <c r="L6" s="189">
        <v>0</v>
      </c>
      <c r="M6" s="189">
        <f>M5+K6-L6</f>
        <v>287460.18730000011</v>
      </c>
      <c r="N6" s="47"/>
    </row>
    <row r="7" spans="1:17">
      <c r="A7" s="28">
        <v>4</v>
      </c>
      <c r="B7" s="29">
        <v>45781</v>
      </c>
      <c r="C7" s="80"/>
      <c r="D7" s="183"/>
      <c r="E7" s="188">
        <v>305</v>
      </c>
      <c r="F7" s="188">
        <v>91.93</v>
      </c>
      <c r="G7" s="8">
        <f t="shared" si="0"/>
        <v>28038.65</v>
      </c>
      <c r="H7" s="188">
        <v>15</v>
      </c>
      <c r="I7" s="188">
        <v>103.89</v>
      </c>
      <c r="J7" s="8">
        <f t="shared" si="1"/>
        <v>1558.35</v>
      </c>
      <c r="K7" s="8">
        <f t="shared" si="2"/>
        <v>29597</v>
      </c>
      <c r="L7" s="189">
        <v>0</v>
      </c>
      <c r="M7" s="189">
        <f>M6+K7-L7</f>
        <v>317057.18730000011</v>
      </c>
      <c r="N7" s="47"/>
    </row>
    <row r="8" spans="1:17">
      <c r="A8" s="28">
        <v>5</v>
      </c>
      <c r="B8" s="29">
        <v>45782</v>
      </c>
      <c r="C8" s="80"/>
      <c r="D8" s="183"/>
      <c r="E8" s="188">
        <v>100</v>
      </c>
      <c r="F8" s="188">
        <v>91.93</v>
      </c>
      <c r="G8" s="8">
        <f t="shared" si="0"/>
        <v>9193</v>
      </c>
      <c r="H8" s="188">
        <v>0</v>
      </c>
      <c r="I8" s="188">
        <v>0</v>
      </c>
      <c r="J8" s="8">
        <f t="shared" si="1"/>
        <v>0</v>
      </c>
      <c r="K8" s="8">
        <f t="shared" si="2"/>
        <v>9193</v>
      </c>
      <c r="L8" s="189">
        <v>0</v>
      </c>
      <c r="M8" s="189">
        <f>M7+K8-L8</f>
        <v>326250.18730000011</v>
      </c>
      <c r="N8" s="47"/>
    </row>
    <row r="9" spans="1:17">
      <c r="A9" s="28">
        <v>6</v>
      </c>
      <c r="B9" s="29">
        <v>45783</v>
      </c>
      <c r="C9" s="80"/>
      <c r="D9" s="183"/>
      <c r="E9" s="188">
        <v>255</v>
      </c>
      <c r="F9" s="188">
        <v>91.93</v>
      </c>
      <c r="G9" s="8">
        <f t="shared" si="0"/>
        <v>23442.15</v>
      </c>
      <c r="H9" s="188">
        <v>0</v>
      </c>
      <c r="I9" s="188">
        <v>0</v>
      </c>
      <c r="J9" s="8">
        <f t="shared" si="1"/>
        <v>0</v>
      </c>
      <c r="K9" s="8">
        <f t="shared" si="2"/>
        <v>23442.15</v>
      </c>
      <c r="L9" s="189">
        <v>0</v>
      </c>
      <c r="M9" s="189">
        <f>M8+K9-L9</f>
        <v>349692.33730000013</v>
      </c>
      <c r="N9" s="47"/>
    </row>
    <row r="10" spans="1:17">
      <c r="A10" s="28">
        <v>7</v>
      </c>
      <c r="B10" s="29">
        <v>45784</v>
      </c>
      <c r="C10" s="80"/>
      <c r="D10" s="183"/>
      <c r="E10" s="188">
        <v>0</v>
      </c>
      <c r="F10" s="188">
        <v>0</v>
      </c>
      <c r="G10" s="8">
        <f t="shared" si="0"/>
        <v>0</v>
      </c>
      <c r="H10" s="188">
        <v>0</v>
      </c>
      <c r="I10" s="188">
        <v>0</v>
      </c>
      <c r="J10" s="8">
        <f t="shared" si="1"/>
        <v>0</v>
      </c>
      <c r="K10" s="8">
        <f t="shared" si="2"/>
        <v>0</v>
      </c>
      <c r="L10" s="189">
        <v>0</v>
      </c>
      <c r="M10" s="189">
        <f>M9+K10-L10</f>
        <v>349692.33730000013</v>
      </c>
      <c r="N10" s="47"/>
    </row>
    <row r="11" spans="1:17">
      <c r="A11" s="28">
        <v>8</v>
      </c>
      <c r="B11" s="29">
        <v>45785</v>
      </c>
      <c r="C11" s="80"/>
      <c r="D11" s="183"/>
      <c r="E11" s="188">
        <v>336.34</v>
      </c>
      <c r="F11" s="188">
        <v>91.93</v>
      </c>
      <c r="G11" s="8">
        <f t="shared" si="0"/>
        <v>30919.736199999999</v>
      </c>
      <c r="H11" s="188">
        <v>10</v>
      </c>
      <c r="I11" s="188">
        <v>103.89</v>
      </c>
      <c r="J11" s="8">
        <f t="shared" si="1"/>
        <v>1038.9000000000001</v>
      </c>
      <c r="K11" s="8">
        <f t="shared" si="2"/>
        <v>31958.636200000001</v>
      </c>
      <c r="L11" s="189">
        <v>0</v>
      </c>
      <c r="M11" s="189">
        <f>M10+K11-L11</f>
        <v>381650.97350000014</v>
      </c>
      <c r="N11" s="47" t="s">
        <v>158</v>
      </c>
      <c r="P11" s="304"/>
      <c r="Q11" s="305"/>
    </row>
    <row r="12" spans="1:17">
      <c r="A12" s="28">
        <v>9</v>
      </c>
      <c r="B12" s="29">
        <v>45786</v>
      </c>
      <c r="C12" s="80"/>
      <c r="D12" s="183"/>
      <c r="E12" s="188">
        <v>0</v>
      </c>
      <c r="F12" s="188">
        <v>0</v>
      </c>
      <c r="G12" s="8">
        <f t="shared" si="0"/>
        <v>0</v>
      </c>
      <c r="H12" s="188">
        <v>0</v>
      </c>
      <c r="I12" s="188">
        <v>0</v>
      </c>
      <c r="J12" s="8">
        <f t="shared" si="1"/>
        <v>0</v>
      </c>
      <c r="K12" s="8">
        <f t="shared" si="2"/>
        <v>0</v>
      </c>
      <c r="L12" s="189">
        <v>150000</v>
      </c>
      <c r="M12" s="189">
        <f>M11+K12-L12</f>
        <v>231650.97350000014</v>
      </c>
      <c r="N12" s="47"/>
    </row>
    <row r="13" spans="1:17">
      <c r="A13" s="28">
        <v>10</v>
      </c>
      <c r="B13" s="29">
        <v>45787</v>
      </c>
      <c r="C13" s="80"/>
      <c r="D13" s="183"/>
      <c r="E13" s="188">
        <v>250</v>
      </c>
      <c r="F13" s="188">
        <v>91.93</v>
      </c>
      <c r="G13" s="8">
        <f t="shared" si="0"/>
        <v>22982.5</v>
      </c>
      <c r="H13" s="188">
        <v>20</v>
      </c>
      <c r="I13" s="188">
        <v>103.89</v>
      </c>
      <c r="J13" s="8">
        <f t="shared" si="1"/>
        <v>2077.8000000000002</v>
      </c>
      <c r="K13" s="8">
        <f t="shared" si="2"/>
        <v>25060.3</v>
      </c>
      <c r="L13" s="189">
        <v>0</v>
      </c>
      <c r="M13" s="189">
        <f>M12+K13-L13</f>
        <v>256711.27350000013</v>
      </c>
      <c r="N13" s="47"/>
    </row>
    <row r="14" spans="1:17">
      <c r="A14" s="28">
        <v>11</v>
      </c>
      <c r="B14" s="29">
        <v>45788</v>
      </c>
      <c r="C14" s="80"/>
      <c r="D14" s="183"/>
      <c r="E14" s="188">
        <v>0</v>
      </c>
      <c r="F14" s="188">
        <v>0</v>
      </c>
      <c r="G14" s="8">
        <f t="shared" si="0"/>
        <v>0</v>
      </c>
      <c r="H14" s="188">
        <v>0</v>
      </c>
      <c r="I14" s="188">
        <v>0</v>
      </c>
      <c r="J14" s="8">
        <f t="shared" si="1"/>
        <v>0</v>
      </c>
      <c r="K14" s="8">
        <f t="shared" si="2"/>
        <v>0</v>
      </c>
      <c r="L14" s="189">
        <v>0</v>
      </c>
      <c r="M14" s="189">
        <f>M13+K14-L14</f>
        <v>256711.27350000013</v>
      </c>
      <c r="N14" s="47"/>
    </row>
    <row r="15" spans="1:17">
      <c r="A15" s="28">
        <v>12</v>
      </c>
      <c r="B15" s="29">
        <v>45789</v>
      </c>
      <c r="C15" s="80"/>
      <c r="D15" s="183"/>
      <c r="E15" s="188">
        <v>284.64999999999998</v>
      </c>
      <c r="F15" s="188">
        <v>91.93</v>
      </c>
      <c r="G15" s="8">
        <f t="shared" si="0"/>
        <v>26167.874499999998</v>
      </c>
      <c r="H15" s="188">
        <v>10</v>
      </c>
      <c r="I15" s="188">
        <v>103.89</v>
      </c>
      <c r="J15" s="8">
        <f t="shared" si="1"/>
        <v>1038.9000000000001</v>
      </c>
      <c r="K15" s="8">
        <f t="shared" si="2"/>
        <v>27206.7745</v>
      </c>
      <c r="L15" s="189">
        <v>0</v>
      </c>
      <c r="M15" s="189">
        <f>M14+K15-L15</f>
        <v>283918.04800000013</v>
      </c>
      <c r="N15" s="47"/>
    </row>
    <row r="16" spans="1:17">
      <c r="A16" s="28">
        <v>13</v>
      </c>
      <c r="B16" s="29">
        <v>45790</v>
      </c>
      <c r="C16" s="80"/>
      <c r="D16" s="183"/>
      <c r="E16" s="188">
        <v>275</v>
      </c>
      <c r="F16" s="188">
        <v>91.93</v>
      </c>
      <c r="G16" s="8">
        <f t="shared" si="0"/>
        <v>25280.750000000004</v>
      </c>
      <c r="H16" s="188">
        <v>10</v>
      </c>
      <c r="I16" s="188">
        <v>103.89</v>
      </c>
      <c r="J16" s="8">
        <f t="shared" si="1"/>
        <v>1038.9000000000001</v>
      </c>
      <c r="K16" s="8">
        <f t="shared" si="2"/>
        <v>26319.650000000005</v>
      </c>
      <c r="L16" s="189">
        <v>0</v>
      </c>
      <c r="M16" s="189">
        <f>M15+K16-L16</f>
        <v>310237.69800000015</v>
      </c>
      <c r="N16" s="47"/>
    </row>
    <row r="17" spans="1:14">
      <c r="A17" s="28">
        <v>14</v>
      </c>
      <c r="B17" s="29">
        <v>45791</v>
      </c>
      <c r="C17" s="80"/>
      <c r="D17" s="183"/>
      <c r="E17" s="188">
        <v>0</v>
      </c>
      <c r="F17" s="188">
        <v>0</v>
      </c>
      <c r="G17" s="8">
        <f t="shared" si="0"/>
        <v>0</v>
      </c>
      <c r="H17" s="188">
        <v>0</v>
      </c>
      <c r="I17" s="188">
        <v>0</v>
      </c>
      <c r="J17" s="8">
        <f t="shared" si="1"/>
        <v>0</v>
      </c>
      <c r="K17" s="8">
        <f t="shared" si="2"/>
        <v>0</v>
      </c>
      <c r="L17" s="189">
        <v>0</v>
      </c>
      <c r="M17" s="189">
        <f>M16+K17-L17</f>
        <v>310237.69800000015</v>
      </c>
      <c r="N17" s="47"/>
    </row>
    <row r="18" spans="1:14">
      <c r="A18" s="28">
        <v>15</v>
      </c>
      <c r="B18" s="29">
        <v>45792</v>
      </c>
      <c r="C18" s="80"/>
      <c r="D18" s="183"/>
      <c r="E18" s="188">
        <v>0</v>
      </c>
      <c r="F18" s="188">
        <v>0</v>
      </c>
      <c r="G18" s="8">
        <f t="shared" si="0"/>
        <v>0</v>
      </c>
      <c r="H18" s="188">
        <v>0</v>
      </c>
      <c r="I18" s="188">
        <v>0</v>
      </c>
      <c r="J18" s="8">
        <f t="shared" si="1"/>
        <v>0</v>
      </c>
      <c r="K18" s="8">
        <f t="shared" si="2"/>
        <v>0</v>
      </c>
      <c r="L18" s="189">
        <v>0</v>
      </c>
      <c r="M18" s="189">
        <f>M17+K18-L18</f>
        <v>310237.69800000015</v>
      </c>
      <c r="N18" s="47"/>
    </row>
    <row r="19" spans="1:14">
      <c r="A19" s="28">
        <v>16</v>
      </c>
      <c r="B19" s="29">
        <v>45793</v>
      </c>
      <c r="C19" s="80"/>
      <c r="D19" s="183"/>
      <c r="E19" s="188">
        <v>35</v>
      </c>
      <c r="F19" s="188">
        <v>91.93</v>
      </c>
      <c r="G19" s="8">
        <f t="shared" si="0"/>
        <v>3217.55</v>
      </c>
      <c r="H19" s="188">
        <v>0</v>
      </c>
      <c r="I19" s="188">
        <v>0</v>
      </c>
      <c r="J19" s="8">
        <f t="shared" si="1"/>
        <v>0</v>
      </c>
      <c r="K19" s="8">
        <f t="shared" si="2"/>
        <v>3217.55</v>
      </c>
      <c r="L19" s="189">
        <v>0</v>
      </c>
      <c r="M19" s="189">
        <f>M18+K19-L19</f>
        <v>313455.24800000014</v>
      </c>
      <c r="N19" s="47"/>
    </row>
    <row r="20" spans="1:14">
      <c r="A20" s="28">
        <v>17</v>
      </c>
      <c r="B20" s="29">
        <v>45794</v>
      </c>
      <c r="C20" s="80"/>
      <c r="D20" s="183"/>
      <c r="E20" s="188">
        <v>290</v>
      </c>
      <c r="F20" s="188">
        <v>91.93</v>
      </c>
      <c r="G20" s="8">
        <f t="shared" si="0"/>
        <v>26659.7</v>
      </c>
      <c r="H20" s="188">
        <v>30</v>
      </c>
      <c r="I20" s="188">
        <v>103.89</v>
      </c>
      <c r="J20" s="8">
        <f t="shared" si="1"/>
        <v>3116.7</v>
      </c>
      <c r="K20" s="8">
        <f t="shared" si="2"/>
        <v>29776.400000000001</v>
      </c>
      <c r="L20" s="189">
        <v>0</v>
      </c>
      <c r="M20" s="189">
        <f t="shared" ref="M20:M34" si="3">M19+K20-L20</f>
        <v>343231.64800000016</v>
      </c>
      <c r="N20" s="47"/>
    </row>
    <row r="21" spans="1:14">
      <c r="A21" s="28">
        <v>18</v>
      </c>
      <c r="B21" s="29">
        <v>45795</v>
      </c>
      <c r="C21" s="80"/>
      <c r="D21" s="183"/>
      <c r="E21" s="188">
        <v>0</v>
      </c>
      <c r="F21" s="188">
        <v>0</v>
      </c>
      <c r="G21" s="8">
        <f t="shared" si="0"/>
        <v>0</v>
      </c>
      <c r="H21" s="188">
        <v>0</v>
      </c>
      <c r="I21" s="188">
        <v>0</v>
      </c>
      <c r="J21" s="8">
        <f t="shared" si="1"/>
        <v>0</v>
      </c>
      <c r="K21" s="8">
        <f t="shared" si="2"/>
        <v>0</v>
      </c>
      <c r="L21" s="189">
        <v>0</v>
      </c>
      <c r="M21" s="189">
        <f t="shared" si="3"/>
        <v>343231.64800000016</v>
      </c>
      <c r="N21" s="47"/>
    </row>
    <row r="22" spans="1:14">
      <c r="A22" s="28">
        <v>19</v>
      </c>
      <c r="B22" s="29">
        <v>45796</v>
      </c>
      <c r="C22" s="80"/>
      <c r="D22" s="183"/>
      <c r="E22" s="188">
        <v>0</v>
      </c>
      <c r="F22" s="188">
        <v>0</v>
      </c>
      <c r="G22" s="8">
        <f t="shared" si="0"/>
        <v>0</v>
      </c>
      <c r="H22" s="188">
        <v>0</v>
      </c>
      <c r="I22" s="188">
        <v>0</v>
      </c>
      <c r="J22" s="8">
        <f t="shared" si="1"/>
        <v>0</v>
      </c>
      <c r="K22" s="8">
        <f t="shared" si="2"/>
        <v>0</v>
      </c>
      <c r="L22" s="189">
        <v>0</v>
      </c>
      <c r="M22" s="189">
        <f t="shared" si="3"/>
        <v>343231.64800000016</v>
      </c>
      <c r="N22" s="47"/>
    </row>
    <row r="23" spans="1:14">
      <c r="A23" s="28">
        <v>20</v>
      </c>
      <c r="B23" s="29">
        <v>45797</v>
      </c>
      <c r="C23" s="80"/>
      <c r="D23" s="183"/>
      <c r="E23" s="188">
        <v>267</v>
      </c>
      <c r="F23" s="188">
        <v>91.93</v>
      </c>
      <c r="G23" s="8">
        <f t="shared" si="0"/>
        <v>24545.31</v>
      </c>
      <c r="H23" s="188">
        <v>10</v>
      </c>
      <c r="I23" s="188">
        <v>103.89</v>
      </c>
      <c r="J23" s="8">
        <f t="shared" si="1"/>
        <v>1038.9000000000001</v>
      </c>
      <c r="K23" s="8">
        <f t="shared" si="2"/>
        <v>25584.210000000003</v>
      </c>
      <c r="L23" s="189">
        <v>160000</v>
      </c>
      <c r="M23" s="189">
        <f t="shared" si="3"/>
        <v>208815.85800000018</v>
      </c>
      <c r="N23" s="47"/>
    </row>
    <row r="24" spans="1:14">
      <c r="A24" s="28">
        <v>21</v>
      </c>
      <c r="B24" s="29">
        <v>45798</v>
      </c>
      <c r="C24" s="80"/>
      <c r="D24" s="183"/>
      <c r="E24" s="188">
        <v>39</v>
      </c>
      <c r="F24" s="188">
        <v>91.93</v>
      </c>
      <c r="G24" s="8">
        <f t="shared" si="0"/>
        <v>3585.2700000000004</v>
      </c>
      <c r="H24" s="188">
        <v>0</v>
      </c>
      <c r="I24" s="188">
        <v>0</v>
      </c>
      <c r="J24" s="8">
        <f t="shared" si="1"/>
        <v>0</v>
      </c>
      <c r="K24" s="8">
        <f t="shared" si="2"/>
        <v>3585.2700000000004</v>
      </c>
      <c r="L24" s="189">
        <v>0</v>
      </c>
      <c r="M24" s="189">
        <f t="shared" si="3"/>
        <v>212401.12800000017</v>
      </c>
      <c r="N24" s="47"/>
    </row>
    <row r="25" spans="1:14">
      <c r="A25" s="28">
        <v>22</v>
      </c>
      <c r="B25" s="29">
        <v>45799</v>
      </c>
      <c r="C25" s="80"/>
      <c r="D25" s="183"/>
      <c r="E25" s="188">
        <v>0</v>
      </c>
      <c r="F25" s="188">
        <v>0</v>
      </c>
      <c r="G25" s="8">
        <f t="shared" si="0"/>
        <v>0</v>
      </c>
      <c r="H25" s="188">
        <v>0</v>
      </c>
      <c r="I25" s="188">
        <v>0</v>
      </c>
      <c r="J25" s="8">
        <f t="shared" si="1"/>
        <v>0</v>
      </c>
      <c r="K25" s="8">
        <f t="shared" si="2"/>
        <v>0</v>
      </c>
      <c r="L25" s="189">
        <v>0</v>
      </c>
      <c r="M25" s="189">
        <f t="shared" si="3"/>
        <v>212401.12800000017</v>
      </c>
      <c r="N25" s="47"/>
    </row>
    <row r="26" spans="1:14">
      <c r="A26" s="28">
        <v>23</v>
      </c>
      <c r="B26" s="29">
        <v>45800</v>
      </c>
      <c r="C26" s="80"/>
      <c r="D26" s="183"/>
      <c r="E26" s="188">
        <v>35</v>
      </c>
      <c r="F26" s="188">
        <v>91.93</v>
      </c>
      <c r="G26" s="8">
        <f t="shared" si="0"/>
        <v>3217.55</v>
      </c>
      <c r="H26" s="188">
        <v>0</v>
      </c>
      <c r="I26" s="188">
        <v>0</v>
      </c>
      <c r="J26" s="8">
        <f t="shared" si="1"/>
        <v>0</v>
      </c>
      <c r="K26" s="8">
        <f t="shared" si="2"/>
        <v>3217.55</v>
      </c>
      <c r="L26" s="189">
        <v>0</v>
      </c>
      <c r="M26" s="189">
        <f t="shared" si="3"/>
        <v>215618.67800000016</v>
      </c>
      <c r="N26" s="47"/>
    </row>
    <row r="27" spans="1:14">
      <c r="A27" s="28">
        <v>24</v>
      </c>
      <c r="B27" s="29">
        <v>45801</v>
      </c>
      <c r="C27" s="80"/>
      <c r="D27" s="183"/>
      <c r="E27" s="188">
        <v>30</v>
      </c>
      <c r="F27" s="188">
        <v>91.93</v>
      </c>
      <c r="G27" s="8">
        <f t="shared" si="0"/>
        <v>2757.9</v>
      </c>
      <c r="H27" s="188">
        <v>20</v>
      </c>
      <c r="I27" s="188">
        <v>103.89</v>
      </c>
      <c r="J27" s="8">
        <f t="shared" si="1"/>
        <v>2077.8000000000002</v>
      </c>
      <c r="K27" s="8">
        <f t="shared" si="2"/>
        <v>4835.7000000000007</v>
      </c>
      <c r="L27" s="189">
        <v>0</v>
      </c>
      <c r="M27" s="189">
        <f t="shared" si="3"/>
        <v>220454.37800000017</v>
      </c>
      <c r="N27" s="47"/>
    </row>
    <row r="28" spans="1:14">
      <c r="A28" s="28">
        <v>25</v>
      </c>
      <c r="B28" s="29">
        <v>45802</v>
      </c>
      <c r="C28" s="80"/>
      <c r="D28" s="183"/>
      <c r="E28" s="188">
        <v>0</v>
      </c>
      <c r="F28" s="188">
        <v>0</v>
      </c>
      <c r="G28" s="8">
        <f t="shared" si="0"/>
        <v>0</v>
      </c>
      <c r="H28" s="188">
        <v>0</v>
      </c>
      <c r="I28" s="188">
        <v>0</v>
      </c>
      <c r="J28" s="8">
        <f t="shared" si="1"/>
        <v>0</v>
      </c>
      <c r="K28" s="8">
        <f t="shared" si="2"/>
        <v>0</v>
      </c>
      <c r="L28" s="189">
        <v>0</v>
      </c>
      <c r="M28" s="189">
        <f t="shared" si="3"/>
        <v>220454.37800000017</v>
      </c>
      <c r="N28" s="47"/>
    </row>
    <row r="29" spans="1:14">
      <c r="A29" s="28">
        <v>26</v>
      </c>
      <c r="B29" s="29">
        <v>45803</v>
      </c>
      <c r="C29" s="233"/>
      <c r="D29" s="183"/>
      <c r="E29" s="188">
        <v>0</v>
      </c>
      <c r="F29" s="188">
        <v>0</v>
      </c>
      <c r="G29" s="8">
        <f t="shared" si="0"/>
        <v>0</v>
      </c>
      <c r="H29" s="188">
        <v>0</v>
      </c>
      <c r="I29" s="188">
        <v>0</v>
      </c>
      <c r="J29" s="8">
        <f t="shared" si="1"/>
        <v>0</v>
      </c>
      <c r="K29" s="8">
        <f t="shared" si="2"/>
        <v>0</v>
      </c>
      <c r="L29" s="189">
        <v>0</v>
      </c>
      <c r="M29" s="189">
        <f t="shared" si="3"/>
        <v>220454.37800000017</v>
      </c>
      <c r="N29" s="47"/>
    </row>
    <row r="30" spans="1:14">
      <c r="A30" s="28">
        <v>27</v>
      </c>
      <c r="B30" s="29">
        <v>45804</v>
      </c>
      <c r="C30" s="80"/>
      <c r="D30" s="183"/>
      <c r="E30" s="188">
        <v>0</v>
      </c>
      <c r="F30" s="188">
        <v>0</v>
      </c>
      <c r="G30" s="8">
        <f t="shared" si="0"/>
        <v>0</v>
      </c>
      <c r="H30" s="188">
        <v>0</v>
      </c>
      <c r="I30" s="188">
        <v>0</v>
      </c>
      <c r="J30" s="8">
        <f t="shared" si="1"/>
        <v>0</v>
      </c>
      <c r="K30" s="8">
        <f t="shared" si="2"/>
        <v>0</v>
      </c>
      <c r="L30" s="189">
        <v>0</v>
      </c>
      <c r="M30" s="189">
        <f t="shared" si="3"/>
        <v>220454.37800000017</v>
      </c>
      <c r="N30" s="47"/>
    </row>
    <row r="31" spans="1:14">
      <c r="A31" s="28">
        <v>28</v>
      </c>
      <c r="B31" s="29">
        <v>45805</v>
      </c>
      <c r="C31" s="80"/>
      <c r="D31" s="183"/>
      <c r="E31" s="188">
        <v>0</v>
      </c>
      <c r="F31" s="188">
        <v>0</v>
      </c>
      <c r="G31" s="8">
        <f t="shared" si="0"/>
        <v>0</v>
      </c>
      <c r="H31" s="188">
        <v>5</v>
      </c>
      <c r="I31" s="188">
        <v>103.89</v>
      </c>
      <c r="J31" s="8">
        <f t="shared" si="1"/>
        <v>519.45000000000005</v>
      </c>
      <c r="K31" s="8">
        <f t="shared" si="2"/>
        <v>519.45000000000005</v>
      </c>
      <c r="L31" s="189">
        <v>0</v>
      </c>
      <c r="M31" s="189">
        <f t="shared" si="3"/>
        <v>220973.82800000018</v>
      </c>
      <c r="N31" s="47"/>
    </row>
    <row r="32" spans="1:14">
      <c r="A32" s="28">
        <v>29</v>
      </c>
      <c r="B32" s="29">
        <v>45806</v>
      </c>
      <c r="C32" s="80"/>
      <c r="D32" s="183"/>
      <c r="E32" s="188">
        <v>200</v>
      </c>
      <c r="F32" s="188">
        <v>91.93</v>
      </c>
      <c r="G32" s="8">
        <f t="shared" si="0"/>
        <v>18386</v>
      </c>
      <c r="H32" s="188">
        <v>20</v>
      </c>
      <c r="I32" s="188">
        <v>103.89</v>
      </c>
      <c r="J32" s="8">
        <f t="shared" si="1"/>
        <v>2077.8000000000002</v>
      </c>
      <c r="K32" s="8">
        <f>G32+J32</f>
        <v>20463.8</v>
      </c>
      <c r="L32" s="189">
        <v>0</v>
      </c>
      <c r="M32" s="189">
        <f t="shared" si="3"/>
        <v>241437.62800000017</v>
      </c>
      <c r="N32" s="47"/>
    </row>
    <row r="33" spans="1:15">
      <c r="A33" s="28">
        <v>30</v>
      </c>
      <c r="B33" s="29">
        <v>45807</v>
      </c>
      <c r="C33" s="80"/>
      <c r="D33" s="183"/>
      <c r="E33" s="188">
        <v>0</v>
      </c>
      <c r="F33" s="188">
        <v>0</v>
      </c>
      <c r="G33" s="8">
        <f t="shared" si="0"/>
        <v>0</v>
      </c>
      <c r="H33" s="188">
        <v>0</v>
      </c>
      <c r="I33" s="188">
        <v>0</v>
      </c>
      <c r="J33" s="8">
        <f t="shared" si="1"/>
        <v>0</v>
      </c>
      <c r="K33" s="8">
        <f t="shared" si="2"/>
        <v>0</v>
      </c>
      <c r="L33" s="189">
        <v>0</v>
      </c>
      <c r="M33" s="189">
        <f t="shared" si="3"/>
        <v>241437.62800000017</v>
      </c>
      <c r="N33" s="47"/>
    </row>
    <row r="34" spans="1:15">
      <c r="A34" s="28">
        <v>31</v>
      </c>
      <c r="B34" s="29">
        <v>45808</v>
      </c>
      <c r="C34" s="80"/>
      <c r="D34" s="183"/>
      <c r="E34" s="188">
        <v>0</v>
      </c>
      <c r="F34" s="188">
        <v>0</v>
      </c>
      <c r="G34" s="8">
        <f t="shared" ref="G5:G34" si="4">E34*F34</f>
        <v>0</v>
      </c>
      <c r="H34" s="188">
        <v>0</v>
      </c>
      <c r="I34" s="188">
        <v>0</v>
      </c>
      <c r="J34" s="8">
        <f t="shared" ref="J5:J34" si="5">H34*I34</f>
        <v>0</v>
      </c>
      <c r="K34" s="8">
        <f t="shared" si="2"/>
        <v>0</v>
      </c>
      <c r="L34" s="189">
        <v>0</v>
      </c>
      <c r="M34" s="189">
        <f t="shared" si="3"/>
        <v>241437.62800000017</v>
      </c>
      <c r="N34" s="47"/>
    </row>
    <row r="35" spans="1:15">
      <c r="A35" s="184"/>
      <c r="B35" s="184"/>
      <c r="C35" s="184"/>
      <c r="D35" s="184"/>
      <c r="E35" s="185">
        <f>SUM(E4:E34)</f>
        <v>2836.99</v>
      </c>
      <c r="F35" s="185"/>
      <c r="G35" s="185">
        <f>SUM(G4:G34)</f>
        <v>260804.49069999997</v>
      </c>
      <c r="H35" s="185">
        <f>SUM(H4:H34)</f>
        <v>168</v>
      </c>
      <c r="I35" s="76"/>
      <c r="J35" s="185">
        <f>SUM(J4:J34)</f>
        <v>17453.52</v>
      </c>
      <c r="K35" s="185">
        <f>SUM(K4:K34)</f>
        <v>278258.01069999998</v>
      </c>
      <c r="L35" s="185">
        <f>SUM(L4:L34)</f>
        <v>310000</v>
      </c>
      <c r="M35" s="76"/>
      <c r="N35" s="76"/>
      <c r="O35" s="72"/>
    </row>
    <row r="36" spans="1:15">
      <c r="A36" s="86"/>
      <c r="B36" s="87"/>
      <c r="C36" s="86"/>
      <c r="D36" s="86"/>
      <c r="E36" s="88"/>
      <c r="F36" s="88"/>
      <c r="G36" s="88"/>
      <c r="H36" s="88"/>
      <c r="I36" s="88"/>
      <c r="J36" s="89"/>
      <c r="K36" s="89"/>
      <c r="L36" s="89"/>
      <c r="M36" s="89"/>
      <c r="N36" s="88"/>
    </row>
    <row r="42" spans="1:15">
      <c r="B42" s="72"/>
      <c r="G42" s="90"/>
      <c r="J42" s="72"/>
      <c r="K42" s="72"/>
      <c r="L42" s="72"/>
      <c r="M42" s="72"/>
      <c r="O42" s="88"/>
    </row>
    <row r="43" spans="1:15">
      <c r="B43" s="452"/>
      <c r="C43" s="452"/>
      <c r="D43" s="452"/>
      <c r="E43" s="452"/>
      <c r="I43" s="452"/>
      <c r="J43" s="452"/>
      <c r="K43" s="452"/>
      <c r="L43" s="452"/>
      <c r="M43" s="452"/>
      <c r="N43" s="452"/>
      <c r="O43" s="88"/>
    </row>
    <row r="44" spans="1:15">
      <c r="B44" s="72"/>
      <c r="J44" s="72"/>
      <c r="K44" s="72"/>
      <c r="L44" s="72"/>
      <c r="M44" s="72"/>
      <c r="O44" s="8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P37"/>
  <sheetViews>
    <sheetView workbookViewId="0">
      <selection activeCell="G41" sqref="G41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6" ht="15.75" customHeight="1">
      <c r="A1" s="469" t="s">
        <v>48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6">
      <c r="A2" s="141" t="s">
        <v>99</v>
      </c>
      <c r="B2" s="141" t="s">
        <v>100</v>
      </c>
      <c r="C2" s="141" t="s">
        <v>101</v>
      </c>
      <c r="D2" s="141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2" t="s">
        <v>104</v>
      </c>
      <c r="J2" s="202" t="s">
        <v>105</v>
      </c>
      <c r="K2" s="202" t="s">
        <v>107</v>
      </c>
      <c r="L2" s="141" t="s">
        <v>126</v>
      </c>
      <c r="M2" s="144" t="s">
        <v>108</v>
      </c>
      <c r="N2" s="141" t="s">
        <v>110</v>
      </c>
    </row>
    <row r="3" spans="1:16">
      <c r="A3" s="19"/>
      <c r="B3" s="19"/>
      <c r="C3" s="19"/>
      <c r="D3" s="19" t="s">
        <v>111</v>
      </c>
      <c r="E3" s="19"/>
      <c r="F3" s="19"/>
      <c r="G3" s="19"/>
      <c r="H3" s="19"/>
      <c r="I3" s="19"/>
      <c r="J3" s="19"/>
      <c r="K3" s="19">
        <v>0</v>
      </c>
      <c r="L3" s="19"/>
      <c r="M3" s="19">
        <f>+K3</f>
        <v>0</v>
      </c>
      <c r="N3" s="19"/>
    </row>
    <row r="4" spans="1:16">
      <c r="A4" s="28">
        <v>1</v>
      </c>
      <c r="B4" s="29">
        <v>45778</v>
      </c>
      <c r="C4" s="155"/>
      <c r="D4" s="155"/>
      <c r="E4" s="108">
        <v>0</v>
      </c>
      <c r="F4" s="108">
        <v>0</v>
      </c>
      <c r="G4" s="207">
        <f>F4*E4</f>
        <v>0</v>
      </c>
      <c r="H4" s="108">
        <v>0</v>
      </c>
      <c r="I4" s="108">
        <v>0</v>
      </c>
      <c r="J4" s="207">
        <f t="shared" ref="J4" si="0">H4*I4</f>
        <v>0</v>
      </c>
      <c r="K4" s="207">
        <f>G4+J4</f>
        <v>0</v>
      </c>
      <c r="L4" s="207">
        <f>+K4</f>
        <v>0</v>
      </c>
      <c r="M4" s="207">
        <f>+L4</f>
        <v>0</v>
      </c>
      <c r="N4" s="155"/>
    </row>
    <row r="5" spans="1:16">
      <c r="A5" s="28">
        <v>2</v>
      </c>
      <c r="B5" s="29">
        <v>45779</v>
      </c>
      <c r="C5" s="19"/>
      <c r="D5" s="155"/>
      <c r="E5" s="108">
        <v>0</v>
      </c>
      <c r="F5" s="108">
        <v>0</v>
      </c>
      <c r="G5" s="207">
        <f t="shared" ref="G5:G33" si="1">F5*E5</f>
        <v>0</v>
      </c>
      <c r="H5" s="108">
        <v>0</v>
      </c>
      <c r="I5" s="108">
        <v>0</v>
      </c>
      <c r="J5" s="207">
        <f t="shared" ref="J5:J33" si="2">H5*I5</f>
        <v>0</v>
      </c>
      <c r="K5" s="207">
        <f t="shared" ref="K5:L33" si="3">G5+J5</f>
        <v>0</v>
      </c>
      <c r="L5" s="207">
        <f t="shared" ref="L5:L33" si="4">+K5</f>
        <v>0</v>
      </c>
      <c r="M5" s="207">
        <f t="shared" ref="M5:M33" si="5">+L5</f>
        <v>0</v>
      </c>
      <c r="N5" s="19"/>
    </row>
    <row r="6" spans="1:16">
      <c r="A6" s="28">
        <v>3</v>
      </c>
      <c r="B6" s="29">
        <v>45780</v>
      </c>
      <c r="C6" s="19"/>
      <c r="D6" s="155"/>
      <c r="E6" s="108">
        <v>0</v>
      </c>
      <c r="F6" s="108">
        <v>0</v>
      </c>
      <c r="G6" s="207">
        <f t="shared" si="1"/>
        <v>0</v>
      </c>
      <c r="H6" s="108">
        <v>0</v>
      </c>
      <c r="I6" s="108">
        <v>0</v>
      </c>
      <c r="J6" s="207">
        <f t="shared" si="2"/>
        <v>0</v>
      </c>
      <c r="K6" s="207">
        <f t="shared" si="3"/>
        <v>0</v>
      </c>
      <c r="L6" s="207">
        <f t="shared" si="4"/>
        <v>0</v>
      </c>
      <c r="M6" s="207">
        <v>0</v>
      </c>
      <c r="N6" s="19"/>
    </row>
    <row r="7" spans="1:16">
      <c r="A7" s="28">
        <v>4</v>
      </c>
      <c r="B7" s="29">
        <v>45781</v>
      </c>
      <c r="C7" s="19"/>
      <c r="D7" s="155"/>
      <c r="E7" s="108">
        <v>0</v>
      </c>
      <c r="F7" s="108">
        <v>0</v>
      </c>
      <c r="G7" s="207">
        <f t="shared" si="1"/>
        <v>0</v>
      </c>
      <c r="H7" s="108">
        <v>9.73</v>
      </c>
      <c r="I7" s="108">
        <v>102.7</v>
      </c>
      <c r="J7" s="207">
        <f t="shared" si="2"/>
        <v>999.27100000000007</v>
      </c>
      <c r="K7" s="207">
        <f t="shared" si="3"/>
        <v>999.27100000000007</v>
      </c>
      <c r="L7" s="207">
        <f t="shared" si="4"/>
        <v>999.27100000000007</v>
      </c>
      <c r="M7" s="207">
        <f t="shared" si="5"/>
        <v>999.27100000000007</v>
      </c>
      <c r="N7" s="19"/>
    </row>
    <row r="8" spans="1:16">
      <c r="A8" s="28">
        <v>5</v>
      </c>
      <c r="B8" s="29">
        <v>45782</v>
      </c>
      <c r="C8" s="19"/>
      <c r="D8" s="155"/>
      <c r="E8" s="108">
        <v>0</v>
      </c>
      <c r="F8" s="108">
        <v>0</v>
      </c>
      <c r="G8" s="207">
        <f t="shared" si="1"/>
        <v>0</v>
      </c>
      <c r="H8" s="108">
        <v>0</v>
      </c>
      <c r="I8" s="108">
        <v>0</v>
      </c>
      <c r="J8" s="207">
        <f t="shared" si="2"/>
        <v>0</v>
      </c>
      <c r="K8" s="207">
        <f t="shared" si="3"/>
        <v>0</v>
      </c>
      <c r="L8" s="207">
        <f t="shared" si="4"/>
        <v>0</v>
      </c>
      <c r="M8" s="207">
        <f t="shared" si="5"/>
        <v>0</v>
      </c>
      <c r="N8" s="19"/>
    </row>
    <row r="9" spans="1:16">
      <c r="A9" s="28">
        <v>6</v>
      </c>
      <c r="B9" s="29">
        <v>45783</v>
      </c>
      <c r="C9" s="19"/>
      <c r="D9" s="155"/>
      <c r="E9" s="108">
        <v>0</v>
      </c>
      <c r="F9" s="108">
        <v>0</v>
      </c>
      <c r="G9" s="207">
        <f t="shared" si="1"/>
        <v>0</v>
      </c>
      <c r="H9" s="108">
        <v>0</v>
      </c>
      <c r="I9" s="108">
        <v>0</v>
      </c>
      <c r="J9" s="207">
        <f t="shared" si="2"/>
        <v>0</v>
      </c>
      <c r="K9" s="207">
        <f t="shared" si="3"/>
        <v>0</v>
      </c>
      <c r="L9" s="207">
        <f t="shared" si="4"/>
        <v>0</v>
      </c>
      <c r="M9" s="207">
        <f t="shared" si="5"/>
        <v>0</v>
      </c>
      <c r="N9" s="19"/>
    </row>
    <row r="10" spans="1:16">
      <c r="A10" s="28">
        <v>7</v>
      </c>
      <c r="B10" s="29">
        <v>45784</v>
      </c>
      <c r="C10" s="19"/>
      <c r="D10" s="155"/>
      <c r="E10" s="108">
        <v>0</v>
      </c>
      <c r="F10" s="108">
        <v>0</v>
      </c>
      <c r="G10" s="207">
        <f t="shared" si="1"/>
        <v>0</v>
      </c>
      <c r="H10" s="108">
        <v>0</v>
      </c>
      <c r="I10" s="108">
        <v>0</v>
      </c>
      <c r="J10" s="207">
        <f t="shared" si="2"/>
        <v>0</v>
      </c>
      <c r="K10" s="207">
        <f t="shared" si="3"/>
        <v>0</v>
      </c>
      <c r="L10" s="207">
        <f t="shared" si="4"/>
        <v>0</v>
      </c>
      <c r="M10" s="207">
        <f t="shared" si="5"/>
        <v>0</v>
      </c>
      <c r="N10" s="19"/>
    </row>
    <row r="11" spans="1:16">
      <c r="A11" s="28">
        <v>8</v>
      </c>
      <c r="B11" s="29">
        <v>45785</v>
      </c>
      <c r="C11" s="19"/>
      <c r="D11" s="155"/>
      <c r="E11" s="108">
        <v>0</v>
      </c>
      <c r="F11" s="108">
        <v>0</v>
      </c>
      <c r="G11" s="207">
        <f t="shared" si="1"/>
        <v>0</v>
      </c>
      <c r="H11" s="108">
        <v>0</v>
      </c>
      <c r="I11" s="108">
        <v>0</v>
      </c>
      <c r="J11" s="207">
        <f t="shared" si="2"/>
        <v>0</v>
      </c>
      <c r="K11" s="207">
        <f t="shared" si="3"/>
        <v>0</v>
      </c>
      <c r="L11" s="207">
        <f>+K11</f>
        <v>0</v>
      </c>
      <c r="M11" s="207">
        <f t="shared" si="5"/>
        <v>0</v>
      </c>
      <c r="N11" s="19"/>
    </row>
    <row r="12" spans="1:16">
      <c r="A12" s="28">
        <v>9</v>
      </c>
      <c r="B12" s="29">
        <v>45786</v>
      </c>
      <c r="C12" s="19"/>
      <c r="D12" s="155"/>
      <c r="E12" s="108">
        <v>0</v>
      </c>
      <c r="F12" s="108">
        <v>0</v>
      </c>
      <c r="G12" s="207">
        <f t="shared" si="1"/>
        <v>0</v>
      </c>
      <c r="H12" s="108">
        <v>0</v>
      </c>
      <c r="I12" s="108">
        <v>0</v>
      </c>
      <c r="J12" s="207">
        <f t="shared" si="2"/>
        <v>0</v>
      </c>
      <c r="K12" s="207">
        <f t="shared" si="3"/>
        <v>0</v>
      </c>
      <c r="L12" s="207">
        <f t="shared" si="4"/>
        <v>0</v>
      </c>
      <c r="M12" s="207">
        <f t="shared" si="5"/>
        <v>0</v>
      </c>
      <c r="N12" s="19"/>
      <c r="P12">
        <f>4999.17+50339.51</f>
        <v>55338.68</v>
      </c>
    </row>
    <row r="13" spans="1:16">
      <c r="A13" s="28">
        <v>10</v>
      </c>
      <c r="B13" s="29">
        <v>45787</v>
      </c>
      <c r="C13" s="19"/>
      <c r="D13" s="155"/>
      <c r="E13" s="108">
        <v>0</v>
      </c>
      <c r="F13" s="108">
        <v>0</v>
      </c>
      <c r="G13" s="207">
        <f t="shared" si="1"/>
        <v>0</v>
      </c>
      <c r="H13" s="108">
        <v>0</v>
      </c>
      <c r="I13" s="108">
        <v>0</v>
      </c>
      <c r="J13" s="207">
        <f t="shared" si="2"/>
        <v>0</v>
      </c>
      <c r="K13" s="207">
        <f t="shared" si="3"/>
        <v>0</v>
      </c>
      <c r="L13" s="207">
        <f t="shared" si="4"/>
        <v>0</v>
      </c>
      <c r="M13" s="207">
        <f t="shared" si="5"/>
        <v>0</v>
      </c>
      <c r="N13" s="19"/>
    </row>
    <row r="14" spans="1:16">
      <c r="A14" s="28">
        <v>11</v>
      </c>
      <c r="B14" s="29">
        <v>45788</v>
      </c>
      <c r="C14" s="19"/>
      <c r="D14" s="155"/>
      <c r="E14" s="108">
        <v>0</v>
      </c>
      <c r="F14" s="108">
        <v>0</v>
      </c>
      <c r="G14" s="207">
        <f t="shared" si="1"/>
        <v>0</v>
      </c>
      <c r="H14" s="108">
        <v>0</v>
      </c>
      <c r="I14" s="108">
        <v>0</v>
      </c>
      <c r="J14" s="207">
        <f t="shared" si="2"/>
        <v>0</v>
      </c>
      <c r="K14" s="207">
        <f t="shared" si="3"/>
        <v>0</v>
      </c>
      <c r="L14" s="207">
        <f t="shared" si="4"/>
        <v>0</v>
      </c>
      <c r="M14" s="207">
        <f t="shared" si="5"/>
        <v>0</v>
      </c>
      <c r="N14" s="19"/>
    </row>
    <row r="15" spans="1:16">
      <c r="A15" s="28">
        <v>12</v>
      </c>
      <c r="B15" s="29">
        <v>45789</v>
      </c>
      <c r="C15" s="19"/>
      <c r="D15" s="155"/>
      <c r="E15" s="108">
        <v>0</v>
      </c>
      <c r="F15" s="108">
        <v>0</v>
      </c>
      <c r="G15" s="207">
        <f t="shared" si="1"/>
        <v>0</v>
      </c>
      <c r="H15" s="108">
        <v>0</v>
      </c>
      <c r="I15" s="108">
        <v>0</v>
      </c>
      <c r="J15" s="207">
        <f t="shared" si="2"/>
        <v>0</v>
      </c>
      <c r="K15" s="207">
        <f t="shared" si="3"/>
        <v>0</v>
      </c>
      <c r="L15" s="207">
        <f t="shared" si="4"/>
        <v>0</v>
      </c>
      <c r="M15" s="207">
        <f t="shared" si="5"/>
        <v>0</v>
      </c>
      <c r="N15" s="19"/>
    </row>
    <row r="16" spans="1:16">
      <c r="A16" s="28">
        <v>13</v>
      </c>
      <c r="B16" s="29">
        <v>45790</v>
      </c>
      <c r="C16" s="19"/>
      <c r="D16" s="155"/>
      <c r="E16" s="108">
        <v>0</v>
      </c>
      <c r="F16" s="108">
        <v>0</v>
      </c>
      <c r="G16" s="207">
        <f t="shared" si="1"/>
        <v>0</v>
      </c>
      <c r="H16" s="108">
        <v>6.52</v>
      </c>
      <c r="I16" s="108">
        <v>102.77</v>
      </c>
      <c r="J16" s="207">
        <f t="shared" si="2"/>
        <v>670.06039999999996</v>
      </c>
      <c r="K16" s="207">
        <f>G16+J16</f>
        <v>670.06039999999996</v>
      </c>
      <c r="L16" s="207">
        <f>+K16</f>
        <v>670.06039999999996</v>
      </c>
      <c r="M16" s="207">
        <f>+L16</f>
        <v>670.06039999999996</v>
      </c>
      <c r="N16" s="19"/>
    </row>
    <row r="17" spans="1:14">
      <c r="A17" s="28">
        <v>14</v>
      </c>
      <c r="B17" s="29">
        <v>45791</v>
      </c>
      <c r="C17" s="19"/>
      <c r="D17" s="155"/>
      <c r="E17" s="108">
        <v>45</v>
      </c>
      <c r="F17" s="108">
        <v>91.19</v>
      </c>
      <c r="G17" s="207">
        <f t="shared" si="1"/>
        <v>4103.55</v>
      </c>
      <c r="H17" s="108">
        <v>0</v>
      </c>
      <c r="I17" s="108">
        <v>0</v>
      </c>
      <c r="J17" s="207">
        <f t="shared" si="2"/>
        <v>0</v>
      </c>
      <c r="K17" s="207">
        <f t="shared" si="3"/>
        <v>4103.55</v>
      </c>
      <c r="L17" s="207">
        <f t="shared" si="4"/>
        <v>4103.55</v>
      </c>
      <c r="M17" s="207">
        <f t="shared" si="5"/>
        <v>4103.55</v>
      </c>
      <c r="N17" s="19"/>
    </row>
    <row r="18" spans="1:14">
      <c r="A18" s="28">
        <v>15</v>
      </c>
      <c r="B18" s="29">
        <v>45792</v>
      </c>
      <c r="C18" s="19"/>
      <c r="D18" s="155"/>
      <c r="E18" s="108">
        <v>0</v>
      </c>
      <c r="F18" s="108">
        <v>0</v>
      </c>
      <c r="G18" s="207">
        <f t="shared" si="1"/>
        <v>0</v>
      </c>
      <c r="H18" s="108">
        <v>0</v>
      </c>
      <c r="I18" s="108">
        <v>0</v>
      </c>
      <c r="J18" s="207">
        <f t="shared" si="2"/>
        <v>0</v>
      </c>
      <c r="K18" s="207">
        <f t="shared" si="3"/>
        <v>0</v>
      </c>
      <c r="L18" s="207">
        <f t="shared" si="4"/>
        <v>0</v>
      </c>
      <c r="M18" s="207">
        <f t="shared" si="5"/>
        <v>0</v>
      </c>
      <c r="N18" s="19"/>
    </row>
    <row r="19" spans="1:14">
      <c r="A19" s="28">
        <v>16</v>
      </c>
      <c r="B19" s="29">
        <v>45793</v>
      </c>
      <c r="C19" s="19"/>
      <c r="D19" s="155"/>
      <c r="E19" s="108">
        <v>0</v>
      </c>
      <c r="F19" s="108">
        <v>0</v>
      </c>
      <c r="G19" s="207">
        <f t="shared" si="1"/>
        <v>0</v>
      </c>
      <c r="H19" s="108">
        <v>0</v>
      </c>
      <c r="I19" s="108">
        <v>0</v>
      </c>
      <c r="J19" s="207">
        <f t="shared" si="2"/>
        <v>0</v>
      </c>
      <c r="K19" s="207">
        <f t="shared" si="3"/>
        <v>0</v>
      </c>
      <c r="L19" s="207">
        <f t="shared" si="4"/>
        <v>0</v>
      </c>
      <c r="M19" s="207">
        <f t="shared" si="5"/>
        <v>0</v>
      </c>
      <c r="N19" s="19"/>
    </row>
    <row r="20" spans="1:14">
      <c r="A20" s="28">
        <v>17</v>
      </c>
      <c r="B20" s="29">
        <v>45794</v>
      </c>
      <c r="C20" s="19"/>
      <c r="D20" s="155"/>
      <c r="E20" s="108">
        <v>20</v>
      </c>
      <c r="F20" s="108">
        <v>91.19</v>
      </c>
      <c r="G20" s="207">
        <f t="shared" si="1"/>
        <v>1823.8</v>
      </c>
      <c r="H20" s="108">
        <v>0</v>
      </c>
      <c r="I20" s="108">
        <v>0</v>
      </c>
      <c r="J20" s="207">
        <f t="shared" si="2"/>
        <v>0</v>
      </c>
      <c r="K20" s="207">
        <f t="shared" si="3"/>
        <v>1823.8</v>
      </c>
      <c r="L20" s="207">
        <f t="shared" si="4"/>
        <v>1823.8</v>
      </c>
      <c r="M20" s="207">
        <f t="shared" si="5"/>
        <v>1823.8</v>
      </c>
      <c r="N20" s="19"/>
    </row>
    <row r="21" spans="1:14">
      <c r="A21" s="28">
        <v>18</v>
      </c>
      <c r="B21" s="29">
        <v>45795</v>
      </c>
      <c r="C21" s="19"/>
      <c r="D21" s="155"/>
      <c r="E21" s="108">
        <v>0</v>
      </c>
      <c r="F21" s="108">
        <v>0</v>
      </c>
      <c r="G21" s="207">
        <f t="shared" si="1"/>
        <v>0</v>
      </c>
      <c r="H21" s="108">
        <v>0</v>
      </c>
      <c r="I21" s="108">
        <v>0</v>
      </c>
      <c r="J21" s="207">
        <f t="shared" si="2"/>
        <v>0</v>
      </c>
      <c r="K21" s="207">
        <f t="shared" si="3"/>
        <v>0</v>
      </c>
      <c r="L21" s="207">
        <f t="shared" si="4"/>
        <v>0</v>
      </c>
      <c r="M21" s="207">
        <f t="shared" si="5"/>
        <v>0</v>
      </c>
      <c r="N21" s="19"/>
    </row>
    <row r="22" spans="1:14">
      <c r="A22" s="28">
        <v>19</v>
      </c>
      <c r="B22" s="29">
        <v>45796</v>
      </c>
      <c r="C22" s="19"/>
      <c r="D22" s="155"/>
      <c r="E22" s="108">
        <v>0</v>
      </c>
      <c r="F22" s="108">
        <v>0</v>
      </c>
      <c r="G22" s="207">
        <f t="shared" si="1"/>
        <v>0</v>
      </c>
      <c r="H22" s="108">
        <v>0</v>
      </c>
      <c r="I22" s="108">
        <v>0</v>
      </c>
      <c r="J22" s="207">
        <f t="shared" si="2"/>
        <v>0</v>
      </c>
      <c r="K22" s="207">
        <f t="shared" si="3"/>
        <v>0</v>
      </c>
      <c r="L22" s="207">
        <f t="shared" si="4"/>
        <v>0</v>
      </c>
      <c r="M22" s="207">
        <f t="shared" si="5"/>
        <v>0</v>
      </c>
      <c r="N22" s="19"/>
    </row>
    <row r="23" spans="1:14">
      <c r="A23" s="28">
        <v>20</v>
      </c>
      <c r="B23" s="29">
        <v>45797</v>
      </c>
      <c r="C23" s="19"/>
      <c r="D23" s="155"/>
      <c r="E23" s="108">
        <v>84</v>
      </c>
      <c r="F23" s="108">
        <v>91.19</v>
      </c>
      <c r="G23" s="207">
        <f t="shared" si="1"/>
        <v>7659.96</v>
      </c>
      <c r="H23" s="108">
        <v>0</v>
      </c>
      <c r="I23" s="108">
        <v>0</v>
      </c>
      <c r="J23" s="207">
        <f t="shared" si="2"/>
        <v>0</v>
      </c>
      <c r="K23" s="207">
        <f>G23+J23</f>
        <v>7659.96</v>
      </c>
      <c r="L23" s="207">
        <f>H23+K23</f>
        <v>7659.96</v>
      </c>
      <c r="M23" s="207">
        <f>+L23</f>
        <v>7659.96</v>
      </c>
      <c r="N23" s="19">
        <v>0</v>
      </c>
    </row>
    <row r="24" spans="1:14">
      <c r="A24" s="28">
        <v>21</v>
      </c>
      <c r="B24" s="29">
        <v>45798</v>
      </c>
      <c r="C24" s="19"/>
      <c r="D24" s="155"/>
      <c r="E24" s="108">
        <v>20</v>
      </c>
      <c r="F24" s="108">
        <v>91.19</v>
      </c>
      <c r="G24" s="207">
        <f t="shared" si="1"/>
        <v>1823.8</v>
      </c>
      <c r="H24" s="108">
        <v>0</v>
      </c>
      <c r="I24" s="108">
        <v>0</v>
      </c>
      <c r="J24" s="207">
        <f t="shared" si="2"/>
        <v>0</v>
      </c>
      <c r="K24" s="207">
        <f t="shared" si="3"/>
        <v>1823.8</v>
      </c>
      <c r="L24" s="207">
        <f t="shared" si="4"/>
        <v>1823.8</v>
      </c>
      <c r="M24" s="207">
        <f t="shared" si="5"/>
        <v>1823.8</v>
      </c>
      <c r="N24" s="19"/>
    </row>
    <row r="25" spans="1:14">
      <c r="A25" s="28">
        <v>22</v>
      </c>
      <c r="B25" s="29">
        <v>45799</v>
      </c>
      <c r="C25" s="19"/>
      <c r="D25" s="155"/>
      <c r="E25" s="108">
        <v>20</v>
      </c>
      <c r="F25" s="108">
        <v>90.88</v>
      </c>
      <c r="G25" s="207">
        <f t="shared" si="1"/>
        <v>1817.6</v>
      </c>
      <c r="H25" s="108">
        <v>0</v>
      </c>
      <c r="I25" s="108">
        <v>0</v>
      </c>
      <c r="J25" s="207">
        <f t="shared" si="2"/>
        <v>0</v>
      </c>
      <c r="K25" s="207">
        <f t="shared" si="3"/>
        <v>1817.6</v>
      </c>
      <c r="L25" s="207">
        <f t="shared" si="4"/>
        <v>1817.6</v>
      </c>
      <c r="M25" s="207">
        <f t="shared" si="5"/>
        <v>1817.6</v>
      </c>
      <c r="N25" s="19"/>
    </row>
    <row r="26" spans="1:14">
      <c r="A26" s="28">
        <v>23</v>
      </c>
      <c r="B26" s="29">
        <v>45800</v>
      </c>
      <c r="C26" s="19"/>
      <c r="D26" s="155"/>
      <c r="E26" s="108">
        <v>20</v>
      </c>
      <c r="F26" s="108">
        <v>90.88</v>
      </c>
      <c r="G26" s="207">
        <f t="shared" si="1"/>
        <v>1817.6</v>
      </c>
      <c r="H26" s="108">
        <v>0</v>
      </c>
      <c r="I26" s="108">
        <v>0</v>
      </c>
      <c r="J26" s="207">
        <f t="shared" si="2"/>
        <v>0</v>
      </c>
      <c r="K26" s="207">
        <f t="shared" si="3"/>
        <v>1817.6</v>
      </c>
      <c r="L26" s="207">
        <f t="shared" si="4"/>
        <v>1817.6</v>
      </c>
      <c r="M26" s="207">
        <f t="shared" si="5"/>
        <v>1817.6</v>
      </c>
      <c r="N26" s="19"/>
    </row>
    <row r="27" spans="1:14">
      <c r="A27" s="28">
        <v>24</v>
      </c>
      <c r="B27" s="29">
        <v>45801</v>
      </c>
      <c r="C27" s="19"/>
      <c r="D27" s="155"/>
      <c r="E27" s="108">
        <v>40</v>
      </c>
      <c r="F27" s="108">
        <v>90.88</v>
      </c>
      <c r="G27" s="207">
        <f t="shared" si="1"/>
        <v>3635.2</v>
      </c>
      <c r="H27" s="108">
        <v>0</v>
      </c>
      <c r="I27" s="108">
        <v>0</v>
      </c>
      <c r="J27" s="207">
        <f t="shared" si="2"/>
        <v>0</v>
      </c>
      <c r="K27" s="207">
        <f t="shared" si="3"/>
        <v>3635.2</v>
      </c>
      <c r="L27" s="207">
        <f t="shared" si="4"/>
        <v>3635.2</v>
      </c>
      <c r="M27" s="207">
        <f t="shared" si="5"/>
        <v>3635.2</v>
      </c>
      <c r="N27" s="19"/>
    </row>
    <row r="28" spans="1:14">
      <c r="A28" s="28">
        <v>25</v>
      </c>
      <c r="B28" s="29">
        <v>45802</v>
      </c>
      <c r="C28" s="19"/>
      <c r="D28" s="155"/>
      <c r="E28" s="108">
        <v>40</v>
      </c>
      <c r="F28" s="108">
        <v>90.88</v>
      </c>
      <c r="G28" s="207">
        <f t="shared" si="1"/>
        <v>3635.2</v>
      </c>
      <c r="H28" s="108">
        <v>0</v>
      </c>
      <c r="I28" s="108">
        <v>0</v>
      </c>
      <c r="J28" s="207">
        <f t="shared" si="2"/>
        <v>0</v>
      </c>
      <c r="K28" s="207">
        <f t="shared" si="3"/>
        <v>3635.2</v>
      </c>
      <c r="L28" s="207">
        <f t="shared" si="4"/>
        <v>3635.2</v>
      </c>
      <c r="M28" s="207">
        <f t="shared" si="5"/>
        <v>3635.2</v>
      </c>
      <c r="N28" s="19"/>
    </row>
    <row r="29" spans="1:14">
      <c r="A29" s="28">
        <v>26</v>
      </c>
      <c r="B29" s="29">
        <v>45803</v>
      </c>
      <c r="C29" s="19"/>
      <c r="D29" s="155"/>
      <c r="E29" s="108">
        <v>60</v>
      </c>
      <c r="F29" s="108">
        <v>90.88</v>
      </c>
      <c r="G29" s="207">
        <f t="shared" si="1"/>
        <v>5452.7999999999993</v>
      </c>
      <c r="H29" s="108">
        <v>0</v>
      </c>
      <c r="I29" s="108">
        <v>0</v>
      </c>
      <c r="J29" s="207">
        <f t="shared" si="2"/>
        <v>0</v>
      </c>
      <c r="K29" s="207">
        <f t="shared" si="3"/>
        <v>5452.7999999999993</v>
      </c>
      <c r="L29" s="207">
        <f t="shared" si="4"/>
        <v>5452.7999999999993</v>
      </c>
      <c r="M29" s="207">
        <f t="shared" si="5"/>
        <v>5452.7999999999993</v>
      </c>
      <c r="N29" s="19"/>
    </row>
    <row r="30" spans="1:14">
      <c r="A30" s="28">
        <v>27</v>
      </c>
      <c r="B30" s="29">
        <v>45804</v>
      </c>
      <c r="C30" s="19"/>
      <c r="D30" s="155"/>
      <c r="E30" s="108">
        <v>20</v>
      </c>
      <c r="F30" s="108">
        <v>90.88</v>
      </c>
      <c r="G30" s="207">
        <f t="shared" si="1"/>
        <v>1817.6</v>
      </c>
      <c r="H30" s="108">
        <v>0</v>
      </c>
      <c r="I30" s="108">
        <v>0</v>
      </c>
      <c r="J30" s="207">
        <f t="shared" si="2"/>
        <v>0</v>
      </c>
      <c r="K30" s="207">
        <f t="shared" si="3"/>
        <v>1817.6</v>
      </c>
      <c r="L30" s="207">
        <f t="shared" si="4"/>
        <v>1817.6</v>
      </c>
      <c r="M30" s="207">
        <f t="shared" si="5"/>
        <v>1817.6</v>
      </c>
      <c r="N30" s="19"/>
    </row>
    <row r="31" spans="1:14">
      <c r="A31" s="28">
        <v>28</v>
      </c>
      <c r="B31" s="29">
        <v>45805</v>
      </c>
      <c r="C31" s="19"/>
      <c r="D31" s="155"/>
      <c r="E31" s="108">
        <v>33.01</v>
      </c>
      <c r="F31" s="108">
        <v>90.88</v>
      </c>
      <c r="G31" s="207">
        <f t="shared" si="1"/>
        <v>2999.9487999999997</v>
      </c>
      <c r="H31" s="108">
        <v>0</v>
      </c>
      <c r="I31" s="108">
        <v>0</v>
      </c>
      <c r="J31" s="207">
        <f t="shared" si="2"/>
        <v>0</v>
      </c>
      <c r="K31" s="207">
        <f t="shared" si="3"/>
        <v>2999.9487999999997</v>
      </c>
      <c r="L31" s="207">
        <f t="shared" si="4"/>
        <v>2999.9487999999997</v>
      </c>
      <c r="M31" s="207">
        <f t="shared" si="5"/>
        <v>2999.9487999999997</v>
      </c>
      <c r="N31" s="19"/>
    </row>
    <row r="32" spans="1:14">
      <c r="A32" s="28">
        <v>29</v>
      </c>
      <c r="B32" s="29">
        <v>45806</v>
      </c>
      <c r="C32" s="19"/>
      <c r="D32" s="155"/>
      <c r="E32" s="108">
        <v>0</v>
      </c>
      <c r="F32" s="108">
        <v>0</v>
      </c>
      <c r="G32" s="207">
        <f t="shared" si="1"/>
        <v>0</v>
      </c>
      <c r="H32" s="108">
        <v>5</v>
      </c>
      <c r="I32" s="108">
        <v>102.77</v>
      </c>
      <c r="J32" s="207">
        <f t="shared" si="2"/>
        <v>513.85</v>
      </c>
      <c r="K32" s="207">
        <f t="shared" si="3"/>
        <v>513.85</v>
      </c>
      <c r="L32" s="207">
        <f t="shared" si="4"/>
        <v>513.85</v>
      </c>
      <c r="M32" s="207">
        <f t="shared" si="5"/>
        <v>513.85</v>
      </c>
      <c r="N32" s="19"/>
    </row>
    <row r="33" spans="1:14">
      <c r="A33" s="28">
        <v>30</v>
      </c>
      <c r="B33" s="29">
        <v>45807</v>
      </c>
      <c r="C33" s="19"/>
      <c r="D33" s="155"/>
      <c r="E33" s="108">
        <v>0</v>
      </c>
      <c r="F33" s="108">
        <v>0</v>
      </c>
      <c r="G33" s="207">
        <f t="shared" si="1"/>
        <v>0</v>
      </c>
      <c r="H33" s="108">
        <v>0</v>
      </c>
      <c r="I33" s="108">
        <v>0</v>
      </c>
      <c r="J33" s="207">
        <f t="shared" si="2"/>
        <v>0</v>
      </c>
      <c r="K33" s="207">
        <f t="shared" si="3"/>
        <v>0</v>
      </c>
      <c r="L33" s="207">
        <f t="shared" si="4"/>
        <v>0</v>
      </c>
      <c r="M33" s="207">
        <f t="shared" si="5"/>
        <v>0</v>
      </c>
      <c r="N33" s="19"/>
    </row>
    <row r="34" spans="1:14">
      <c r="A34" s="28">
        <v>31</v>
      </c>
      <c r="B34" s="29">
        <v>45808</v>
      </c>
      <c r="C34" s="19"/>
      <c r="D34" s="19"/>
      <c r="E34" s="108"/>
      <c r="F34" s="108"/>
      <c r="G34" s="207"/>
      <c r="H34" s="108"/>
      <c r="I34" s="108"/>
      <c r="J34" s="207"/>
      <c r="K34" s="207"/>
      <c r="L34" s="155"/>
      <c r="M34" s="207"/>
      <c r="N34" s="19"/>
    </row>
    <row r="35" spans="1:14">
      <c r="A35" s="51"/>
      <c r="B35" s="51"/>
      <c r="C35" s="51"/>
      <c r="D35" s="51"/>
      <c r="E35" s="51">
        <f>SUM(E4:E34)</f>
        <v>402.01</v>
      </c>
      <c r="F35" s="51"/>
      <c r="G35" s="51">
        <f>SUM(G4:G34)</f>
        <v>36587.058799999999</v>
      </c>
      <c r="H35" s="51">
        <f>SUM(H4:H34)</f>
        <v>21.25</v>
      </c>
      <c r="I35" s="51"/>
      <c r="J35" s="51">
        <f>SUM(J4:J34)</f>
        <v>2183.1813999999999</v>
      </c>
      <c r="K35" s="51">
        <f>SUM(K4:K34)</f>
        <v>38770.240199999993</v>
      </c>
      <c r="L35" s="51"/>
      <c r="M35" s="51">
        <f>SUM(M4:M34)</f>
        <v>38770.240199999993</v>
      </c>
      <c r="N35" s="51"/>
    </row>
    <row r="37" spans="1:14">
      <c r="K37" s="24"/>
    </row>
  </sheetData>
  <mergeCells count="1"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3" activePane="bottomLeft" state="frozen"/>
      <selection pane="bottomLeft" activeCell="A24" sqref="A24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76" t="s">
        <v>159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</row>
    <row r="2" spans="1:14">
      <c r="A2" s="77" t="s">
        <v>99</v>
      </c>
      <c r="B2" s="77" t="s">
        <v>100</v>
      </c>
      <c r="C2" s="77" t="s">
        <v>101</v>
      </c>
      <c r="D2" s="77" t="s">
        <v>102</v>
      </c>
      <c r="E2" s="106" t="s">
        <v>103</v>
      </c>
      <c r="F2" s="106" t="s">
        <v>104</v>
      </c>
      <c r="G2" s="106" t="s">
        <v>105</v>
      </c>
      <c r="H2" s="106" t="s">
        <v>106</v>
      </c>
      <c r="I2" s="106" t="s">
        <v>104</v>
      </c>
      <c r="J2" s="106" t="s">
        <v>105</v>
      </c>
      <c r="K2" s="106" t="s">
        <v>107</v>
      </c>
      <c r="L2" s="99" t="s">
        <v>108</v>
      </c>
      <c r="M2" s="99" t="s">
        <v>115</v>
      </c>
      <c r="N2" s="77" t="s">
        <v>110</v>
      </c>
    </row>
    <row r="3" spans="1:14">
      <c r="A3" s="477" t="s">
        <v>111</v>
      </c>
      <c r="B3" s="477"/>
      <c r="C3" s="477"/>
      <c r="D3" s="477"/>
      <c r="E3" s="477"/>
      <c r="F3" s="477"/>
      <c r="G3" s="477"/>
      <c r="H3" s="477"/>
      <c r="I3" s="477"/>
      <c r="J3" s="477"/>
      <c r="K3" s="205">
        <v>0</v>
      </c>
      <c r="L3" s="117"/>
      <c r="M3" s="117">
        <f>+K3</f>
        <v>0</v>
      </c>
    </row>
    <row r="4" spans="1:14">
      <c r="A4" s="28">
        <v>1</v>
      </c>
      <c r="B4" s="29">
        <v>45778</v>
      </c>
      <c r="C4" s="6"/>
      <c r="D4" s="6"/>
      <c r="E4" s="53">
        <v>0</v>
      </c>
      <c r="F4" s="53">
        <v>0</v>
      </c>
      <c r="G4" s="79">
        <f>E4*F4</f>
        <v>0</v>
      </c>
      <c r="H4" s="53">
        <v>6.2</v>
      </c>
      <c r="I4" s="53">
        <v>103.96</v>
      </c>
      <c r="J4" s="79">
        <f>H4*I4</f>
        <v>644.55200000000002</v>
      </c>
      <c r="K4" s="79">
        <f>G4+J4</f>
        <v>644.55200000000002</v>
      </c>
      <c r="L4" s="79">
        <f>+K4</f>
        <v>644.55200000000002</v>
      </c>
      <c r="M4" s="79">
        <f>M3+K4-L4</f>
        <v>0</v>
      </c>
      <c r="N4" s="6" t="s">
        <v>129</v>
      </c>
    </row>
    <row r="5" spans="1:14">
      <c r="A5" s="28">
        <v>2</v>
      </c>
      <c r="B5" s="29">
        <v>45779</v>
      </c>
      <c r="C5" s="6"/>
      <c r="D5" s="6"/>
      <c r="E5" s="53">
        <v>0</v>
      </c>
      <c r="F5" s="53">
        <v>0</v>
      </c>
      <c r="G5" s="79">
        <f t="shared" ref="G5:G34" si="0">E5*F5</f>
        <v>0</v>
      </c>
      <c r="H5" s="53">
        <v>0</v>
      </c>
      <c r="I5" s="53">
        <v>0</v>
      </c>
      <c r="J5" s="79">
        <f t="shared" ref="J5:J34" si="1">H5*I5</f>
        <v>0</v>
      </c>
      <c r="K5" s="79">
        <f t="shared" ref="K5:K34" si="2">G5+J5</f>
        <v>0</v>
      </c>
      <c r="L5" s="79">
        <f t="shared" ref="L5:L34" si="3">+K5</f>
        <v>0</v>
      </c>
      <c r="M5" s="79">
        <f t="shared" ref="M5:M31" si="4">M4+K5-L5</f>
        <v>0</v>
      </c>
      <c r="N5" s="6"/>
    </row>
    <row r="6" spans="1:14">
      <c r="A6" s="28">
        <v>3</v>
      </c>
      <c r="B6" s="29">
        <v>45780</v>
      </c>
      <c r="C6" s="6"/>
      <c r="D6" s="6"/>
      <c r="E6" s="53">
        <v>30</v>
      </c>
      <c r="F6" s="53">
        <v>91.92</v>
      </c>
      <c r="G6" s="79">
        <f t="shared" si="0"/>
        <v>2757.6</v>
      </c>
      <c r="H6" s="53">
        <v>0</v>
      </c>
      <c r="I6" s="53">
        <v>0</v>
      </c>
      <c r="J6" s="79">
        <f t="shared" si="1"/>
        <v>0</v>
      </c>
      <c r="K6" s="79">
        <f t="shared" si="2"/>
        <v>2757.6</v>
      </c>
      <c r="L6" s="79">
        <f t="shared" si="3"/>
        <v>2757.6</v>
      </c>
      <c r="M6" s="79">
        <f t="shared" si="4"/>
        <v>0</v>
      </c>
      <c r="N6" s="6"/>
    </row>
    <row r="7" spans="1:14">
      <c r="A7" s="28">
        <v>4</v>
      </c>
      <c r="B7" s="29">
        <v>45781</v>
      </c>
      <c r="C7" s="6"/>
      <c r="D7" s="6"/>
      <c r="E7" s="53">
        <v>44.83</v>
      </c>
      <c r="F7" s="53">
        <v>91.92</v>
      </c>
      <c r="G7" s="79">
        <f t="shared" si="0"/>
        <v>4120.7735999999995</v>
      </c>
      <c r="H7" s="53">
        <v>0</v>
      </c>
      <c r="I7" s="53">
        <v>0</v>
      </c>
      <c r="J7" s="79">
        <f t="shared" si="1"/>
        <v>0</v>
      </c>
      <c r="K7" s="79">
        <f t="shared" si="2"/>
        <v>4120.7735999999995</v>
      </c>
      <c r="L7" s="79">
        <f t="shared" si="3"/>
        <v>4120.7735999999995</v>
      </c>
      <c r="M7" s="79">
        <f t="shared" si="4"/>
        <v>0</v>
      </c>
      <c r="N7" s="6"/>
    </row>
    <row r="8" spans="1:14">
      <c r="A8" s="28">
        <v>5</v>
      </c>
      <c r="B8" s="29">
        <v>45782</v>
      </c>
      <c r="C8" s="6"/>
      <c r="D8" s="6"/>
      <c r="E8" s="53">
        <v>80</v>
      </c>
      <c r="F8" s="53">
        <v>91.92</v>
      </c>
      <c r="G8" s="79">
        <f t="shared" si="0"/>
        <v>7353.6</v>
      </c>
      <c r="H8" s="53">
        <v>5.87</v>
      </c>
      <c r="I8" s="53">
        <v>103.96</v>
      </c>
      <c r="J8" s="79">
        <f t="shared" si="1"/>
        <v>610.24519999999995</v>
      </c>
      <c r="K8" s="79">
        <f t="shared" si="2"/>
        <v>7963.8452000000007</v>
      </c>
      <c r="L8" s="79">
        <f t="shared" si="3"/>
        <v>7963.8452000000007</v>
      </c>
      <c r="M8" s="79">
        <f t="shared" si="4"/>
        <v>0</v>
      </c>
      <c r="N8" s="6"/>
    </row>
    <row r="9" spans="1:14">
      <c r="A9" s="28">
        <v>6</v>
      </c>
      <c r="B9" s="29">
        <v>45783</v>
      </c>
      <c r="C9" s="6"/>
      <c r="D9" s="6"/>
      <c r="E9" s="53">
        <v>40</v>
      </c>
      <c r="F9" s="53">
        <v>91.92</v>
      </c>
      <c r="G9" s="79">
        <f t="shared" si="0"/>
        <v>3676.8</v>
      </c>
      <c r="H9" s="53">
        <v>10</v>
      </c>
      <c r="I9" s="53">
        <v>103.96</v>
      </c>
      <c r="J9" s="79">
        <f t="shared" si="1"/>
        <v>1039.5999999999999</v>
      </c>
      <c r="K9" s="79">
        <f t="shared" si="2"/>
        <v>4716.3999999999996</v>
      </c>
      <c r="L9" s="79">
        <f t="shared" si="3"/>
        <v>4716.3999999999996</v>
      </c>
      <c r="M9" s="79">
        <f t="shared" si="4"/>
        <v>0</v>
      </c>
      <c r="N9" s="6"/>
    </row>
    <row r="10" spans="1:14">
      <c r="A10" s="28">
        <v>7</v>
      </c>
      <c r="B10" s="29">
        <v>45784</v>
      </c>
      <c r="C10" s="6"/>
      <c r="D10" s="6"/>
      <c r="E10" s="53">
        <v>0</v>
      </c>
      <c r="F10" s="53">
        <v>0</v>
      </c>
      <c r="G10" s="79">
        <f t="shared" si="0"/>
        <v>0</v>
      </c>
      <c r="H10" s="53">
        <v>6.74</v>
      </c>
      <c r="I10" s="53">
        <v>103.96</v>
      </c>
      <c r="J10" s="79">
        <f t="shared" si="1"/>
        <v>700.69039999999995</v>
      </c>
      <c r="K10" s="79">
        <f t="shared" si="2"/>
        <v>700.69039999999995</v>
      </c>
      <c r="L10" s="79">
        <f t="shared" si="3"/>
        <v>700.69039999999995</v>
      </c>
      <c r="M10" s="79">
        <f t="shared" si="4"/>
        <v>0</v>
      </c>
      <c r="N10" s="6"/>
    </row>
    <row r="11" spans="1:14">
      <c r="A11" s="28">
        <v>8</v>
      </c>
      <c r="B11" s="29">
        <v>45785</v>
      </c>
      <c r="C11" s="6"/>
      <c r="D11" s="6"/>
      <c r="E11" s="53">
        <v>61.36</v>
      </c>
      <c r="F11" s="53">
        <v>91.92</v>
      </c>
      <c r="G11" s="79">
        <f t="shared" si="0"/>
        <v>5640.2111999999997</v>
      </c>
      <c r="H11" s="53">
        <v>0</v>
      </c>
      <c r="I11" s="53">
        <v>103.96</v>
      </c>
      <c r="J11" s="79">
        <f t="shared" si="1"/>
        <v>0</v>
      </c>
      <c r="K11" s="79">
        <f t="shared" si="2"/>
        <v>5640.2111999999997</v>
      </c>
      <c r="L11" s="79">
        <f t="shared" si="3"/>
        <v>5640.2111999999997</v>
      </c>
      <c r="M11" s="79">
        <f t="shared" si="4"/>
        <v>0</v>
      </c>
      <c r="N11" s="6"/>
    </row>
    <row r="12" spans="1:14">
      <c r="A12" s="28">
        <v>9</v>
      </c>
      <c r="B12" s="29">
        <v>45786</v>
      </c>
      <c r="C12" s="6"/>
      <c r="D12" s="6"/>
      <c r="E12" s="53">
        <v>50</v>
      </c>
      <c r="F12" s="53">
        <v>91.92</v>
      </c>
      <c r="G12" s="79">
        <f t="shared" si="0"/>
        <v>4596</v>
      </c>
      <c r="H12" s="53">
        <v>5.0999999999999996</v>
      </c>
      <c r="I12" s="53">
        <v>103.96</v>
      </c>
      <c r="J12" s="79">
        <f t="shared" si="1"/>
        <v>530.19599999999991</v>
      </c>
      <c r="K12" s="79">
        <f t="shared" si="2"/>
        <v>5126.1959999999999</v>
      </c>
      <c r="L12" s="79">
        <f t="shared" si="3"/>
        <v>5126.1959999999999</v>
      </c>
      <c r="M12" s="79">
        <f t="shared" si="4"/>
        <v>0</v>
      </c>
      <c r="N12" s="6"/>
    </row>
    <row r="13" spans="1:14">
      <c r="A13" s="28">
        <v>10</v>
      </c>
      <c r="B13" s="29">
        <v>45787</v>
      </c>
      <c r="C13" s="6"/>
      <c r="D13" s="6"/>
      <c r="E13" s="53">
        <v>79.319999999999993</v>
      </c>
      <c r="F13" s="53">
        <v>91.92</v>
      </c>
      <c r="G13" s="79">
        <f t="shared" si="0"/>
        <v>7291.0944</v>
      </c>
      <c r="H13" s="53">
        <v>0</v>
      </c>
      <c r="I13" s="53">
        <v>0</v>
      </c>
      <c r="J13" s="79">
        <f t="shared" si="1"/>
        <v>0</v>
      </c>
      <c r="K13" s="79">
        <f t="shared" si="2"/>
        <v>7291.0944</v>
      </c>
      <c r="L13" s="79">
        <f t="shared" si="3"/>
        <v>7291.0944</v>
      </c>
      <c r="M13" s="79">
        <f t="shared" si="4"/>
        <v>0</v>
      </c>
      <c r="N13" s="6"/>
    </row>
    <row r="14" spans="1:14">
      <c r="A14" s="28">
        <v>11</v>
      </c>
      <c r="B14" s="29">
        <v>45788</v>
      </c>
      <c r="C14" s="6"/>
      <c r="D14" s="6"/>
      <c r="E14" s="53">
        <v>0</v>
      </c>
      <c r="F14" s="53">
        <v>0</v>
      </c>
      <c r="G14" s="79">
        <f t="shared" si="0"/>
        <v>0</v>
      </c>
      <c r="H14" s="53">
        <v>7.22</v>
      </c>
      <c r="I14" s="53">
        <v>103.96</v>
      </c>
      <c r="J14" s="79">
        <f t="shared" si="1"/>
        <v>750.59119999999996</v>
      </c>
      <c r="K14" s="79">
        <f t="shared" si="2"/>
        <v>750.59119999999996</v>
      </c>
      <c r="L14" s="79">
        <f t="shared" si="3"/>
        <v>750.59119999999996</v>
      </c>
      <c r="M14" s="79">
        <f t="shared" si="4"/>
        <v>0</v>
      </c>
      <c r="N14" s="6"/>
    </row>
    <row r="15" spans="1:14">
      <c r="A15" s="28">
        <v>12</v>
      </c>
      <c r="B15" s="29">
        <v>45789</v>
      </c>
      <c r="C15" s="6"/>
      <c r="D15" s="6"/>
      <c r="E15" s="53">
        <v>40</v>
      </c>
      <c r="F15" s="53">
        <v>91.92</v>
      </c>
      <c r="G15" s="79">
        <f t="shared" si="0"/>
        <v>3676.8</v>
      </c>
      <c r="H15" s="53">
        <v>0</v>
      </c>
      <c r="I15" s="53">
        <v>0</v>
      </c>
      <c r="J15" s="79">
        <f t="shared" si="1"/>
        <v>0</v>
      </c>
      <c r="K15" s="79">
        <f t="shared" si="2"/>
        <v>3676.8</v>
      </c>
      <c r="L15" s="79">
        <f t="shared" si="3"/>
        <v>3676.8</v>
      </c>
      <c r="M15" s="79">
        <f t="shared" si="4"/>
        <v>0</v>
      </c>
      <c r="N15" s="6"/>
    </row>
    <row r="16" spans="1:14">
      <c r="A16" s="28">
        <v>13</v>
      </c>
      <c r="B16" s="29">
        <v>45790</v>
      </c>
      <c r="C16" s="6"/>
      <c r="D16" s="6"/>
      <c r="E16" s="53">
        <v>0</v>
      </c>
      <c r="F16" s="53">
        <v>0</v>
      </c>
      <c r="G16" s="79">
        <f t="shared" si="0"/>
        <v>0</v>
      </c>
      <c r="H16" s="53">
        <v>0</v>
      </c>
      <c r="I16" s="53">
        <v>0</v>
      </c>
      <c r="J16" s="79">
        <f t="shared" si="1"/>
        <v>0</v>
      </c>
      <c r="K16" s="79">
        <f t="shared" si="2"/>
        <v>0</v>
      </c>
      <c r="L16" s="79">
        <f t="shared" si="3"/>
        <v>0</v>
      </c>
      <c r="M16" s="79">
        <f t="shared" si="4"/>
        <v>0</v>
      </c>
      <c r="N16" s="6"/>
    </row>
    <row r="17" spans="1:14">
      <c r="A17" s="28">
        <v>14</v>
      </c>
      <c r="B17" s="29">
        <v>45791</v>
      </c>
      <c r="C17" s="204"/>
      <c r="D17" s="6"/>
      <c r="E17" s="53">
        <v>40</v>
      </c>
      <c r="F17" s="53">
        <v>91.92</v>
      </c>
      <c r="G17" s="79">
        <f t="shared" si="0"/>
        <v>3676.8</v>
      </c>
      <c r="H17" s="53">
        <v>0</v>
      </c>
      <c r="I17" s="53">
        <v>0</v>
      </c>
      <c r="J17" s="79">
        <f t="shared" si="1"/>
        <v>0</v>
      </c>
      <c r="K17" s="79">
        <f t="shared" si="2"/>
        <v>3676.8</v>
      </c>
      <c r="L17" s="79">
        <f t="shared" si="3"/>
        <v>3676.8</v>
      </c>
      <c r="M17" s="79">
        <f t="shared" si="4"/>
        <v>0</v>
      </c>
      <c r="N17" s="6"/>
    </row>
    <row r="18" spans="1:14">
      <c r="A18" s="28">
        <v>15</v>
      </c>
      <c r="B18" s="29">
        <v>45792</v>
      </c>
      <c r="C18" s="204"/>
      <c r="D18" s="6"/>
      <c r="E18" s="53">
        <v>97</v>
      </c>
      <c r="F18" s="53">
        <v>91.92</v>
      </c>
      <c r="G18" s="79">
        <f t="shared" si="0"/>
        <v>8916.24</v>
      </c>
      <c r="H18" s="53">
        <v>0</v>
      </c>
      <c r="I18" s="53">
        <v>0</v>
      </c>
      <c r="J18" s="79">
        <f t="shared" si="1"/>
        <v>0</v>
      </c>
      <c r="K18" s="79">
        <f t="shared" si="2"/>
        <v>8916.24</v>
      </c>
      <c r="L18" s="79">
        <f t="shared" si="3"/>
        <v>8916.24</v>
      </c>
      <c r="M18" s="79">
        <f t="shared" si="4"/>
        <v>0</v>
      </c>
      <c r="N18" s="6"/>
    </row>
    <row r="19" spans="1:14">
      <c r="A19" s="28">
        <v>16</v>
      </c>
      <c r="B19" s="29">
        <v>45793</v>
      </c>
      <c r="C19" s="204"/>
      <c r="D19" s="6"/>
      <c r="E19" s="53">
        <v>20</v>
      </c>
      <c r="F19" s="53">
        <v>91.92</v>
      </c>
      <c r="G19" s="79">
        <f t="shared" si="0"/>
        <v>1838.4</v>
      </c>
      <c r="H19" s="53">
        <v>0</v>
      </c>
      <c r="I19" s="53">
        <v>0</v>
      </c>
      <c r="J19" s="79">
        <f t="shared" si="1"/>
        <v>0</v>
      </c>
      <c r="K19" s="79">
        <f t="shared" si="2"/>
        <v>1838.4</v>
      </c>
      <c r="L19" s="79">
        <f t="shared" si="3"/>
        <v>1838.4</v>
      </c>
      <c r="M19" s="79">
        <f t="shared" si="4"/>
        <v>0</v>
      </c>
      <c r="N19" s="6"/>
    </row>
    <row r="20" spans="1:14">
      <c r="A20" s="28">
        <v>17</v>
      </c>
      <c r="B20" s="29">
        <v>45794</v>
      </c>
      <c r="C20" s="204"/>
      <c r="D20" s="6"/>
      <c r="E20" s="53">
        <v>20</v>
      </c>
      <c r="F20" s="53">
        <v>91.92</v>
      </c>
      <c r="G20" s="79">
        <f t="shared" si="0"/>
        <v>1838.4</v>
      </c>
      <c r="H20" s="53">
        <v>0</v>
      </c>
      <c r="I20" s="53">
        <v>0</v>
      </c>
      <c r="J20" s="79">
        <f t="shared" si="1"/>
        <v>0</v>
      </c>
      <c r="K20" s="79">
        <f t="shared" si="2"/>
        <v>1838.4</v>
      </c>
      <c r="L20" s="79">
        <f t="shared" si="3"/>
        <v>1838.4</v>
      </c>
      <c r="M20" s="79">
        <f t="shared" si="4"/>
        <v>0</v>
      </c>
      <c r="N20" s="6"/>
    </row>
    <row r="21" spans="1:14">
      <c r="A21" s="28">
        <v>18</v>
      </c>
      <c r="B21" s="29">
        <v>45795</v>
      </c>
      <c r="C21" s="204"/>
      <c r="D21" s="6"/>
      <c r="E21" s="53">
        <v>97.82</v>
      </c>
      <c r="F21" s="53">
        <v>91.92</v>
      </c>
      <c r="G21" s="79">
        <f t="shared" si="0"/>
        <v>8991.6144000000004</v>
      </c>
      <c r="H21" s="53">
        <v>0</v>
      </c>
      <c r="I21" s="53">
        <v>0</v>
      </c>
      <c r="J21" s="79">
        <f t="shared" si="1"/>
        <v>0</v>
      </c>
      <c r="K21" s="79">
        <f t="shared" si="2"/>
        <v>8991.6144000000004</v>
      </c>
      <c r="L21" s="79">
        <f t="shared" si="3"/>
        <v>8991.6144000000004</v>
      </c>
      <c r="M21" s="79">
        <f t="shared" si="4"/>
        <v>0</v>
      </c>
      <c r="N21" s="6"/>
    </row>
    <row r="22" spans="1:14">
      <c r="A22" s="28">
        <v>19</v>
      </c>
      <c r="B22" s="29">
        <v>45796</v>
      </c>
      <c r="C22" s="204"/>
      <c r="D22" s="6"/>
      <c r="E22" s="53">
        <v>0</v>
      </c>
      <c r="F22" s="53">
        <v>0</v>
      </c>
      <c r="G22" s="79">
        <f t="shared" si="0"/>
        <v>0</v>
      </c>
      <c r="H22" s="53">
        <v>6.33</v>
      </c>
      <c r="I22" s="53">
        <v>103.96</v>
      </c>
      <c r="J22" s="79">
        <f t="shared" si="1"/>
        <v>658.06679999999994</v>
      </c>
      <c r="K22" s="79">
        <f t="shared" si="2"/>
        <v>658.06679999999994</v>
      </c>
      <c r="L22" s="79">
        <f t="shared" si="3"/>
        <v>658.06679999999994</v>
      </c>
      <c r="M22" s="79">
        <f t="shared" si="4"/>
        <v>0</v>
      </c>
      <c r="N22" s="6"/>
    </row>
    <row r="23" spans="1:14">
      <c r="A23" s="28">
        <v>20</v>
      </c>
      <c r="B23" s="29">
        <v>45797</v>
      </c>
      <c r="C23" s="204"/>
      <c r="D23" s="6"/>
      <c r="E23" s="53">
        <v>60</v>
      </c>
      <c r="F23" s="53">
        <v>91.92</v>
      </c>
      <c r="G23" s="79">
        <f t="shared" si="0"/>
        <v>5515.2</v>
      </c>
      <c r="H23" s="53">
        <v>0</v>
      </c>
      <c r="I23" s="53">
        <v>0</v>
      </c>
      <c r="J23" s="79">
        <f t="shared" si="1"/>
        <v>0</v>
      </c>
      <c r="K23" s="79">
        <f t="shared" si="2"/>
        <v>5515.2</v>
      </c>
      <c r="L23" s="79">
        <f t="shared" si="3"/>
        <v>5515.2</v>
      </c>
      <c r="M23" s="79">
        <f t="shared" si="4"/>
        <v>0</v>
      </c>
      <c r="N23" s="6"/>
    </row>
    <row r="24" spans="1:14">
      <c r="A24" s="28">
        <v>21</v>
      </c>
      <c r="B24" s="29">
        <v>45798</v>
      </c>
      <c r="C24" s="204"/>
      <c r="D24" s="6"/>
      <c r="E24" s="53">
        <v>0</v>
      </c>
      <c r="F24" s="53">
        <v>0</v>
      </c>
      <c r="G24" s="79">
        <f t="shared" si="0"/>
        <v>0</v>
      </c>
      <c r="H24" s="53">
        <v>0</v>
      </c>
      <c r="I24" s="53">
        <v>0</v>
      </c>
      <c r="J24" s="79">
        <f t="shared" si="1"/>
        <v>0</v>
      </c>
      <c r="K24" s="79">
        <f t="shared" si="2"/>
        <v>0</v>
      </c>
      <c r="L24" s="79">
        <f t="shared" si="3"/>
        <v>0</v>
      </c>
      <c r="M24" s="79">
        <f t="shared" si="4"/>
        <v>0</v>
      </c>
      <c r="N24" s="6"/>
    </row>
    <row r="25" spans="1:14">
      <c r="A25" s="28">
        <v>22</v>
      </c>
      <c r="B25" s="29">
        <v>45799</v>
      </c>
      <c r="C25" s="204"/>
      <c r="D25" s="6"/>
      <c r="E25" s="53">
        <v>45</v>
      </c>
      <c r="F25" s="53">
        <v>91.92</v>
      </c>
      <c r="G25" s="79">
        <f t="shared" si="0"/>
        <v>4136.3999999999996</v>
      </c>
      <c r="H25" s="53">
        <v>0</v>
      </c>
      <c r="I25" s="53">
        <v>0</v>
      </c>
      <c r="J25" s="79">
        <f t="shared" si="1"/>
        <v>0</v>
      </c>
      <c r="K25" s="79">
        <f t="shared" si="2"/>
        <v>4136.3999999999996</v>
      </c>
      <c r="L25" s="79">
        <f t="shared" si="3"/>
        <v>4136.3999999999996</v>
      </c>
      <c r="M25" s="79">
        <f t="shared" si="4"/>
        <v>0</v>
      </c>
      <c r="N25" s="6"/>
    </row>
    <row r="26" spans="1:14">
      <c r="A26" s="28">
        <v>23</v>
      </c>
      <c r="B26" s="29">
        <v>45800</v>
      </c>
      <c r="C26" s="204"/>
      <c r="D26" s="6"/>
      <c r="E26" s="53">
        <v>0</v>
      </c>
      <c r="F26" s="53">
        <v>0</v>
      </c>
      <c r="G26" s="79">
        <f t="shared" si="0"/>
        <v>0</v>
      </c>
      <c r="H26" s="53">
        <v>7.07</v>
      </c>
      <c r="I26" s="53">
        <v>103.96</v>
      </c>
      <c r="J26" s="79">
        <f t="shared" si="1"/>
        <v>734.99720000000002</v>
      </c>
      <c r="K26" s="79">
        <f t="shared" si="2"/>
        <v>734.99720000000002</v>
      </c>
      <c r="L26" s="79">
        <f t="shared" si="3"/>
        <v>734.99720000000002</v>
      </c>
      <c r="M26" s="79">
        <f t="shared" si="4"/>
        <v>0</v>
      </c>
      <c r="N26" s="6"/>
    </row>
    <row r="27" spans="1:14">
      <c r="A27" s="28">
        <v>24</v>
      </c>
      <c r="B27" s="29">
        <v>45801</v>
      </c>
      <c r="C27" s="204"/>
      <c r="D27" s="6"/>
      <c r="E27" s="53">
        <v>0</v>
      </c>
      <c r="F27" s="53">
        <v>0</v>
      </c>
      <c r="G27" s="79">
        <f t="shared" si="0"/>
        <v>0</v>
      </c>
      <c r="H27" s="53">
        <v>4.8099999999999996</v>
      </c>
      <c r="I27" s="53">
        <v>103.96</v>
      </c>
      <c r="J27" s="79">
        <f t="shared" si="1"/>
        <v>500.04759999999993</v>
      </c>
      <c r="K27" s="79">
        <f t="shared" si="2"/>
        <v>500.04759999999993</v>
      </c>
      <c r="L27" s="79">
        <f t="shared" si="3"/>
        <v>500.04759999999993</v>
      </c>
      <c r="M27" s="79">
        <f t="shared" si="4"/>
        <v>0</v>
      </c>
      <c r="N27" s="6"/>
    </row>
    <row r="28" spans="1:14">
      <c r="A28" s="28">
        <v>25</v>
      </c>
      <c r="B28" s="29">
        <v>45802</v>
      </c>
      <c r="C28" s="204"/>
      <c r="D28" s="6"/>
      <c r="E28" s="53">
        <v>55</v>
      </c>
      <c r="F28" s="53">
        <v>91.92</v>
      </c>
      <c r="G28" s="79">
        <f t="shared" si="0"/>
        <v>5055.6000000000004</v>
      </c>
      <c r="H28" s="53">
        <v>0</v>
      </c>
      <c r="I28" s="53">
        <v>0</v>
      </c>
      <c r="J28" s="79">
        <f t="shared" si="1"/>
        <v>0</v>
      </c>
      <c r="K28" s="79">
        <f t="shared" si="2"/>
        <v>5055.6000000000004</v>
      </c>
      <c r="L28" s="79">
        <f t="shared" si="3"/>
        <v>5055.6000000000004</v>
      </c>
      <c r="M28" s="79">
        <f t="shared" si="4"/>
        <v>0</v>
      </c>
      <c r="N28" s="6"/>
    </row>
    <row r="29" spans="1:14">
      <c r="A29" s="28">
        <v>26</v>
      </c>
      <c r="B29" s="29">
        <v>45803</v>
      </c>
      <c r="C29" s="204"/>
      <c r="D29" s="6"/>
      <c r="E29" s="53">
        <v>0</v>
      </c>
      <c r="F29" s="53">
        <v>0</v>
      </c>
      <c r="G29" s="79">
        <f t="shared" si="0"/>
        <v>0</v>
      </c>
      <c r="H29" s="53">
        <v>0</v>
      </c>
      <c r="I29" s="53">
        <v>0</v>
      </c>
      <c r="J29" s="79">
        <f t="shared" si="1"/>
        <v>0</v>
      </c>
      <c r="K29" s="79">
        <f t="shared" si="2"/>
        <v>0</v>
      </c>
      <c r="L29" s="79">
        <f t="shared" si="3"/>
        <v>0</v>
      </c>
      <c r="M29" s="79">
        <f t="shared" si="4"/>
        <v>0</v>
      </c>
      <c r="N29" s="6"/>
    </row>
    <row r="30" spans="1:14">
      <c r="A30" s="28">
        <v>27</v>
      </c>
      <c r="B30" s="29">
        <v>45804</v>
      </c>
      <c r="C30" s="204"/>
      <c r="D30" s="6"/>
      <c r="E30" s="53">
        <v>60</v>
      </c>
      <c r="F30" s="53">
        <v>91.92</v>
      </c>
      <c r="G30" s="79">
        <f t="shared" si="0"/>
        <v>5515.2</v>
      </c>
      <c r="H30" s="53">
        <v>5.8</v>
      </c>
      <c r="I30" s="53">
        <v>103.96</v>
      </c>
      <c r="J30" s="79">
        <f t="shared" si="1"/>
        <v>602.96799999999996</v>
      </c>
      <c r="K30" s="79">
        <f t="shared" si="2"/>
        <v>6118.1679999999997</v>
      </c>
      <c r="L30" s="79">
        <f t="shared" si="3"/>
        <v>6118.1679999999997</v>
      </c>
      <c r="M30" s="79">
        <f t="shared" si="4"/>
        <v>0</v>
      </c>
      <c r="N30" s="6"/>
    </row>
    <row r="31" spans="1:14">
      <c r="A31" s="266">
        <v>28</v>
      </c>
      <c r="B31" s="29">
        <v>45805</v>
      </c>
      <c r="C31" s="204"/>
      <c r="D31" s="6"/>
      <c r="E31" s="53">
        <v>100</v>
      </c>
      <c r="F31" s="53">
        <v>91.92</v>
      </c>
      <c r="G31" s="79">
        <f t="shared" si="0"/>
        <v>9192</v>
      </c>
      <c r="H31" s="53">
        <v>0</v>
      </c>
      <c r="I31" s="53">
        <v>0</v>
      </c>
      <c r="J31" s="79">
        <f t="shared" si="1"/>
        <v>0</v>
      </c>
      <c r="K31" s="79">
        <f t="shared" si="2"/>
        <v>9192</v>
      </c>
      <c r="L31" s="79">
        <f t="shared" si="3"/>
        <v>9192</v>
      </c>
      <c r="M31" s="79">
        <f t="shared" si="4"/>
        <v>0</v>
      </c>
      <c r="N31" s="6"/>
    </row>
    <row r="32" spans="1:14">
      <c r="A32" s="28">
        <v>29</v>
      </c>
      <c r="B32" s="29">
        <v>45806</v>
      </c>
      <c r="C32" s="204"/>
      <c r="D32" s="6"/>
      <c r="E32" s="53">
        <v>0</v>
      </c>
      <c r="F32" s="53">
        <v>0</v>
      </c>
      <c r="G32" s="79">
        <f t="shared" si="0"/>
        <v>0</v>
      </c>
      <c r="H32" s="53">
        <v>6</v>
      </c>
      <c r="I32" s="53">
        <v>103.96</v>
      </c>
      <c r="J32" s="79">
        <f t="shared" si="1"/>
        <v>623.76</v>
      </c>
      <c r="K32" s="79">
        <f t="shared" si="2"/>
        <v>623.76</v>
      </c>
      <c r="L32" s="79">
        <f t="shared" si="3"/>
        <v>623.76</v>
      </c>
      <c r="M32" s="79">
        <f t="shared" ref="M32:M34" si="5">M31+K32-L32</f>
        <v>0</v>
      </c>
      <c r="N32" s="6"/>
    </row>
    <row r="33" spans="1:14">
      <c r="A33" s="28">
        <v>30</v>
      </c>
      <c r="B33" s="29">
        <v>45807</v>
      </c>
      <c r="C33" s="204"/>
      <c r="D33" s="6"/>
      <c r="E33" s="53">
        <v>60</v>
      </c>
      <c r="F33" s="53">
        <v>91.92</v>
      </c>
      <c r="G33" s="79">
        <f t="shared" si="0"/>
        <v>5515.2</v>
      </c>
      <c r="H33" s="53">
        <v>0</v>
      </c>
      <c r="I33" s="53">
        <v>0</v>
      </c>
      <c r="J33" s="79">
        <f t="shared" si="1"/>
        <v>0</v>
      </c>
      <c r="K33" s="79">
        <f t="shared" si="2"/>
        <v>5515.2</v>
      </c>
      <c r="L33" s="79">
        <f t="shared" si="3"/>
        <v>5515.2</v>
      </c>
      <c r="M33" s="79">
        <f t="shared" si="5"/>
        <v>0</v>
      </c>
      <c r="N33" s="6"/>
    </row>
    <row r="34" spans="1:14">
      <c r="A34" s="28">
        <v>31</v>
      </c>
      <c r="B34" s="29">
        <v>45808</v>
      </c>
      <c r="C34" s="204"/>
      <c r="D34" s="6"/>
      <c r="E34" s="53">
        <v>0</v>
      </c>
      <c r="F34" s="53">
        <v>0</v>
      </c>
      <c r="G34" s="79">
        <f t="shared" si="0"/>
        <v>0</v>
      </c>
      <c r="H34" s="53">
        <v>5.0999999999999996</v>
      </c>
      <c r="I34" s="53">
        <v>103.91</v>
      </c>
      <c r="J34" s="79">
        <f t="shared" si="1"/>
        <v>529.94099999999992</v>
      </c>
      <c r="K34" s="79">
        <f t="shared" si="2"/>
        <v>529.94099999999992</v>
      </c>
      <c r="L34" s="79">
        <f t="shared" si="3"/>
        <v>529.94099999999992</v>
      </c>
      <c r="M34" s="79">
        <f t="shared" si="5"/>
        <v>0</v>
      </c>
      <c r="N34" s="6"/>
    </row>
    <row r="35" spans="1:14">
      <c r="A35" s="51"/>
      <c r="B35" s="51"/>
      <c r="C35" s="51"/>
      <c r="D35" s="51"/>
      <c r="E35" s="51">
        <f>SUM(E4:E34)</f>
        <v>1080.33</v>
      </c>
      <c r="F35" s="51"/>
      <c r="G35" s="51">
        <f>SUM(G4:G34)</f>
        <v>99303.933600000004</v>
      </c>
      <c r="H35" s="51">
        <f>SUM(H4:H34)</f>
        <v>76.239999999999995</v>
      </c>
      <c r="I35" s="51"/>
      <c r="J35" s="51">
        <f>SUM(J4:J34)</f>
        <v>7925.6553999999987</v>
      </c>
      <c r="K35" s="51">
        <f>SUM(K4:K34)</f>
        <v>107229.58900000001</v>
      </c>
      <c r="L35" s="51">
        <f>SUM(L4:L34)</f>
        <v>107229.58900000001</v>
      </c>
      <c r="M35" s="51"/>
      <c r="N35" s="51"/>
    </row>
  </sheetData>
  <mergeCells count="2">
    <mergeCell ref="A1:N1"/>
    <mergeCell ref="A3:J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25" workbookViewId="0">
      <selection activeCell="H40" sqref="H40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4" customWidth="1"/>
    <col min="8" max="8" width="12" style="24" customWidth="1"/>
    <col min="9" max="9" width="9.140625" style="24"/>
    <col min="10" max="10" width="11.140625" style="24" customWidth="1"/>
    <col min="11" max="11" width="12" style="24" customWidth="1"/>
    <col min="12" max="12" width="11.85546875" style="24" customWidth="1"/>
    <col min="13" max="13" width="13.85546875" customWidth="1"/>
  </cols>
  <sheetData>
    <row r="1" spans="1:14" ht="15.75">
      <c r="A1" s="427" t="s">
        <v>56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4">
      <c r="A2" s="113" t="s">
        <v>99</v>
      </c>
      <c r="B2" s="114" t="s">
        <v>100</v>
      </c>
      <c r="C2" s="114" t="s">
        <v>101</v>
      </c>
      <c r="D2" s="114" t="s">
        <v>122</v>
      </c>
      <c r="E2" s="114" t="s">
        <v>103</v>
      </c>
      <c r="F2" s="114" t="s">
        <v>104</v>
      </c>
      <c r="G2" s="284" t="s">
        <v>105</v>
      </c>
      <c r="H2" s="284" t="s">
        <v>106</v>
      </c>
      <c r="I2" s="284" t="s">
        <v>104</v>
      </c>
      <c r="J2" s="284" t="s">
        <v>105</v>
      </c>
      <c r="K2" s="285" t="s">
        <v>107</v>
      </c>
      <c r="L2" s="285" t="s">
        <v>108</v>
      </c>
      <c r="M2" s="162" t="s">
        <v>115</v>
      </c>
      <c r="N2" s="116" t="s">
        <v>110</v>
      </c>
    </row>
    <row r="3" spans="1:14">
      <c r="A3" s="478" t="s">
        <v>111</v>
      </c>
      <c r="B3" s="479"/>
      <c r="C3" s="479"/>
      <c r="D3" s="479"/>
      <c r="E3" s="479"/>
      <c r="F3" s="479"/>
      <c r="G3" s="479"/>
      <c r="H3" s="479"/>
      <c r="I3" s="479"/>
      <c r="J3" s="480"/>
      <c r="K3" s="261">
        <v>0</v>
      </c>
      <c r="L3" s="261"/>
      <c r="M3" s="200">
        <f>+K3</f>
        <v>0</v>
      </c>
      <c r="N3" s="262"/>
    </row>
    <row r="4" spans="1:14">
      <c r="A4" s="28">
        <v>1</v>
      </c>
      <c r="B4" s="29">
        <v>45778</v>
      </c>
      <c r="C4" s="19"/>
      <c r="D4" s="19"/>
      <c r="E4" s="230">
        <v>20</v>
      </c>
      <c r="F4" s="230">
        <v>91.59</v>
      </c>
      <c r="G4" s="249">
        <f>E4*F4</f>
        <v>1831.8000000000002</v>
      </c>
      <c r="H4" s="249"/>
      <c r="I4" s="249"/>
      <c r="J4" s="249"/>
      <c r="K4" s="249">
        <f>G4+J4</f>
        <v>1831.8000000000002</v>
      </c>
      <c r="L4" s="249">
        <f>+K4</f>
        <v>1831.8000000000002</v>
      </c>
      <c r="M4" s="230"/>
      <c r="N4" s="19"/>
    </row>
    <row r="5" spans="1:14">
      <c r="A5" s="28">
        <v>2</v>
      </c>
      <c r="B5" s="29">
        <v>45779</v>
      </c>
      <c r="C5" s="19"/>
      <c r="D5" s="19"/>
      <c r="E5" s="230">
        <v>0</v>
      </c>
      <c r="F5" s="230">
        <v>0</v>
      </c>
      <c r="G5" s="249">
        <f t="shared" ref="G5:G34" si="0">E5*F5</f>
        <v>0</v>
      </c>
      <c r="H5" s="249"/>
      <c r="I5" s="249"/>
      <c r="J5" s="249"/>
      <c r="K5" s="249">
        <f>G5+J5</f>
        <v>0</v>
      </c>
      <c r="L5" s="249">
        <f>+K5</f>
        <v>0</v>
      </c>
      <c r="M5" s="230"/>
      <c r="N5" s="19"/>
    </row>
    <row r="6" spans="1:14">
      <c r="A6" s="28">
        <v>3</v>
      </c>
      <c r="B6" s="29">
        <v>45780</v>
      </c>
      <c r="C6" s="19"/>
      <c r="D6" s="19"/>
      <c r="E6" s="230">
        <v>20</v>
      </c>
      <c r="F6" s="230">
        <v>91.59</v>
      </c>
      <c r="G6" s="249">
        <f t="shared" si="0"/>
        <v>1831.8000000000002</v>
      </c>
      <c r="H6" s="249"/>
      <c r="I6" s="249"/>
      <c r="J6" s="249"/>
      <c r="K6" s="249">
        <f t="shared" ref="K6:K17" si="1">G6+J6</f>
        <v>1831.8000000000002</v>
      </c>
      <c r="L6" s="249">
        <f t="shared" ref="L6:L17" si="2">+K6</f>
        <v>1831.8000000000002</v>
      </c>
      <c r="M6" s="230"/>
      <c r="N6" s="19"/>
    </row>
    <row r="7" spans="1:14">
      <c r="A7" s="28">
        <v>4</v>
      </c>
      <c r="B7" s="29">
        <v>45781</v>
      </c>
      <c r="C7" s="19"/>
      <c r="D7" s="19"/>
      <c r="E7" s="230">
        <v>0</v>
      </c>
      <c r="F7" s="230">
        <v>0</v>
      </c>
      <c r="G7" s="249">
        <f t="shared" si="0"/>
        <v>0</v>
      </c>
      <c r="H7" s="249"/>
      <c r="I7" s="249"/>
      <c r="J7" s="249"/>
      <c r="K7" s="249">
        <f t="shared" si="1"/>
        <v>0</v>
      </c>
      <c r="L7" s="249">
        <f t="shared" si="2"/>
        <v>0</v>
      </c>
      <c r="M7" s="230"/>
      <c r="N7" s="19"/>
    </row>
    <row r="8" spans="1:14">
      <c r="A8" s="28">
        <v>5</v>
      </c>
      <c r="B8" s="29">
        <v>45782</v>
      </c>
      <c r="C8" s="19"/>
      <c r="D8" s="19"/>
      <c r="E8" s="230">
        <v>64.010000000000005</v>
      </c>
      <c r="F8" s="230">
        <v>91.59</v>
      </c>
      <c r="G8" s="249">
        <f t="shared" si="0"/>
        <v>5862.6759000000011</v>
      </c>
      <c r="H8" s="249"/>
      <c r="I8" s="249"/>
      <c r="J8" s="249"/>
      <c r="K8" s="249">
        <f t="shared" si="1"/>
        <v>5862.6759000000011</v>
      </c>
      <c r="L8" s="249">
        <f t="shared" si="2"/>
        <v>5862.6759000000011</v>
      </c>
      <c r="M8" s="230"/>
      <c r="N8" s="19"/>
    </row>
    <row r="9" spans="1:14">
      <c r="A9" s="28">
        <v>6</v>
      </c>
      <c r="B9" s="29">
        <v>45783</v>
      </c>
      <c r="C9" s="19"/>
      <c r="D9" s="19"/>
      <c r="E9" s="230">
        <v>70</v>
      </c>
      <c r="F9" s="230">
        <v>91.59</v>
      </c>
      <c r="G9" s="249">
        <f t="shared" si="0"/>
        <v>6411.3</v>
      </c>
      <c r="H9" s="249"/>
      <c r="I9" s="249"/>
      <c r="J9" s="249"/>
      <c r="K9" s="249">
        <f t="shared" si="1"/>
        <v>6411.3</v>
      </c>
      <c r="L9" s="249">
        <f t="shared" si="2"/>
        <v>6411.3</v>
      </c>
      <c r="M9" s="230"/>
      <c r="N9" s="19"/>
    </row>
    <row r="10" spans="1:14">
      <c r="A10" s="28">
        <v>7</v>
      </c>
      <c r="B10" s="29">
        <v>45784</v>
      </c>
      <c r="C10" s="19"/>
      <c r="D10" s="19"/>
      <c r="E10" s="230">
        <v>30</v>
      </c>
      <c r="F10" s="230">
        <v>91.59</v>
      </c>
      <c r="G10" s="249">
        <f t="shared" si="0"/>
        <v>2747.7000000000003</v>
      </c>
      <c r="H10" s="249"/>
      <c r="I10" s="249"/>
      <c r="J10" s="249"/>
      <c r="K10" s="249">
        <f t="shared" si="1"/>
        <v>2747.7000000000003</v>
      </c>
      <c r="L10" s="249">
        <f t="shared" si="2"/>
        <v>2747.7000000000003</v>
      </c>
      <c r="M10" s="230"/>
      <c r="N10" s="19"/>
    </row>
    <row r="11" spans="1:14">
      <c r="A11" s="28">
        <v>8</v>
      </c>
      <c r="B11" s="29">
        <v>45785</v>
      </c>
      <c r="C11" s="19"/>
      <c r="D11" s="19"/>
      <c r="E11" s="230">
        <v>0</v>
      </c>
      <c r="F11" s="230">
        <v>0</v>
      </c>
      <c r="G11" s="249">
        <f t="shared" si="0"/>
        <v>0</v>
      </c>
      <c r="H11" s="249"/>
      <c r="I11" s="249"/>
      <c r="J11" s="249"/>
      <c r="K11" s="249">
        <f t="shared" si="1"/>
        <v>0</v>
      </c>
      <c r="L11" s="249">
        <f t="shared" si="2"/>
        <v>0</v>
      </c>
      <c r="M11" s="230"/>
      <c r="N11" s="19"/>
    </row>
    <row r="12" spans="1:14">
      <c r="A12" s="28">
        <v>9</v>
      </c>
      <c r="B12" s="29">
        <v>45786</v>
      </c>
      <c r="C12" s="19"/>
      <c r="D12" s="19"/>
      <c r="E12" s="230">
        <v>0</v>
      </c>
      <c r="F12" s="230">
        <v>0</v>
      </c>
      <c r="G12" s="249">
        <f t="shared" si="0"/>
        <v>0</v>
      </c>
      <c r="H12" s="249"/>
      <c r="I12" s="249"/>
      <c r="J12" s="249"/>
      <c r="K12" s="249">
        <f t="shared" si="1"/>
        <v>0</v>
      </c>
      <c r="L12" s="249">
        <f t="shared" si="2"/>
        <v>0</v>
      </c>
      <c r="M12" s="230"/>
      <c r="N12" s="19"/>
    </row>
    <row r="13" spans="1:14">
      <c r="A13" s="28">
        <v>10</v>
      </c>
      <c r="B13" s="29">
        <v>45787</v>
      </c>
      <c r="C13" s="19"/>
      <c r="D13" s="19"/>
      <c r="E13" s="230">
        <v>15</v>
      </c>
      <c r="F13" s="230">
        <v>91.59</v>
      </c>
      <c r="G13" s="249">
        <f t="shared" si="0"/>
        <v>1373.8500000000001</v>
      </c>
      <c r="H13" s="249">
        <v>5.56</v>
      </c>
      <c r="I13" s="249">
        <v>103.53</v>
      </c>
      <c r="J13" s="249">
        <f>H13*I13</f>
        <v>575.6268</v>
      </c>
      <c r="K13" s="249">
        <f>G13+J13</f>
        <v>1949.4768000000001</v>
      </c>
      <c r="L13" s="249">
        <f t="shared" si="2"/>
        <v>1949.4768000000001</v>
      </c>
      <c r="M13" s="230"/>
      <c r="N13" s="19"/>
    </row>
    <row r="14" spans="1:14">
      <c r="A14" s="28">
        <v>11</v>
      </c>
      <c r="B14" s="29">
        <v>45788</v>
      </c>
      <c r="C14" s="19"/>
      <c r="D14" s="19"/>
      <c r="E14" s="230">
        <v>0</v>
      </c>
      <c r="F14" s="230">
        <v>0</v>
      </c>
      <c r="G14" s="249">
        <f t="shared" si="0"/>
        <v>0</v>
      </c>
      <c r="H14" s="249"/>
      <c r="I14" s="249"/>
      <c r="J14" s="249">
        <f t="shared" ref="J14:J18" si="3">H14*I14</f>
        <v>0</v>
      </c>
      <c r="K14" s="249">
        <f t="shared" si="1"/>
        <v>0</v>
      </c>
      <c r="L14" s="249">
        <f t="shared" si="2"/>
        <v>0</v>
      </c>
      <c r="M14" s="230"/>
      <c r="N14" s="19"/>
    </row>
    <row r="15" spans="1:14">
      <c r="A15" s="28">
        <v>12</v>
      </c>
      <c r="B15" s="29">
        <v>45789</v>
      </c>
      <c r="C15" s="19"/>
      <c r="D15" s="19"/>
      <c r="E15" s="230">
        <v>0</v>
      </c>
      <c r="F15" s="230">
        <v>0</v>
      </c>
      <c r="G15" s="249">
        <f t="shared" si="0"/>
        <v>0</v>
      </c>
      <c r="H15" s="249"/>
      <c r="I15" s="249"/>
      <c r="J15" s="249">
        <f t="shared" si="3"/>
        <v>0</v>
      </c>
      <c r="K15" s="249">
        <f t="shared" si="1"/>
        <v>0</v>
      </c>
      <c r="L15" s="249">
        <f t="shared" si="2"/>
        <v>0</v>
      </c>
      <c r="M15" s="230"/>
      <c r="N15" s="19"/>
    </row>
    <row r="16" spans="1:14">
      <c r="A16" s="28">
        <v>13</v>
      </c>
      <c r="B16" s="29">
        <v>45790</v>
      </c>
      <c r="C16" s="19"/>
      <c r="D16" s="19"/>
      <c r="E16" s="230">
        <v>0</v>
      </c>
      <c r="F16" s="230">
        <v>0</v>
      </c>
      <c r="G16" s="249">
        <f t="shared" si="0"/>
        <v>0</v>
      </c>
      <c r="H16" s="249"/>
      <c r="I16" s="249"/>
      <c r="J16" s="249">
        <f t="shared" si="3"/>
        <v>0</v>
      </c>
      <c r="K16" s="249">
        <f t="shared" si="1"/>
        <v>0</v>
      </c>
      <c r="L16" s="249">
        <f t="shared" si="2"/>
        <v>0</v>
      </c>
      <c r="M16" s="230"/>
      <c r="N16" s="19"/>
    </row>
    <row r="17" spans="1:15">
      <c r="A17" s="28">
        <v>14</v>
      </c>
      <c r="B17" s="29">
        <v>45791</v>
      </c>
      <c r="C17" s="19"/>
      <c r="D17" s="19"/>
      <c r="E17" s="230">
        <v>40</v>
      </c>
      <c r="F17" s="230">
        <v>91.59</v>
      </c>
      <c r="G17" s="249">
        <f t="shared" si="0"/>
        <v>3663.6000000000004</v>
      </c>
      <c r="H17" s="249"/>
      <c r="I17" s="249"/>
      <c r="J17" s="249">
        <f t="shared" si="3"/>
        <v>0</v>
      </c>
      <c r="K17" s="249">
        <f t="shared" si="1"/>
        <v>3663.6000000000004</v>
      </c>
      <c r="L17" s="249">
        <f t="shared" si="2"/>
        <v>3663.6000000000004</v>
      </c>
      <c r="M17" s="230"/>
      <c r="N17" s="19"/>
    </row>
    <row r="18" spans="1:15">
      <c r="A18" s="28">
        <v>15</v>
      </c>
      <c r="B18" s="29">
        <v>45792</v>
      </c>
      <c r="C18" s="19"/>
      <c r="D18" s="19"/>
      <c r="E18" s="230">
        <v>150.01</v>
      </c>
      <c r="F18" s="230">
        <v>91.59</v>
      </c>
      <c r="G18" s="249">
        <f t="shared" si="0"/>
        <v>13739.4159</v>
      </c>
      <c r="H18" s="249">
        <v>6</v>
      </c>
      <c r="I18" s="249">
        <v>103.53</v>
      </c>
      <c r="J18" s="249">
        <f t="shared" si="3"/>
        <v>621.18000000000006</v>
      </c>
      <c r="K18" s="249">
        <f t="shared" ref="K18:K21" si="4">G18+J18</f>
        <v>14360.5959</v>
      </c>
      <c r="L18" s="249">
        <f t="shared" ref="L18:L21" si="5">+K18</f>
        <v>14360.5959</v>
      </c>
      <c r="M18" s="230"/>
      <c r="N18" s="19"/>
    </row>
    <row r="19" spans="1:15">
      <c r="A19" s="28">
        <v>16</v>
      </c>
      <c r="B19" s="29">
        <v>45793</v>
      </c>
      <c r="C19" s="19"/>
      <c r="D19" s="19"/>
      <c r="E19" s="230">
        <v>0</v>
      </c>
      <c r="F19" s="230">
        <v>0</v>
      </c>
      <c r="G19" s="249">
        <f t="shared" si="0"/>
        <v>0</v>
      </c>
      <c r="H19" s="249"/>
      <c r="I19" s="249"/>
      <c r="J19" s="249"/>
      <c r="K19" s="249">
        <f t="shared" si="4"/>
        <v>0</v>
      </c>
      <c r="L19" s="249">
        <f t="shared" si="5"/>
        <v>0</v>
      </c>
      <c r="M19" s="230"/>
      <c r="N19" s="19"/>
    </row>
    <row r="20" spans="1:15">
      <c r="A20" s="28">
        <v>17</v>
      </c>
      <c r="B20" s="29">
        <v>45794</v>
      </c>
      <c r="C20" s="19"/>
      <c r="D20" s="19"/>
      <c r="E20" s="230">
        <v>0</v>
      </c>
      <c r="F20" s="230">
        <v>0</v>
      </c>
      <c r="G20" s="249">
        <f t="shared" si="0"/>
        <v>0</v>
      </c>
      <c r="H20" s="249"/>
      <c r="I20" s="249"/>
      <c r="J20" s="249"/>
      <c r="K20" s="249">
        <f t="shared" si="4"/>
        <v>0</v>
      </c>
      <c r="L20" s="249">
        <f t="shared" si="5"/>
        <v>0</v>
      </c>
      <c r="M20" s="230"/>
      <c r="N20" s="19"/>
    </row>
    <row r="21" spans="1:15">
      <c r="A21" s="28">
        <v>18</v>
      </c>
      <c r="B21" s="29">
        <v>45795</v>
      </c>
      <c r="C21" s="19"/>
      <c r="D21" s="19"/>
      <c r="E21" s="230">
        <v>0</v>
      </c>
      <c r="F21" s="230">
        <v>0</v>
      </c>
      <c r="G21" s="249">
        <f t="shared" si="0"/>
        <v>0</v>
      </c>
      <c r="H21" s="249"/>
      <c r="I21" s="249"/>
      <c r="J21" s="249"/>
      <c r="K21" s="249">
        <f t="shared" si="4"/>
        <v>0</v>
      </c>
      <c r="L21" s="249">
        <f t="shared" si="5"/>
        <v>0</v>
      </c>
      <c r="M21" s="230"/>
      <c r="N21" s="19"/>
    </row>
    <row r="22" spans="1:15">
      <c r="A22" s="28">
        <v>19</v>
      </c>
      <c r="B22" s="29">
        <v>45796</v>
      </c>
      <c r="C22" s="19"/>
      <c r="D22" s="19"/>
      <c r="E22" s="230">
        <v>100</v>
      </c>
      <c r="F22" s="230">
        <v>91.59</v>
      </c>
      <c r="G22" s="249">
        <f t="shared" si="0"/>
        <v>9159</v>
      </c>
      <c r="H22" s="249"/>
      <c r="I22" s="249"/>
      <c r="J22" s="249"/>
      <c r="K22" s="249">
        <f t="shared" ref="K22:K24" si="6">G22+J22</f>
        <v>9159</v>
      </c>
      <c r="L22" s="249">
        <f t="shared" ref="L22:L24" si="7">+K22</f>
        <v>9159</v>
      </c>
      <c r="M22" s="230"/>
      <c r="N22" s="19"/>
    </row>
    <row r="23" spans="1:15">
      <c r="A23" s="28">
        <v>20</v>
      </c>
      <c r="B23" s="29">
        <v>45797</v>
      </c>
      <c r="C23" s="19"/>
      <c r="D23" s="19"/>
      <c r="E23" s="230">
        <v>0</v>
      </c>
      <c r="F23" s="230">
        <v>0</v>
      </c>
      <c r="G23" s="249">
        <f t="shared" si="0"/>
        <v>0</v>
      </c>
      <c r="H23" s="249"/>
      <c r="I23" s="249"/>
      <c r="J23" s="249"/>
      <c r="K23" s="249">
        <f t="shared" si="6"/>
        <v>0</v>
      </c>
      <c r="L23" s="249">
        <f t="shared" si="7"/>
        <v>0</v>
      </c>
      <c r="M23" s="230"/>
      <c r="N23" s="19"/>
    </row>
    <row r="24" spans="1:15">
      <c r="A24" s="28">
        <v>21</v>
      </c>
      <c r="B24" s="29">
        <v>45798</v>
      </c>
      <c r="C24" s="19"/>
      <c r="D24" s="19"/>
      <c r="E24" s="230">
        <v>0</v>
      </c>
      <c r="F24" s="230">
        <v>0</v>
      </c>
      <c r="G24" s="249">
        <f t="shared" si="0"/>
        <v>0</v>
      </c>
      <c r="H24" s="249"/>
      <c r="I24" s="249"/>
      <c r="J24" s="249"/>
      <c r="K24" s="249">
        <f t="shared" si="6"/>
        <v>0</v>
      </c>
      <c r="L24" s="249">
        <f t="shared" si="7"/>
        <v>0</v>
      </c>
      <c r="M24" s="230"/>
      <c r="N24" s="19"/>
    </row>
    <row r="25" spans="1:15">
      <c r="A25" s="28">
        <v>22</v>
      </c>
      <c r="B25" s="29">
        <v>45799</v>
      </c>
      <c r="C25" s="19"/>
      <c r="D25" s="19"/>
      <c r="E25" s="230">
        <v>0</v>
      </c>
      <c r="F25" s="230">
        <v>0</v>
      </c>
      <c r="G25" s="249">
        <f t="shared" si="0"/>
        <v>0</v>
      </c>
      <c r="H25" s="249"/>
      <c r="I25" s="249"/>
      <c r="J25" s="249"/>
      <c r="K25" s="249">
        <f t="shared" ref="K25:K26" si="8">G25+J25</f>
        <v>0</v>
      </c>
      <c r="L25" s="249">
        <f t="shared" ref="L25:L26" si="9">+K25</f>
        <v>0</v>
      </c>
      <c r="M25" s="230"/>
      <c r="N25" s="19"/>
    </row>
    <row r="26" spans="1:15">
      <c r="A26" s="28">
        <v>23</v>
      </c>
      <c r="B26" s="29">
        <v>45800</v>
      </c>
      <c r="C26" s="19"/>
      <c r="D26" s="19"/>
      <c r="E26" s="230">
        <v>100</v>
      </c>
      <c r="F26" s="230">
        <v>91.59</v>
      </c>
      <c r="G26" s="249">
        <f t="shared" si="0"/>
        <v>9159</v>
      </c>
      <c r="H26" s="249"/>
      <c r="I26" s="249"/>
      <c r="J26" s="249"/>
      <c r="K26" s="249">
        <f t="shared" si="8"/>
        <v>9159</v>
      </c>
      <c r="L26" s="249">
        <f t="shared" si="9"/>
        <v>9159</v>
      </c>
      <c r="M26" s="230"/>
      <c r="N26" s="19"/>
    </row>
    <row r="27" spans="1:15">
      <c r="A27" s="28">
        <v>24</v>
      </c>
      <c r="B27" s="29">
        <v>45801</v>
      </c>
      <c r="C27" s="19"/>
      <c r="D27" s="19"/>
      <c r="E27" s="230">
        <v>0</v>
      </c>
      <c r="F27" s="230">
        <v>0</v>
      </c>
      <c r="G27" s="249">
        <f t="shared" si="0"/>
        <v>0</v>
      </c>
      <c r="H27" s="249"/>
      <c r="I27" s="249"/>
      <c r="J27" s="249"/>
      <c r="K27" s="249">
        <f t="shared" ref="K27:K29" si="10">G27+J27</f>
        <v>0</v>
      </c>
      <c r="L27" s="249">
        <f t="shared" ref="L27:L29" si="11">+K27</f>
        <v>0</v>
      </c>
      <c r="M27" s="230"/>
      <c r="N27" s="19"/>
      <c r="O27">
        <v>0</v>
      </c>
    </row>
    <row r="28" spans="1:15">
      <c r="A28" s="28">
        <v>25</v>
      </c>
      <c r="B28" s="29">
        <v>45802</v>
      </c>
      <c r="C28" s="19"/>
      <c r="D28" s="19"/>
      <c r="E28" s="230">
        <v>0</v>
      </c>
      <c r="F28" s="230">
        <v>0</v>
      </c>
      <c r="G28" s="249">
        <f t="shared" si="0"/>
        <v>0</v>
      </c>
      <c r="H28" s="249"/>
      <c r="I28" s="249"/>
      <c r="J28" s="249"/>
      <c r="K28" s="249">
        <f t="shared" si="10"/>
        <v>0</v>
      </c>
      <c r="L28" s="249">
        <f t="shared" si="11"/>
        <v>0</v>
      </c>
      <c r="M28" s="230"/>
      <c r="N28" s="19"/>
    </row>
    <row r="29" spans="1:15">
      <c r="A29" s="28">
        <v>26</v>
      </c>
      <c r="B29" s="29">
        <v>45803</v>
      </c>
      <c r="C29" s="19"/>
      <c r="D29" s="19"/>
      <c r="E29" s="230">
        <v>0</v>
      </c>
      <c r="F29" s="230">
        <v>0</v>
      </c>
      <c r="G29" s="249">
        <f t="shared" si="0"/>
        <v>0</v>
      </c>
      <c r="H29" s="249"/>
      <c r="I29" s="249"/>
      <c r="J29" s="249"/>
      <c r="K29" s="249">
        <f t="shared" si="10"/>
        <v>0</v>
      </c>
      <c r="L29" s="249">
        <f t="shared" si="11"/>
        <v>0</v>
      </c>
      <c r="M29" s="230"/>
      <c r="N29" s="19"/>
    </row>
    <row r="30" spans="1:15">
      <c r="A30" s="28">
        <v>27</v>
      </c>
      <c r="B30" s="29">
        <v>45804</v>
      </c>
      <c r="C30" s="19"/>
      <c r="D30" s="19"/>
      <c r="E30" s="230">
        <v>0</v>
      </c>
      <c r="F30" s="230">
        <v>0</v>
      </c>
      <c r="G30" s="249">
        <f t="shared" si="0"/>
        <v>0</v>
      </c>
      <c r="H30" s="249"/>
      <c r="I30" s="249"/>
      <c r="J30" s="249"/>
      <c r="K30" s="249">
        <f t="shared" ref="K30" si="12">G30+J30</f>
        <v>0</v>
      </c>
      <c r="L30" s="249">
        <f t="shared" ref="L30" si="13">+K30</f>
        <v>0</v>
      </c>
      <c r="M30" s="230"/>
      <c r="N30" s="19"/>
    </row>
    <row r="31" spans="1:15">
      <c r="A31" s="266">
        <v>28</v>
      </c>
      <c r="B31" s="29">
        <v>45805</v>
      </c>
      <c r="C31" s="19"/>
      <c r="D31" s="19"/>
      <c r="E31" s="230">
        <v>0</v>
      </c>
      <c r="F31" s="230">
        <v>0</v>
      </c>
      <c r="G31" s="249">
        <f t="shared" si="0"/>
        <v>0</v>
      </c>
      <c r="H31" s="249"/>
      <c r="I31" s="249"/>
      <c r="J31" s="249"/>
      <c r="K31" s="249">
        <f t="shared" ref="K31:K33" si="14">G31+J31</f>
        <v>0</v>
      </c>
      <c r="L31" s="249">
        <f t="shared" ref="L31:L33" si="15">+K31</f>
        <v>0</v>
      </c>
      <c r="M31" s="230"/>
      <c r="N31" s="109"/>
    </row>
    <row r="32" spans="1:15">
      <c r="A32" s="28">
        <v>29</v>
      </c>
      <c r="B32" s="29">
        <v>45806</v>
      </c>
      <c r="C32" s="19"/>
      <c r="D32" s="19"/>
      <c r="E32" s="230">
        <v>0</v>
      </c>
      <c r="F32" s="230">
        <v>0</v>
      </c>
      <c r="G32" s="249">
        <f t="shared" si="0"/>
        <v>0</v>
      </c>
      <c r="H32" s="249"/>
      <c r="I32" s="249"/>
      <c r="J32" s="249"/>
      <c r="K32" s="249">
        <f t="shared" si="14"/>
        <v>0</v>
      </c>
      <c r="L32" s="249">
        <f t="shared" si="15"/>
        <v>0</v>
      </c>
      <c r="M32" s="230"/>
      <c r="N32" s="19"/>
    </row>
    <row r="33" spans="1:14">
      <c r="A33" s="28">
        <v>30</v>
      </c>
      <c r="B33" s="29">
        <v>45807</v>
      </c>
      <c r="C33" s="19"/>
      <c r="D33" s="19"/>
      <c r="E33" s="230">
        <v>0</v>
      </c>
      <c r="F33" s="230">
        <v>0</v>
      </c>
      <c r="G33" s="249">
        <f t="shared" si="0"/>
        <v>0</v>
      </c>
      <c r="H33" s="249"/>
      <c r="I33" s="249"/>
      <c r="J33" s="249"/>
      <c r="K33" s="249">
        <f t="shared" si="14"/>
        <v>0</v>
      </c>
      <c r="L33" s="249">
        <f t="shared" si="15"/>
        <v>0</v>
      </c>
      <c r="M33" s="230"/>
      <c r="N33" s="19"/>
    </row>
    <row r="34" spans="1:14">
      <c r="A34" s="28">
        <v>31</v>
      </c>
      <c r="B34" s="29">
        <v>45808</v>
      </c>
      <c r="C34" s="19"/>
      <c r="D34" s="19"/>
      <c r="E34" s="230">
        <v>0</v>
      </c>
      <c r="F34" s="230">
        <v>0</v>
      </c>
      <c r="G34" s="249">
        <f t="shared" si="0"/>
        <v>0</v>
      </c>
      <c r="H34" s="249"/>
      <c r="I34" s="249"/>
      <c r="J34" s="249"/>
      <c r="K34" s="249"/>
      <c r="L34" s="249"/>
      <c r="M34" s="230"/>
      <c r="N34" s="19"/>
    </row>
    <row r="35" spans="1:14">
      <c r="A35" s="209"/>
      <c r="B35" s="209"/>
      <c r="C35" s="209"/>
      <c r="D35" s="209"/>
      <c r="E35" s="209">
        <f>SUM(E4:E34)</f>
        <v>609.02</v>
      </c>
      <c r="F35" s="209"/>
      <c r="G35" s="209">
        <f>SUM(G4:G34)</f>
        <v>55780.141799999998</v>
      </c>
      <c r="H35" s="209">
        <f>SUM(H4:H34)</f>
        <v>11.559999999999999</v>
      </c>
      <c r="I35" s="209"/>
      <c r="J35" s="209">
        <f>SUM(J4:J34)</f>
        <v>1196.8068000000001</v>
      </c>
      <c r="K35" s="209">
        <f>SUM(K4:K34)</f>
        <v>56976.948600000003</v>
      </c>
      <c r="L35" s="209">
        <f>SUM(L4:L34)</f>
        <v>56976.948600000003</v>
      </c>
      <c r="M35" s="209"/>
      <c r="N35" s="209"/>
    </row>
  </sheetData>
  <mergeCells count="2">
    <mergeCell ref="A1:N1"/>
    <mergeCell ref="A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1BEE-3C36-4B6C-9D72-DE9E8C99F306}">
  <sheetPr>
    <tabColor rgb="FF002060"/>
  </sheetPr>
  <dimension ref="A1:N36"/>
  <sheetViews>
    <sheetView workbookViewId="0">
      <selection activeCell="L40" sqref="L40"/>
    </sheetView>
  </sheetViews>
  <sheetFormatPr defaultRowHeight="15"/>
  <cols>
    <col min="2" max="2" width="12.7109375" customWidth="1"/>
    <col min="4" max="4" width="13.7109375" customWidth="1"/>
    <col min="7" max="7" width="15" customWidth="1"/>
    <col min="9" max="9" width="15.28515625" customWidth="1"/>
    <col min="11" max="11" width="12" customWidth="1"/>
    <col min="12" max="12" width="12.5703125" customWidth="1"/>
    <col min="13" max="13" width="13.140625" customWidth="1"/>
  </cols>
  <sheetData>
    <row r="1" spans="1:14" ht="15.75">
      <c r="A1" s="470"/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30.75">
      <c r="A2" s="141" t="s">
        <v>99</v>
      </c>
      <c r="B2" s="260" t="s">
        <v>100</v>
      </c>
      <c r="C2" s="260" t="s">
        <v>101</v>
      </c>
      <c r="D2" s="260" t="s">
        <v>122</v>
      </c>
      <c r="E2" s="260" t="s">
        <v>103</v>
      </c>
      <c r="F2" s="260" t="s">
        <v>104</v>
      </c>
      <c r="G2" s="260" t="s">
        <v>105</v>
      </c>
      <c r="H2" s="260" t="s">
        <v>106</v>
      </c>
      <c r="I2" s="260" t="s">
        <v>104</v>
      </c>
      <c r="J2" s="260" t="s">
        <v>105</v>
      </c>
      <c r="K2" s="202" t="s">
        <v>107</v>
      </c>
      <c r="L2" s="202" t="s">
        <v>108</v>
      </c>
      <c r="M2" s="202" t="s">
        <v>115</v>
      </c>
      <c r="N2" s="260" t="s">
        <v>110</v>
      </c>
    </row>
    <row r="3" spans="1:14">
      <c r="A3" s="471" t="s">
        <v>111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 t="s">
        <v>150</v>
      </c>
      <c r="N3" s="471"/>
    </row>
    <row r="4" spans="1:14">
      <c r="A4" s="234">
        <v>1</v>
      </c>
      <c r="B4" s="270">
        <v>45778</v>
      </c>
      <c r="C4" s="46">
        <v>0</v>
      </c>
      <c r="D4" s="46"/>
      <c r="E4" s="46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>
        <f>+K4</f>
        <v>0</v>
      </c>
      <c r="M4" s="46"/>
      <c r="N4" s="46"/>
    </row>
    <row r="5" spans="1:14">
      <c r="A5" s="55">
        <v>2</v>
      </c>
      <c r="B5" s="270">
        <v>45779</v>
      </c>
      <c r="C5" s="46">
        <v>0</v>
      </c>
      <c r="D5" s="46"/>
      <c r="E5" s="46">
        <v>0</v>
      </c>
      <c r="F5" s="46">
        <v>0</v>
      </c>
      <c r="G5" s="46">
        <f t="shared" ref="G5:G34" si="0">E5*F5</f>
        <v>0</v>
      </c>
      <c r="H5" s="46">
        <v>0</v>
      </c>
      <c r="I5" s="46">
        <v>0</v>
      </c>
      <c r="J5" s="46">
        <f t="shared" ref="J5:J34" si="1">H5*I5</f>
        <v>0</v>
      </c>
      <c r="K5" s="46">
        <f t="shared" ref="K5:K34" si="2">G5+J5</f>
        <v>0</v>
      </c>
      <c r="L5" s="46">
        <f t="shared" ref="L5:L29" si="3">+K5</f>
        <v>0</v>
      </c>
      <c r="M5" s="46"/>
      <c r="N5" s="46"/>
    </row>
    <row r="6" spans="1:14">
      <c r="A6" s="55">
        <v>3</v>
      </c>
      <c r="B6" s="270">
        <v>45780</v>
      </c>
      <c r="C6" s="46">
        <v>0</v>
      </c>
      <c r="D6" s="46"/>
      <c r="E6" s="46">
        <v>0</v>
      </c>
      <c r="F6" s="46">
        <v>0</v>
      </c>
      <c r="G6" s="46">
        <f t="shared" si="0"/>
        <v>0</v>
      </c>
      <c r="H6" s="46">
        <v>4.82</v>
      </c>
      <c r="I6" s="46">
        <v>103.73</v>
      </c>
      <c r="J6" s="46">
        <f t="shared" si="1"/>
        <v>499.97860000000003</v>
      </c>
      <c r="K6" s="46">
        <f t="shared" si="2"/>
        <v>499.97860000000003</v>
      </c>
      <c r="L6" s="46">
        <f t="shared" si="3"/>
        <v>499.97860000000003</v>
      </c>
      <c r="M6" s="46"/>
      <c r="N6" s="46"/>
    </row>
    <row r="7" spans="1:14">
      <c r="A7" s="234">
        <v>4</v>
      </c>
      <c r="B7" s="270">
        <v>45781</v>
      </c>
      <c r="C7" s="46">
        <v>0</v>
      </c>
      <c r="D7" s="46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f t="shared" si="3"/>
        <v>0</v>
      </c>
      <c r="M7" s="46"/>
      <c r="N7" s="46"/>
    </row>
    <row r="8" spans="1:14">
      <c r="A8" s="55">
        <v>5</v>
      </c>
      <c r="B8" s="270">
        <v>45782</v>
      </c>
      <c r="C8" s="46">
        <v>0</v>
      </c>
      <c r="D8" s="46"/>
      <c r="E8" s="46">
        <v>0</v>
      </c>
      <c r="F8" s="46">
        <v>0</v>
      </c>
      <c r="G8" s="46">
        <f t="shared" si="0"/>
        <v>0</v>
      </c>
      <c r="H8" s="46">
        <v>4.82</v>
      </c>
      <c r="I8" s="46">
        <v>103.73</v>
      </c>
      <c r="J8" s="46">
        <f t="shared" si="1"/>
        <v>499.97860000000003</v>
      </c>
      <c r="K8" s="46">
        <f t="shared" si="2"/>
        <v>499.97860000000003</v>
      </c>
      <c r="L8" s="46">
        <f t="shared" si="3"/>
        <v>499.97860000000003</v>
      </c>
      <c r="M8" s="46"/>
      <c r="N8" s="46"/>
    </row>
    <row r="9" spans="1:14">
      <c r="A9" s="55">
        <v>6</v>
      </c>
      <c r="B9" s="270">
        <v>45783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>
        <f t="shared" si="3"/>
        <v>0</v>
      </c>
      <c r="M9" s="46"/>
      <c r="N9" s="46"/>
    </row>
    <row r="10" spans="1:14">
      <c r="A10" s="234">
        <v>7</v>
      </c>
      <c r="B10" s="270">
        <v>45784</v>
      </c>
      <c r="C10" s="46">
        <v>0</v>
      </c>
      <c r="D10" s="46"/>
      <c r="E10" s="46">
        <v>0</v>
      </c>
      <c r="F10" s="46">
        <v>0</v>
      </c>
      <c r="G10" s="46">
        <f t="shared" si="0"/>
        <v>0</v>
      </c>
      <c r="H10" s="46">
        <v>0</v>
      </c>
      <c r="I10" s="46">
        <v>0</v>
      </c>
      <c r="J10" s="46">
        <f t="shared" si="1"/>
        <v>0</v>
      </c>
      <c r="K10" s="46">
        <f t="shared" si="2"/>
        <v>0</v>
      </c>
      <c r="L10" s="46">
        <f t="shared" si="3"/>
        <v>0</v>
      </c>
      <c r="M10" s="46"/>
      <c r="N10" s="46"/>
    </row>
    <row r="11" spans="1:14">
      <c r="A11" s="55">
        <v>8</v>
      </c>
      <c r="B11" s="270">
        <v>45785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f t="shared" si="3"/>
        <v>0</v>
      </c>
      <c r="M11" s="46"/>
      <c r="N11" s="46"/>
    </row>
    <row r="12" spans="1:14">
      <c r="A12" s="55">
        <v>9</v>
      </c>
      <c r="B12" s="270">
        <v>45786</v>
      </c>
      <c r="C12" s="46">
        <v>0</v>
      </c>
      <c r="D12" s="46"/>
      <c r="E12" s="46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>
        <f t="shared" si="3"/>
        <v>0</v>
      </c>
      <c r="M12" s="46"/>
      <c r="N12" s="46"/>
    </row>
    <row r="13" spans="1:14">
      <c r="A13" s="234">
        <v>10</v>
      </c>
      <c r="B13" s="270">
        <v>45787</v>
      </c>
      <c r="C13" s="46">
        <v>0</v>
      </c>
      <c r="D13" s="46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>
        <f t="shared" si="3"/>
        <v>0</v>
      </c>
      <c r="M13" s="46"/>
      <c r="N13" s="46"/>
    </row>
    <row r="14" spans="1:14">
      <c r="A14" s="55">
        <v>11</v>
      </c>
      <c r="B14" s="270">
        <v>45788</v>
      </c>
      <c r="C14" s="46">
        <v>0</v>
      </c>
      <c r="D14" s="46"/>
      <c r="E14" s="46">
        <v>0</v>
      </c>
      <c r="F14" s="46">
        <v>0</v>
      </c>
      <c r="G14" s="46">
        <f t="shared" si="0"/>
        <v>0</v>
      </c>
      <c r="H14" s="46">
        <v>0</v>
      </c>
      <c r="I14" s="46">
        <v>0</v>
      </c>
      <c r="J14" s="46">
        <f t="shared" si="1"/>
        <v>0</v>
      </c>
      <c r="K14" s="46">
        <f t="shared" si="2"/>
        <v>0</v>
      </c>
      <c r="L14" s="46">
        <f t="shared" si="3"/>
        <v>0</v>
      </c>
      <c r="M14" s="46"/>
      <c r="N14" s="46"/>
    </row>
    <row r="15" spans="1:14">
      <c r="A15" s="55">
        <v>12</v>
      </c>
      <c r="B15" s="270">
        <v>45789</v>
      </c>
      <c r="C15" s="46">
        <v>0</v>
      </c>
      <c r="D15" s="46"/>
      <c r="E15" s="46">
        <v>0</v>
      </c>
      <c r="F15" s="46">
        <v>0</v>
      </c>
      <c r="G15" s="46">
        <f t="shared" si="0"/>
        <v>0</v>
      </c>
      <c r="H15" s="46">
        <v>9.64</v>
      </c>
      <c r="I15" s="46">
        <v>103.73</v>
      </c>
      <c r="J15" s="46">
        <f t="shared" si="1"/>
        <v>999.95720000000006</v>
      </c>
      <c r="K15" s="46">
        <f t="shared" si="2"/>
        <v>999.95720000000006</v>
      </c>
      <c r="L15" s="46">
        <f t="shared" si="3"/>
        <v>999.95720000000006</v>
      </c>
      <c r="M15" s="46"/>
      <c r="N15" s="46"/>
    </row>
    <row r="16" spans="1:14">
      <c r="A16" s="234">
        <v>13</v>
      </c>
      <c r="B16" s="270">
        <v>45790</v>
      </c>
      <c r="C16" s="46">
        <v>0</v>
      </c>
      <c r="D16" s="46"/>
      <c r="E16" s="46">
        <v>20</v>
      </c>
      <c r="F16" s="46">
        <v>91.78</v>
      </c>
      <c r="G16" s="46">
        <f t="shared" si="0"/>
        <v>1835.6</v>
      </c>
      <c r="H16" s="46">
        <v>0</v>
      </c>
      <c r="I16" s="46">
        <v>0</v>
      </c>
      <c r="J16" s="46">
        <f t="shared" si="1"/>
        <v>0</v>
      </c>
      <c r="K16" s="46">
        <f t="shared" si="2"/>
        <v>1835.6</v>
      </c>
      <c r="L16" s="46">
        <f t="shared" si="3"/>
        <v>1835.6</v>
      </c>
      <c r="M16" s="46"/>
      <c r="N16" s="46"/>
    </row>
    <row r="17" spans="1:14">
      <c r="A17" s="55">
        <v>14</v>
      </c>
      <c r="B17" s="270">
        <v>45791</v>
      </c>
      <c r="C17" s="46"/>
      <c r="D17" s="46"/>
      <c r="E17" s="46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>
        <f t="shared" si="3"/>
        <v>0</v>
      </c>
      <c r="M17" s="46"/>
      <c r="N17" s="46"/>
    </row>
    <row r="18" spans="1:14">
      <c r="A18" s="55">
        <v>15</v>
      </c>
      <c r="B18" s="270">
        <v>45792</v>
      </c>
      <c r="C18" s="46"/>
      <c r="D18" s="46"/>
      <c r="E18" s="46">
        <v>0</v>
      </c>
      <c r="F18" s="46">
        <v>0</v>
      </c>
      <c r="G18" s="46">
        <f t="shared" si="0"/>
        <v>0</v>
      </c>
      <c r="H18" s="46">
        <v>0</v>
      </c>
      <c r="I18" s="46">
        <v>0</v>
      </c>
      <c r="J18" s="46">
        <f t="shared" si="1"/>
        <v>0</v>
      </c>
      <c r="K18" s="46">
        <f t="shared" si="2"/>
        <v>0</v>
      </c>
      <c r="L18" s="46">
        <f t="shared" si="3"/>
        <v>0</v>
      </c>
      <c r="M18" s="46"/>
      <c r="N18" s="46"/>
    </row>
    <row r="19" spans="1:14">
      <c r="A19" s="234">
        <v>16</v>
      </c>
      <c r="B19" s="270">
        <v>45793</v>
      </c>
      <c r="C19" s="46"/>
      <c r="D19" s="46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f t="shared" si="3"/>
        <v>0</v>
      </c>
      <c r="M19" s="46"/>
      <c r="N19" s="46"/>
    </row>
    <row r="20" spans="1:14">
      <c r="A20" s="55">
        <v>17</v>
      </c>
      <c r="B20" s="270">
        <v>45794</v>
      </c>
      <c r="C20" s="46"/>
      <c r="D20" s="46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>
        <f t="shared" si="3"/>
        <v>0</v>
      </c>
      <c r="M20" s="46"/>
      <c r="N20" s="46"/>
    </row>
    <row r="21" spans="1:14">
      <c r="A21" s="55">
        <v>18</v>
      </c>
      <c r="B21" s="270">
        <v>45795</v>
      </c>
      <c r="C21" s="46"/>
      <c r="D21" s="46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>
        <f t="shared" si="3"/>
        <v>0</v>
      </c>
      <c r="M21" s="46"/>
      <c r="N21" s="46"/>
    </row>
    <row r="22" spans="1:14">
      <c r="A22" s="234">
        <v>19</v>
      </c>
      <c r="B22" s="270">
        <v>45796</v>
      </c>
      <c r="C22" s="46"/>
      <c r="D22" s="46"/>
      <c r="E22" s="46">
        <v>0</v>
      </c>
      <c r="F22" s="46">
        <v>0</v>
      </c>
      <c r="G22" s="46">
        <f t="shared" si="0"/>
        <v>0</v>
      </c>
      <c r="H22" s="46">
        <v>0</v>
      </c>
      <c r="I22" s="46">
        <v>0</v>
      </c>
      <c r="J22" s="46">
        <f t="shared" si="1"/>
        <v>0</v>
      </c>
      <c r="K22" s="46">
        <f t="shared" si="2"/>
        <v>0</v>
      </c>
      <c r="L22" s="46">
        <f t="shared" si="3"/>
        <v>0</v>
      </c>
      <c r="M22" s="46"/>
      <c r="N22" s="46"/>
    </row>
    <row r="23" spans="1:14">
      <c r="A23" s="55">
        <v>20</v>
      </c>
      <c r="B23" s="270">
        <v>45797</v>
      </c>
      <c r="C23" s="46"/>
      <c r="D23" s="46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f t="shared" si="3"/>
        <v>0</v>
      </c>
      <c r="M23" s="46"/>
      <c r="N23" s="46"/>
    </row>
    <row r="24" spans="1:14">
      <c r="A24" s="55">
        <v>21</v>
      </c>
      <c r="B24" s="270">
        <v>45798</v>
      </c>
      <c r="C24" s="46"/>
      <c r="D24" s="46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f t="shared" si="3"/>
        <v>0</v>
      </c>
      <c r="M24" s="46"/>
      <c r="N24" s="46"/>
    </row>
    <row r="25" spans="1:14">
      <c r="A25" s="234">
        <v>22</v>
      </c>
      <c r="B25" s="270">
        <v>45799</v>
      </c>
      <c r="C25" s="46"/>
      <c r="D25" s="46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>
        <f t="shared" si="3"/>
        <v>0</v>
      </c>
      <c r="M25" s="46"/>
      <c r="N25" s="46"/>
    </row>
    <row r="26" spans="1:14">
      <c r="A26" s="55">
        <v>23</v>
      </c>
      <c r="B26" s="270">
        <v>45800</v>
      </c>
      <c r="C26" s="46"/>
      <c r="D26" s="46"/>
      <c r="E26" s="46">
        <v>0</v>
      </c>
      <c r="F26" s="46">
        <v>0</v>
      </c>
      <c r="G26" s="46">
        <f t="shared" si="0"/>
        <v>0</v>
      </c>
      <c r="H26" s="46">
        <v>0</v>
      </c>
      <c r="I26" s="46">
        <v>0</v>
      </c>
      <c r="J26" s="46">
        <f t="shared" si="1"/>
        <v>0</v>
      </c>
      <c r="K26" s="46">
        <f t="shared" si="2"/>
        <v>0</v>
      </c>
      <c r="L26" s="46">
        <f t="shared" si="3"/>
        <v>0</v>
      </c>
      <c r="M26" s="46"/>
      <c r="N26" s="46"/>
    </row>
    <row r="27" spans="1:14">
      <c r="A27" s="55">
        <v>24</v>
      </c>
      <c r="B27" s="270">
        <v>45801</v>
      </c>
      <c r="C27" s="46"/>
      <c r="D27" s="46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f t="shared" si="3"/>
        <v>0</v>
      </c>
      <c r="M27" s="46"/>
      <c r="N27" s="46"/>
    </row>
    <row r="28" spans="1:14">
      <c r="A28" s="234">
        <v>25</v>
      </c>
      <c r="B28" s="270">
        <v>45802</v>
      </c>
      <c r="C28" s="258"/>
      <c r="D28" s="46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f t="shared" si="3"/>
        <v>0</v>
      </c>
      <c r="M28" s="258"/>
      <c r="N28" s="258"/>
    </row>
    <row r="29" spans="1:14">
      <c r="A29" s="55">
        <v>26</v>
      </c>
      <c r="B29" s="270">
        <v>45803</v>
      </c>
      <c r="C29" s="46"/>
      <c r="D29" s="46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>
        <f t="shared" si="3"/>
        <v>0</v>
      </c>
      <c r="M29" s="46"/>
      <c r="N29" s="46"/>
    </row>
    <row r="30" spans="1:14">
      <c r="A30" s="55">
        <v>27</v>
      </c>
      <c r="B30" s="270">
        <v>45804</v>
      </c>
      <c r="C30" s="46"/>
      <c r="D30" s="46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/>
      <c r="M30" s="46"/>
      <c r="N30" s="46"/>
    </row>
    <row r="31" spans="1:14">
      <c r="A31" s="234">
        <v>28</v>
      </c>
      <c r="B31" s="270">
        <v>45805</v>
      </c>
      <c r="C31" s="46"/>
      <c r="D31" s="46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/>
      <c r="M31" s="46"/>
      <c r="N31" s="46"/>
    </row>
    <row r="32" spans="1:14">
      <c r="A32" s="55">
        <v>29</v>
      </c>
      <c r="B32" s="270">
        <v>45806</v>
      </c>
      <c r="C32" s="46"/>
      <c r="D32" s="46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/>
      <c r="M32" s="46"/>
      <c r="N32" s="46"/>
    </row>
    <row r="33" spans="1:14">
      <c r="A33" s="55">
        <v>30</v>
      </c>
      <c r="B33" s="270">
        <v>45807</v>
      </c>
      <c r="C33" s="46"/>
      <c r="D33" s="46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/>
      <c r="M33" s="46"/>
      <c r="N33" s="46"/>
    </row>
    <row r="34" spans="1:14">
      <c r="A34" s="234">
        <v>31</v>
      </c>
      <c r="B34" s="270">
        <v>45808</v>
      </c>
      <c r="C34" s="46"/>
      <c r="D34" s="46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/>
      <c r="M34" s="46"/>
      <c r="N34" s="46"/>
    </row>
    <row r="35" spans="1:14">
      <c r="A35" s="55">
        <v>32</v>
      </c>
      <c r="B35" s="270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1:14">
      <c r="A36" s="209"/>
      <c r="B36" s="209"/>
      <c r="C36" s="209"/>
      <c r="D36" s="209"/>
      <c r="E36" s="209">
        <f>SUM(E4:E35)</f>
        <v>20</v>
      </c>
      <c r="F36" s="209"/>
      <c r="G36" s="209">
        <f>SUM(G4:G35)</f>
        <v>1835.6</v>
      </c>
      <c r="H36" s="209">
        <f>SUM(H4:H35)</f>
        <v>19.28</v>
      </c>
      <c r="I36" s="209"/>
      <c r="J36" s="209">
        <f>SUM(J4:J35)</f>
        <v>1999.9144000000001</v>
      </c>
      <c r="K36" s="209">
        <f>SUM(K4:K35)</f>
        <v>3835.5144</v>
      </c>
      <c r="L36" s="209">
        <f>SUM(L4:L35)</f>
        <v>3835.5144</v>
      </c>
      <c r="M36" s="209"/>
      <c r="N36" s="209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2204-C6ED-4369-81D2-ED69740A2A89}">
  <dimension ref="A1:S210"/>
  <sheetViews>
    <sheetView workbookViewId="0">
      <pane ySplit="3" topLeftCell="A82" activePane="bottomLeft" state="frozen"/>
      <selection pane="bottomLeft" activeCell="C102" sqref="C102"/>
    </sheetView>
  </sheetViews>
  <sheetFormatPr defaultRowHeight="15"/>
  <cols>
    <col min="2" max="2" width="11.5703125" customWidth="1"/>
    <col min="3" max="3" width="40.7109375" customWidth="1"/>
    <col min="4" max="4" width="19.7109375" customWidth="1"/>
    <col min="5" max="5" width="21.5703125" style="219" customWidth="1"/>
    <col min="6" max="6" width="13.42578125" customWidth="1"/>
    <col min="7" max="7" width="9.28515625" bestFit="1" customWidth="1"/>
    <col min="8" max="8" width="14.85546875" style="24" customWidth="1"/>
    <col min="10" max="10" width="15.5703125" customWidth="1"/>
    <col min="11" max="11" width="13.140625" style="24" customWidth="1"/>
    <col min="12" max="12" width="13.28515625" customWidth="1"/>
    <col min="13" max="13" width="19" customWidth="1"/>
    <col min="14" max="14" width="17.42578125" style="24" customWidth="1"/>
    <col min="15" max="15" width="19.5703125" customWidth="1"/>
    <col min="16" max="16" width="16.28515625" customWidth="1"/>
    <col min="18" max="18" width="10.5703125" bestFit="1" customWidth="1"/>
  </cols>
  <sheetData>
    <row r="1" spans="1:16" ht="15.75">
      <c r="A1" s="442" t="s">
        <v>160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</row>
    <row r="2" spans="1:16" ht="26.25" customHeight="1">
      <c r="A2" s="141" t="s">
        <v>99</v>
      </c>
      <c r="B2" s="274" t="s">
        <v>100</v>
      </c>
      <c r="C2" s="142" t="s">
        <v>161</v>
      </c>
      <c r="D2" s="142" t="s">
        <v>162</v>
      </c>
      <c r="E2" s="307" t="s">
        <v>163</v>
      </c>
      <c r="F2" s="142" t="s">
        <v>103</v>
      </c>
      <c r="G2" s="142" t="s">
        <v>104</v>
      </c>
      <c r="H2" s="260" t="s">
        <v>105</v>
      </c>
      <c r="I2" s="142" t="s">
        <v>106</v>
      </c>
      <c r="J2" s="142" t="s">
        <v>104</v>
      </c>
      <c r="K2" s="260" t="s">
        <v>105</v>
      </c>
      <c r="L2" s="141" t="s">
        <v>107</v>
      </c>
      <c r="M2" s="202" t="s">
        <v>164</v>
      </c>
      <c r="N2" s="202" t="s">
        <v>115</v>
      </c>
      <c r="O2" s="142" t="s">
        <v>110</v>
      </c>
      <c r="P2" s="142" t="s">
        <v>165</v>
      </c>
    </row>
    <row r="3" spans="1:16" ht="15.75" customHeight="1">
      <c r="A3" s="481" t="s">
        <v>111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351">
        <v>149670.70000000001</v>
      </c>
      <c r="M3" s="352"/>
      <c r="N3" s="352"/>
      <c r="O3" s="352"/>
      <c r="P3" s="353"/>
    </row>
    <row r="4" spans="1:16" s="320" customFormat="1">
      <c r="A4" s="337"/>
      <c r="B4" s="337"/>
      <c r="C4" s="361"/>
      <c r="D4" s="362"/>
      <c r="E4" s="358"/>
      <c r="F4" s="355">
        <v>0</v>
      </c>
      <c r="G4" s="355">
        <v>0</v>
      </c>
      <c r="H4" s="359">
        <f>F4*G4</f>
        <v>0</v>
      </c>
      <c r="I4" s="355"/>
      <c r="J4" s="355"/>
      <c r="K4" s="359"/>
      <c r="L4" s="356"/>
      <c r="M4" s="317"/>
      <c r="N4" s="356">
        <f>+L3</f>
        <v>149670.70000000001</v>
      </c>
      <c r="O4" s="191"/>
      <c r="P4" s="191"/>
    </row>
    <row r="5" spans="1:16" s="320" customFormat="1">
      <c r="A5" s="338">
        <v>1</v>
      </c>
      <c r="B5" s="360" t="s">
        <v>166</v>
      </c>
      <c r="C5" s="120" t="s">
        <v>167</v>
      </c>
      <c r="D5" s="120" t="s">
        <v>168</v>
      </c>
      <c r="E5" s="363" t="s">
        <v>169</v>
      </c>
      <c r="F5" s="357">
        <v>30</v>
      </c>
      <c r="G5" s="355">
        <v>89.33</v>
      </c>
      <c r="H5" s="359">
        <f t="shared" ref="H5:H70" si="0">F5*G5</f>
        <v>2679.9</v>
      </c>
      <c r="I5" s="355">
        <v>7.01</v>
      </c>
      <c r="J5" s="355">
        <v>103.26</v>
      </c>
      <c r="K5" s="359">
        <f t="shared" ref="K5:K23" si="1">I5*J5</f>
        <v>723.85260000000005</v>
      </c>
      <c r="L5" s="356">
        <f t="shared" ref="L5:L23" si="2">H5+K5</f>
        <v>3403.7526000000003</v>
      </c>
      <c r="M5" s="317"/>
      <c r="N5" s="193">
        <f>N4+M5-L5</f>
        <v>146266.9474</v>
      </c>
      <c r="O5" s="191"/>
      <c r="P5" s="191"/>
    </row>
    <row r="6" spans="1:16" s="320" customFormat="1">
      <c r="A6" s="191">
        <v>2</v>
      </c>
      <c r="B6" s="360" t="s">
        <v>166</v>
      </c>
      <c r="C6" s="339" t="s">
        <v>170</v>
      </c>
      <c r="D6" s="339" t="s">
        <v>171</v>
      </c>
      <c r="E6" s="363" t="s">
        <v>172</v>
      </c>
      <c r="F6" s="355">
        <v>36.270000000000003</v>
      </c>
      <c r="G6" s="355">
        <v>89.49</v>
      </c>
      <c r="H6" s="359">
        <f t="shared" si="0"/>
        <v>3245.8023000000003</v>
      </c>
      <c r="I6" s="355">
        <v>0</v>
      </c>
      <c r="J6" s="355">
        <v>0</v>
      </c>
      <c r="K6" s="359">
        <f t="shared" si="1"/>
        <v>0</v>
      </c>
      <c r="L6" s="356">
        <f t="shared" si="2"/>
        <v>3245.8023000000003</v>
      </c>
      <c r="M6" s="317"/>
      <c r="N6" s="193">
        <f t="shared" ref="N6:N31" si="3">N5+M6-L6</f>
        <v>143021.14509999999</v>
      </c>
      <c r="O6" s="191"/>
      <c r="P6" s="191"/>
    </row>
    <row r="7" spans="1:16" s="320" customFormat="1">
      <c r="A7" s="191"/>
      <c r="B7" s="360" t="s">
        <v>166</v>
      </c>
      <c r="C7" s="339" t="s">
        <v>173</v>
      </c>
      <c r="D7" s="339" t="s">
        <v>174</v>
      </c>
      <c r="E7" s="363" t="s">
        <v>175</v>
      </c>
      <c r="F7" s="355">
        <v>27.57</v>
      </c>
      <c r="G7" s="355">
        <v>92.04</v>
      </c>
      <c r="H7" s="359">
        <f t="shared" si="0"/>
        <v>2537.5428000000002</v>
      </c>
      <c r="I7" s="355">
        <v>10</v>
      </c>
      <c r="J7" s="355">
        <v>104.02</v>
      </c>
      <c r="K7" s="359">
        <f t="shared" si="1"/>
        <v>1040.2</v>
      </c>
      <c r="L7" s="356">
        <f t="shared" si="2"/>
        <v>3577.7428</v>
      </c>
      <c r="M7" s="317"/>
      <c r="N7" s="193">
        <f t="shared" si="3"/>
        <v>139443.40229999999</v>
      </c>
      <c r="O7" s="191"/>
      <c r="P7" s="191"/>
    </row>
    <row r="8" spans="1:16" s="320" customFormat="1">
      <c r="A8" s="191">
        <v>3</v>
      </c>
      <c r="B8" s="191" t="s">
        <v>128</v>
      </c>
      <c r="C8" s="192" t="s">
        <v>170</v>
      </c>
      <c r="D8" s="192" t="s">
        <v>171</v>
      </c>
      <c r="E8" s="363" t="s">
        <v>172</v>
      </c>
      <c r="F8" s="355">
        <v>0</v>
      </c>
      <c r="G8" s="355">
        <v>0</v>
      </c>
      <c r="H8" s="359">
        <f t="shared" si="0"/>
        <v>0</v>
      </c>
      <c r="I8" s="355">
        <v>4.83</v>
      </c>
      <c r="J8" s="355">
        <v>103.44</v>
      </c>
      <c r="K8" s="359">
        <f t="shared" si="1"/>
        <v>499.61520000000002</v>
      </c>
      <c r="L8" s="356">
        <f t="shared" si="2"/>
        <v>499.61520000000002</v>
      </c>
      <c r="M8" s="317"/>
      <c r="N8" s="193">
        <f t="shared" si="3"/>
        <v>138943.78709999999</v>
      </c>
      <c r="O8" s="191"/>
      <c r="P8" s="191"/>
    </row>
    <row r="9" spans="1:16" s="320" customFormat="1">
      <c r="A9" s="191">
        <v>4</v>
      </c>
      <c r="B9" s="191" t="s">
        <v>128</v>
      </c>
      <c r="C9" s="192" t="s">
        <v>176</v>
      </c>
      <c r="D9" s="192" t="s">
        <v>177</v>
      </c>
      <c r="E9" s="363" t="s">
        <v>178</v>
      </c>
      <c r="F9" s="355">
        <v>120</v>
      </c>
      <c r="G9" s="355">
        <v>91.8</v>
      </c>
      <c r="H9" s="359">
        <f t="shared" si="0"/>
        <v>11016</v>
      </c>
      <c r="I9" s="355">
        <v>0</v>
      </c>
      <c r="J9" s="355">
        <v>0</v>
      </c>
      <c r="K9" s="359">
        <f t="shared" si="1"/>
        <v>0</v>
      </c>
      <c r="L9" s="356">
        <f t="shared" si="2"/>
        <v>11016</v>
      </c>
      <c r="M9" s="317"/>
      <c r="N9" s="193">
        <f t="shared" si="3"/>
        <v>127927.78709999999</v>
      </c>
      <c r="O9" s="191"/>
      <c r="P9" s="191"/>
    </row>
    <row r="10" spans="1:16" s="320" customFormat="1">
      <c r="A10" s="191">
        <v>5</v>
      </c>
      <c r="B10" s="191" t="s">
        <v>130</v>
      </c>
      <c r="C10" s="192" t="s">
        <v>179</v>
      </c>
      <c r="D10" s="192" t="s">
        <v>180</v>
      </c>
      <c r="E10" s="321" t="s">
        <v>181</v>
      </c>
      <c r="F10" s="355">
        <v>30</v>
      </c>
      <c r="G10" s="355">
        <v>91.92</v>
      </c>
      <c r="H10" s="359">
        <f t="shared" si="0"/>
        <v>2757.6</v>
      </c>
      <c r="I10" s="355"/>
      <c r="J10" s="355"/>
      <c r="K10" s="359">
        <f t="shared" si="1"/>
        <v>0</v>
      </c>
      <c r="L10" s="356">
        <f t="shared" si="2"/>
        <v>2757.6</v>
      </c>
      <c r="M10" s="317">
        <v>50000</v>
      </c>
      <c r="N10" s="193">
        <f t="shared" si="3"/>
        <v>175170.18709999998</v>
      </c>
      <c r="O10" s="191"/>
      <c r="P10" s="191"/>
    </row>
    <row r="11" spans="1:16" s="320" customFormat="1">
      <c r="A11" s="191">
        <v>6</v>
      </c>
      <c r="B11" s="191" t="s">
        <v>130</v>
      </c>
      <c r="C11" s="192" t="s">
        <v>182</v>
      </c>
      <c r="D11" s="192" t="s">
        <v>183</v>
      </c>
      <c r="E11" s="321" t="s">
        <v>184</v>
      </c>
      <c r="F11" s="355">
        <v>43.95</v>
      </c>
      <c r="G11" s="355">
        <v>91.08</v>
      </c>
      <c r="H11" s="359">
        <f t="shared" si="0"/>
        <v>4002.9660000000003</v>
      </c>
      <c r="I11" s="355"/>
      <c r="J11" s="355"/>
      <c r="K11" s="359">
        <f t="shared" si="1"/>
        <v>0</v>
      </c>
      <c r="L11" s="356">
        <f t="shared" si="2"/>
        <v>4002.9660000000003</v>
      </c>
      <c r="M11" s="317"/>
      <c r="N11" s="193">
        <f t="shared" si="3"/>
        <v>171167.22109999997</v>
      </c>
      <c r="O11" s="191"/>
      <c r="P11" s="191"/>
    </row>
    <row r="12" spans="1:16" s="320" customFormat="1">
      <c r="A12" s="191">
        <v>7</v>
      </c>
      <c r="B12" s="191" t="s">
        <v>130</v>
      </c>
      <c r="C12" s="192" t="s">
        <v>185</v>
      </c>
      <c r="D12" s="192" t="s">
        <v>186</v>
      </c>
      <c r="E12" s="321" t="s">
        <v>187</v>
      </c>
      <c r="F12" s="355">
        <v>434.31</v>
      </c>
      <c r="G12" s="355">
        <v>92.1</v>
      </c>
      <c r="H12" s="359">
        <v>40000</v>
      </c>
      <c r="I12" s="355"/>
      <c r="J12" s="355"/>
      <c r="K12" s="359">
        <f t="shared" si="1"/>
        <v>0</v>
      </c>
      <c r="L12" s="356">
        <f t="shared" si="2"/>
        <v>40000</v>
      </c>
      <c r="M12" s="317"/>
      <c r="N12" s="193">
        <f t="shared" si="3"/>
        <v>131167.22109999997</v>
      </c>
      <c r="O12" s="191"/>
      <c r="P12" s="191"/>
    </row>
    <row r="13" spans="1:16" s="320" customFormat="1">
      <c r="A13" s="325">
        <v>8</v>
      </c>
      <c r="B13" s="191" t="s">
        <v>130</v>
      </c>
      <c r="C13" s="323" t="s">
        <v>188</v>
      </c>
      <c r="D13" s="323" t="s">
        <v>189</v>
      </c>
      <c r="E13" s="324" t="s">
        <v>190</v>
      </c>
      <c r="F13" s="355">
        <v>140</v>
      </c>
      <c r="G13" s="355">
        <v>92.09</v>
      </c>
      <c r="H13" s="359">
        <f t="shared" si="0"/>
        <v>12892.6</v>
      </c>
      <c r="I13" s="355"/>
      <c r="J13" s="355"/>
      <c r="K13" s="359">
        <f t="shared" si="1"/>
        <v>0</v>
      </c>
      <c r="L13" s="356">
        <f t="shared" si="2"/>
        <v>12892.6</v>
      </c>
      <c r="M13" s="317"/>
      <c r="N13" s="193">
        <f t="shared" si="3"/>
        <v>118274.62109999996</v>
      </c>
      <c r="O13" s="191"/>
      <c r="P13" s="191"/>
    </row>
    <row r="14" spans="1:16" s="320" customFormat="1">
      <c r="A14" s="191">
        <v>9</v>
      </c>
      <c r="B14" s="191" t="s">
        <v>130</v>
      </c>
      <c r="C14" s="192" t="s">
        <v>191</v>
      </c>
      <c r="D14" s="192" t="s">
        <v>192</v>
      </c>
      <c r="E14" s="321" t="s">
        <v>193</v>
      </c>
      <c r="F14" s="355">
        <v>20</v>
      </c>
      <c r="G14" s="355">
        <v>91.59</v>
      </c>
      <c r="H14" s="359">
        <f t="shared" si="0"/>
        <v>1831.8000000000002</v>
      </c>
      <c r="I14" s="355"/>
      <c r="J14" s="355"/>
      <c r="K14" s="359">
        <f t="shared" si="1"/>
        <v>0</v>
      </c>
      <c r="L14" s="356">
        <f t="shared" si="2"/>
        <v>1831.8000000000002</v>
      </c>
      <c r="M14" s="317"/>
      <c r="N14" s="193">
        <f t="shared" si="3"/>
        <v>116442.82109999996</v>
      </c>
      <c r="O14" s="191"/>
      <c r="P14" s="191"/>
    </row>
    <row r="15" spans="1:16" s="320" customFormat="1">
      <c r="A15" s="191">
        <v>10</v>
      </c>
      <c r="B15" s="191" t="s">
        <v>130</v>
      </c>
      <c r="C15" s="192" t="s">
        <v>170</v>
      </c>
      <c r="D15" s="192" t="s">
        <v>171</v>
      </c>
      <c r="E15" s="321" t="s">
        <v>172</v>
      </c>
      <c r="F15" s="355">
        <v>81.48</v>
      </c>
      <c r="G15" s="355">
        <v>91.5</v>
      </c>
      <c r="H15" s="359">
        <f t="shared" si="0"/>
        <v>7455.42</v>
      </c>
      <c r="I15" s="355">
        <v>4.83</v>
      </c>
      <c r="J15" s="355">
        <v>103.44</v>
      </c>
      <c r="K15" s="359">
        <f t="shared" si="1"/>
        <v>499.61520000000002</v>
      </c>
      <c r="L15" s="356">
        <f t="shared" si="2"/>
        <v>7955.0352000000003</v>
      </c>
      <c r="M15" s="317"/>
      <c r="N15" s="193">
        <f t="shared" si="3"/>
        <v>108487.78589999996</v>
      </c>
      <c r="O15" s="191"/>
      <c r="P15" s="191"/>
    </row>
    <row r="16" spans="1:16" s="320" customFormat="1">
      <c r="A16" s="191">
        <v>11</v>
      </c>
      <c r="B16" s="191" t="s">
        <v>130</v>
      </c>
      <c r="C16" s="192" t="s">
        <v>194</v>
      </c>
      <c r="D16" s="192" t="s">
        <v>195</v>
      </c>
      <c r="E16" s="321" t="s">
        <v>196</v>
      </c>
      <c r="F16" s="355">
        <v>100</v>
      </c>
      <c r="G16" s="355">
        <v>91.19</v>
      </c>
      <c r="H16" s="359">
        <f t="shared" si="0"/>
        <v>9119</v>
      </c>
      <c r="I16" s="355"/>
      <c r="J16" s="355"/>
      <c r="K16" s="359">
        <f t="shared" si="1"/>
        <v>0</v>
      </c>
      <c r="L16" s="356">
        <f t="shared" si="2"/>
        <v>9119</v>
      </c>
      <c r="M16" s="317"/>
      <c r="N16" s="193">
        <f t="shared" si="3"/>
        <v>99368.785899999959</v>
      </c>
      <c r="O16" s="191"/>
      <c r="P16" s="191"/>
    </row>
    <row r="17" spans="1:19" s="320" customFormat="1">
      <c r="A17" s="191">
        <v>12</v>
      </c>
      <c r="B17" s="191" t="s">
        <v>130</v>
      </c>
      <c r="C17" s="192" t="s">
        <v>176</v>
      </c>
      <c r="D17" s="192" t="s">
        <v>177</v>
      </c>
      <c r="E17" s="321" t="s">
        <v>178</v>
      </c>
      <c r="F17" s="355">
        <v>100</v>
      </c>
      <c r="G17" s="355">
        <v>91.8</v>
      </c>
      <c r="H17" s="359">
        <f t="shared" si="0"/>
        <v>9180</v>
      </c>
      <c r="I17" s="355"/>
      <c r="J17" s="355"/>
      <c r="K17" s="359">
        <f t="shared" si="1"/>
        <v>0</v>
      </c>
      <c r="L17" s="356">
        <f t="shared" si="2"/>
        <v>9180</v>
      </c>
      <c r="M17" s="317"/>
      <c r="N17" s="193">
        <f t="shared" si="3"/>
        <v>90188.785899999959</v>
      </c>
      <c r="O17" s="191"/>
      <c r="P17" s="191"/>
    </row>
    <row r="18" spans="1:19" s="320" customFormat="1">
      <c r="A18" s="191">
        <v>13</v>
      </c>
      <c r="B18" s="191" t="s">
        <v>131</v>
      </c>
      <c r="C18" s="192" t="s">
        <v>197</v>
      </c>
      <c r="D18" s="192" t="s">
        <v>198</v>
      </c>
      <c r="E18" s="321" t="s">
        <v>184</v>
      </c>
      <c r="F18" s="316">
        <v>38.93</v>
      </c>
      <c r="G18" s="316">
        <v>91.47</v>
      </c>
      <c r="H18" s="359">
        <f t="shared" si="0"/>
        <v>3560.9270999999999</v>
      </c>
      <c r="I18" s="316"/>
      <c r="J18" s="316"/>
      <c r="K18" s="359">
        <f t="shared" si="1"/>
        <v>0</v>
      </c>
      <c r="L18" s="356">
        <f t="shared" si="2"/>
        <v>3560.9270999999999</v>
      </c>
      <c r="M18" s="317"/>
      <c r="N18" s="193">
        <f t="shared" si="3"/>
        <v>86627.858799999958</v>
      </c>
      <c r="O18" s="191"/>
      <c r="P18" s="191"/>
    </row>
    <row r="19" spans="1:19" s="320" customFormat="1">
      <c r="A19" s="191">
        <v>14</v>
      </c>
      <c r="B19" s="191" t="s">
        <v>131</v>
      </c>
      <c r="C19" s="192" t="s">
        <v>179</v>
      </c>
      <c r="D19" s="192" t="s">
        <v>180</v>
      </c>
      <c r="E19" s="321" t="s">
        <v>181</v>
      </c>
      <c r="F19" s="316">
        <v>44.83</v>
      </c>
      <c r="G19" s="316">
        <v>91.92</v>
      </c>
      <c r="H19" s="359">
        <f t="shared" si="0"/>
        <v>4120.7735999999995</v>
      </c>
      <c r="I19" s="316"/>
      <c r="J19" s="316"/>
      <c r="K19" s="359">
        <f t="shared" si="1"/>
        <v>0</v>
      </c>
      <c r="L19" s="356">
        <f t="shared" si="2"/>
        <v>4120.7735999999995</v>
      </c>
      <c r="M19" s="317"/>
      <c r="N19" s="193">
        <f t="shared" si="3"/>
        <v>82507.085199999958</v>
      </c>
      <c r="O19" s="191"/>
      <c r="P19" s="191"/>
    </row>
    <row r="20" spans="1:19" s="320" customFormat="1">
      <c r="A20" s="191">
        <v>15</v>
      </c>
      <c r="B20" s="191" t="s">
        <v>131</v>
      </c>
      <c r="C20" s="192" t="s">
        <v>170</v>
      </c>
      <c r="D20" s="192" t="s">
        <v>171</v>
      </c>
      <c r="E20" s="321" t="s">
        <v>172</v>
      </c>
      <c r="F20" s="316">
        <v>80</v>
      </c>
      <c r="G20" s="316">
        <v>91.5</v>
      </c>
      <c r="H20" s="359">
        <f t="shared" si="0"/>
        <v>7320</v>
      </c>
      <c r="I20" s="316">
        <v>1.93</v>
      </c>
      <c r="J20" s="316">
        <v>103.44</v>
      </c>
      <c r="K20" s="359">
        <f t="shared" si="1"/>
        <v>199.63919999999999</v>
      </c>
      <c r="L20" s="356">
        <f t="shared" si="2"/>
        <v>7519.6391999999996</v>
      </c>
      <c r="M20" s="317"/>
      <c r="N20" s="193">
        <f t="shared" si="3"/>
        <v>74987.445999999953</v>
      </c>
      <c r="O20" s="191"/>
      <c r="P20" s="191"/>
    </row>
    <row r="21" spans="1:19" s="320" customFormat="1">
      <c r="A21" s="191">
        <v>16</v>
      </c>
      <c r="B21" s="191" t="s">
        <v>131</v>
      </c>
      <c r="C21" s="192" t="s">
        <v>176</v>
      </c>
      <c r="D21" s="192" t="s">
        <v>177</v>
      </c>
      <c r="E21" s="321" t="s">
        <v>178</v>
      </c>
      <c r="F21" s="316">
        <v>0</v>
      </c>
      <c r="G21" s="316">
        <v>0</v>
      </c>
      <c r="H21" s="359">
        <f t="shared" si="0"/>
        <v>0</v>
      </c>
      <c r="I21" s="316">
        <v>5</v>
      </c>
      <c r="J21" s="316">
        <v>103.76</v>
      </c>
      <c r="K21" s="359">
        <f t="shared" si="1"/>
        <v>518.80000000000007</v>
      </c>
      <c r="L21" s="356">
        <f t="shared" si="2"/>
        <v>518.80000000000007</v>
      </c>
      <c r="M21" s="317"/>
      <c r="N21" s="193">
        <f t="shared" si="3"/>
        <v>74468.64599999995</v>
      </c>
      <c r="O21" s="191"/>
      <c r="P21" s="191"/>
    </row>
    <row r="22" spans="1:19" s="320" customFormat="1">
      <c r="A22" s="191">
        <v>17</v>
      </c>
      <c r="B22" s="191" t="s">
        <v>131</v>
      </c>
      <c r="C22" s="192" t="s">
        <v>199</v>
      </c>
      <c r="D22" s="340" t="s">
        <v>200</v>
      </c>
      <c r="E22" s="321" t="s">
        <v>201</v>
      </c>
      <c r="F22" s="316"/>
      <c r="G22" s="316"/>
      <c r="H22" s="359">
        <f t="shared" si="0"/>
        <v>0</v>
      </c>
      <c r="I22" s="316">
        <v>8.3000000000000007</v>
      </c>
      <c r="J22" s="316">
        <v>102.46</v>
      </c>
      <c r="K22" s="359">
        <f t="shared" si="1"/>
        <v>850.41800000000001</v>
      </c>
      <c r="L22" s="356">
        <f t="shared" si="2"/>
        <v>850.41800000000001</v>
      </c>
      <c r="M22" s="317"/>
      <c r="N22" s="193">
        <f t="shared" si="3"/>
        <v>73618.227999999945</v>
      </c>
      <c r="O22" s="191"/>
      <c r="P22" s="191"/>
    </row>
    <row r="23" spans="1:19" s="320" customFormat="1">
      <c r="A23" s="191">
        <v>18</v>
      </c>
      <c r="B23" s="191" t="s">
        <v>131</v>
      </c>
      <c r="C23" s="192" t="s">
        <v>202</v>
      </c>
      <c r="D23" s="192" t="s">
        <v>203</v>
      </c>
      <c r="E23" s="321" t="s">
        <v>204</v>
      </c>
      <c r="F23" s="316"/>
      <c r="G23" s="316"/>
      <c r="H23" s="359">
        <f t="shared" si="0"/>
        <v>0</v>
      </c>
      <c r="I23" s="316">
        <v>9.68</v>
      </c>
      <c r="J23" s="316">
        <v>103.39</v>
      </c>
      <c r="K23" s="359">
        <f t="shared" si="1"/>
        <v>1000.8152</v>
      </c>
      <c r="L23" s="356">
        <f t="shared" si="2"/>
        <v>1000.8152</v>
      </c>
      <c r="M23" s="317"/>
      <c r="N23" s="193">
        <f t="shared" si="3"/>
        <v>72617.412799999947</v>
      </c>
      <c r="O23" s="191"/>
      <c r="P23" s="191"/>
    </row>
    <row r="24" spans="1:19" s="320" customFormat="1">
      <c r="A24" s="191">
        <v>19</v>
      </c>
      <c r="B24" s="191" t="s">
        <v>132</v>
      </c>
      <c r="C24" s="192" t="s">
        <v>179</v>
      </c>
      <c r="D24" s="192" t="s">
        <v>180</v>
      </c>
      <c r="E24" s="321" t="s">
        <v>181</v>
      </c>
      <c r="F24" s="316">
        <v>80</v>
      </c>
      <c r="G24" s="316">
        <v>91.92</v>
      </c>
      <c r="H24" s="359">
        <f t="shared" si="0"/>
        <v>7353.6</v>
      </c>
      <c r="I24" s="316">
        <v>5.87</v>
      </c>
      <c r="J24" s="316">
        <v>103.39</v>
      </c>
      <c r="K24" s="359">
        <f t="shared" ref="K24:K30" si="4">I24*J24</f>
        <v>606.89930000000004</v>
      </c>
      <c r="L24" s="356">
        <f t="shared" ref="L24:L31" si="5">H24+K24</f>
        <v>7960.4993000000004</v>
      </c>
      <c r="M24" s="317"/>
      <c r="N24" s="193">
        <f t="shared" si="3"/>
        <v>64656.913499999944</v>
      </c>
      <c r="O24" s="191"/>
      <c r="P24" s="191"/>
      <c r="R24" s="341"/>
      <c r="S24" s="341"/>
    </row>
    <row r="25" spans="1:19" s="320" customFormat="1">
      <c r="A25" s="191">
        <v>20</v>
      </c>
      <c r="B25" s="191" t="s">
        <v>132</v>
      </c>
      <c r="C25" s="192" t="s">
        <v>188</v>
      </c>
      <c r="D25" s="192" t="s">
        <v>189</v>
      </c>
      <c r="E25" s="321" t="s">
        <v>190</v>
      </c>
      <c r="F25" s="316">
        <v>280</v>
      </c>
      <c r="G25" s="316">
        <v>92.09</v>
      </c>
      <c r="H25" s="359">
        <f t="shared" si="0"/>
        <v>25785.200000000001</v>
      </c>
      <c r="I25" s="316">
        <v>35</v>
      </c>
      <c r="J25" s="316">
        <v>103.86</v>
      </c>
      <c r="K25" s="359">
        <f t="shared" si="4"/>
        <v>3635.1</v>
      </c>
      <c r="L25" s="356">
        <f t="shared" si="5"/>
        <v>29420.3</v>
      </c>
      <c r="M25" s="317"/>
      <c r="N25" s="193">
        <f t="shared" si="3"/>
        <v>35236.613499999949</v>
      </c>
      <c r="O25" s="191"/>
      <c r="P25" s="191"/>
    </row>
    <row r="26" spans="1:19" s="320" customFormat="1">
      <c r="A26" s="325">
        <v>21</v>
      </c>
      <c r="B26" s="191" t="s">
        <v>132</v>
      </c>
      <c r="C26" s="320" t="s">
        <v>191</v>
      </c>
      <c r="D26" s="323" t="s">
        <v>192</v>
      </c>
      <c r="E26" s="324" t="s">
        <v>193</v>
      </c>
      <c r="F26" s="316">
        <v>64.010000000000005</v>
      </c>
      <c r="G26" s="316">
        <v>91.59</v>
      </c>
      <c r="H26" s="359">
        <f t="shared" si="0"/>
        <v>5862.6759000000011</v>
      </c>
      <c r="I26" s="316">
        <v>0</v>
      </c>
      <c r="J26" s="316">
        <v>0</v>
      </c>
      <c r="K26" s="359">
        <f t="shared" si="4"/>
        <v>0</v>
      </c>
      <c r="L26" s="356">
        <f t="shared" si="5"/>
        <v>5862.6759000000011</v>
      </c>
      <c r="M26" s="317"/>
      <c r="N26" s="193">
        <f t="shared" si="3"/>
        <v>29373.937599999947</v>
      </c>
      <c r="O26" s="325"/>
      <c r="P26" s="325"/>
    </row>
    <row r="27" spans="1:19" s="320" customFormat="1">
      <c r="A27" s="191">
        <v>22</v>
      </c>
      <c r="B27" s="191" t="s">
        <v>132</v>
      </c>
      <c r="C27" s="192" t="s">
        <v>167</v>
      </c>
      <c r="D27" s="192" t="s">
        <v>168</v>
      </c>
      <c r="E27" s="321" t="s">
        <v>169</v>
      </c>
      <c r="F27" s="316">
        <v>5.48</v>
      </c>
      <c r="G27" s="316">
        <v>91.33</v>
      </c>
      <c r="H27" s="359">
        <f t="shared" si="0"/>
        <v>500.48840000000001</v>
      </c>
      <c r="I27" s="316">
        <v>11.68</v>
      </c>
      <c r="J27" s="316">
        <v>103.26</v>
      </c>
      <c r="K27" s="359">
        <f t="shared" si="4"/>
        <v>1206.0768</v>
      </c>
      <c r="L27" s="356">
        <f t="shared" si="5"/>
        <v>1706.5652</v>
      </c>
      <c r="M27" s="317"/>
      <c r="N27" s="193">
        <f t="shared" si="3"/>
        <v>27667.372399999946</v>
      </c>
      <c r="O27" s="191"/>
      <c r="P27" s="191"/>
    </row>
    <row r="28" spans="1:19" s="320" customFormat="1">
      <c r="A28" s="191">
        <v>23</v>
      </c>
      <c r="B28" s="191" t="s">
        <v>132</v>
      </c>
      <c r="C28" s="191" t="s">
        <v>170</v>
      </c>
      <c r="D28" s="191" t="s">
        <v>171</v>
      </c>
      <c r="E28" s="315" t="s">
        <v>172</v>
      </c>
      <c r="F28" s="316">
        <v>30</v>
      </c>
      <c r="G28" s="316">
        <v>91.5</v>
      </c>
      <c r="H28" s="359">
        <f t="shared" si="0"/>
        <v>2745</v>
      </c>
      <c r="I28" s="316">
        <v>0</v>
      </c>
      <c r="J28" s="316">
        <v>0</v>
      </c>
      <c r="K28" s="359">
        <f t="shared" si="4"/>
        <v>0</v>
      </c>
      <c r="L28" s="356">
        <f t="shared" si="5"/>
        <v>2745</v>
      </c>
      <c r="M28" s="317"/>
      <c r="N28" s="193">
        <f t="shared" si="3"/>
        <v>24922.372399999946</v>
      </c>
      <c r="O28" s="191"/>
      <c r="P28" s="191"/>
    </row>
    <row r="29" spans="1:19" s="320" customFormat="1">
      <c r="A29" s="191">
        <v>24</v>
      </c>
      <c r="B29" s="191" t="s">
        <v>132</v>
      </c>
      <c r="C29" s="191" t="s">
        <v>176</v>
      </c>
      <c r="D29" s="191" t="s">
        <v>177</v>
      </c>
      <c r="E29" s="315" t="s">
        <v>178</v>
      </c>
      <c r="F29" s="316">
        <v>110</v>
      </c>
      <c r="G29" s="316">
        <v>91.8</v>
      </c>
      <c r="H29" s="359">
        <f t="shared" si="0"/>
        <v>10098</v>
      </c>
      <c r="I29" s="316">
        <v>0</v>
      </c>
      <c r="J29" s="316">
        <v>0</v>
      </c>
      <c r="K29" s="359">
        <f t="shared" si="4"/>
        <v>0</v>
      </c>
      <c r="L29" s="356">
        <f t="shared" si="5"/>
        <v>10098</v>
      </c>
      <c r="M29" s="317"/>
      <c r="N29" s="193">
        <f t="shared" si="3"/>
        <v>14824.372399999946</v>
      </c>
      <c r="O29" s="191"/>
      <c r="P29" s="191"/>
    </row>
    <row r="30" spans="1:19" s="320" customFormat="1">
      <c r="A30" s="325">
        <v>25</v>
      </c>
      <c r="B30" s="325" t="s">
        <v>205</v>
      </c>
      <c r="C30" s="192" t="s">
        <v>179</v>
      </c>
      <c r="D30" s="192" t="s">
        <v>180</v>
      </c>
      <c r="E30" s="321" t="s">
        <v>181</v>
      </c>
      <c r="F30" s="316">
        <v>40</v>
      </c>
      <c r="G30" s="316">
        <v>91.92</v>
      </c>
      <c r="H30" s="359">
        <f t="shared" si="0"/>
        <v>3676.8</v>
      </c>
      <c r="I30" s="316">
        <v>10</v>
      </c>
      <c r="J30" s="316">
        <v>103.96</v>
      </c>
      <c r="K30" s="359">
        <f t="shared" si="4"/>
        <v>1039.5999999999999</v>
      </c>
      <c r="L30" s="356">
        <f t="shared" si="5"/>
        <v>4716.3999999999996</v>
      </c>
      <c r="M30" s="317"/>
      <c r="N30" s="193">
        <f t="shared" si="3"/>
        <v>10107.972399999946</v>
      </c>
      <c r="O30" s="325"/>
      <c r="P30" s="325"/>
    </row>
    <row r="31" spans="1:19" s="320" customFormat="1">
      <c r="A31" s="191">
        <v>26</v>
      </c>
      <c r="B31" s="325" t="s">
        <v>205</v>
      </c>
      <c r="C31" s="320" t="s">
        <v>191</v>
      </c>
      <c r="D31" s="323" t="s">
        <v>192</v>
      </c>
      <c r="E31" s="324" t="s">
        <v>193</v>
      </c>
      <c r="F31" s="316">
        <v>70</v>
      </c>
      <c r="G31" s="316">
        <v>91.59</v>
      </c>
      <c r="H31" s="359">
        <f t="shared" si="0"/>
        <v>6411.3</v>
      </c>
      <c r="I31" s="316">
        <v>0</v>
      </c>
      <c r="J31" s="316">
        <v>0</v>
      </c>
      <c r="K31" s="359">
        <f t="shared" ref="K31:K50" si="6">I31*J31</f>
        <v>0</v>
      </c>
      <c r="L31" s="356">
        <f t="shared" ref="L31:L51" si="7">H31+K31</f>
        <v>6411.3</v>
      </c>
      <c r="M31" s="317"/>
      <c r="N31" s="193">
        <f t="shared" ref="N31:N94" si="8">N30+M31-L31</f>
        <v>3696.6723999999458</v>
      </c>
      <c r="O31" s="191"/>
      <c r="P31" s="191"/>
      <c r="Q31" s="341"/>
      <c r="R31" s="341"/>
    </row>
    <row r="32" spans="1:19" s="320" customFormat="1">
      <c r="A32" s="191">
        <v>27</v>
      </c>
      <c r="B32" s="325" t="s">
        <v>133</v>
      </c>
      <c r="C32" s="192" t="s">
        <v>179</v>
      </c>
      <c r="D32" s="192" t="s">
        <v>180</v>
      </c>
      <c r="E32" s="321" t="s">
        <v>181</v>
      </c>
      <c r="F32" s="316">
        <v>0</v>
      </c>
      <c r="G32" s="316">
        <v>0</v>
      </c>
      <c r="H32" s="359">
        <f t="shared" si="0"/>
        <v>0</v>
      </c>
      <c r="I32" s="316">
        <v>6.74</v>
      </c>
      <c r="J32" s="316">
        <v>103.96</v>
      </c>
      <c r="K32" s="359">
        <f t="shared" si="6"/>
        <v>700.69039999999995</v>
      </c>
      <c r="L32" s="356">
        <f t="shared" si="7"/>
        <v>700.69039999999995</v>
      </c>
      <c r="M32" s="317">
        <v>500000</v>
      </c>
      <c r="N32" s="193">
        <f t="shared" si="8"/>
        <v>502995.9819999999</v>
      </c>
      <c r="O32" s="191"/>
      <c r="P32" s="191"/>
    </row>
    <row r="33" spans="1:16" s="320" customFormat="1">
      <c r="A33" s="191">
        <v>28</v>
      </c>
      <c r="B33" s="325" t="s">
        <v>133</v>
      </c>
      <c r="C33" s="192" t="s">
        <v>206</v>
      </c>
      <c r="D33" s="192" t="s">
        <v>89</v>
      </c>
      <c r="E33" s="321" t="s">
        <v>201</v>
      </c>
      <c r="F33" s="316">
        <v>0</v>
      </c>
      <c r="G33" s="316">
        <v>0</v>
      </c>
      <c r="H33" s="359">
        <f t="shared" si="0"/>
        <v>0</v>
      </c>
      <c r="I33" s="316">
        <v>6.05</v>
      </c>
      <c r="J33" s="316">
        <v>102.46</v>
      </c>
      <c r="K33" s="359">
        <f t="shared" si="6"/>
        <v>619.88299999999992</v>
      </c>
      <c r="L33" s="356">
        <f t="shared" si="7"/>
        <v>619.88299999999992</v>
      </c>
      <c r="M33" s="317">
        <v>750000</v>
      </c>
      <c r="N33" s="193">
        <f t="shared" si="8"/>
        <v>1252376.0989999999</v>
      </c>
      <c r="O33" s="191"/>
      <c r="P33" s="191"/>
    </row>
    <row r="34" spans="1:16" s="320" customFormat="1">
      <c r="A34" s="191">
        <v>29</v>
      </c>
      <c r="B34" s="325" t="s">
        <v>133</v>
      </c>
      <c r="C34" s="191" t="s">
        <v>185</v>
      </c>
      <c r="D34" s="191" t="s">
        <v>207</v>
      </c>
      <c r="E34" s="315" t="s">
        <v>187</v>
      </c>
      <c r="F34" s="316">
        <v>1049.47</v>
      </c>
      <c r="G34" s="316">
        <v>92.1</v>
      </c>
      <c r="H34" s="359">
        <f t="shared" si="0"/>
        <v>96656.186999999991</v>
      </c>
      <c r="I34" s="316">
        <v>0</v>
      </c>
      <c r="J34" s="316">
        <v>0</v>
      </c>
      <c r="K34" s="359">
        <f t="shared" si="6"/>
        <v>0</v>
      </c>
      <c r="L34" s="356">
        <f t="shared" si="7"/>
        <v>96656.186999999991</v>
      </c>
      <c r="M34" s="317"/>
      <c r="N34" s="193">
        <f t="shared" si="8"/>
        <v>1155719.912</v>
      </c>
      <c r="O34" s="191"/>
      <c r="P34" s="191"/>
    </row>
    <row r="35" spans="1:16" s="320" customFormat="1">
      <c r="A35" s="191">
        <v>30</v>
      </c>
      <c r="B35" s="325" t="s">
        <v>133</v>
      </c>
      <c r="C35" s="191" t="s">
        <v>208</v>
      </c>
      <c r="D35" s="191" t="s">
        <v>209</v>
      </c>
      <c r="E35" s="315" t="s">
        <v>210</v>
      </c>
      <c r="F35" s="316">
        <v>2190</v>
      </c>
      <c r="G35" s="316">
        <v>91.3</v>
      </c>
      <c r="H35" s="359">
        <f t="shared" si="0"/>
        <v>199947</v>
      </c>
      <c r="I35" s="316">
        <v>0</v>
      </c>
      <c r="J35" s="316">
        <v>0</v>
      </c>
      <c r="K35" s="359">
        <f t="shared" si="6"/>
        <v>0</v>
      </c>
      <c r="L35" s="356">
        <f t="shared" si="7"/>
        <v>199947</v>
      </c>
      <c r="M35" s="317"/>
      <c r="N35" s="193">
        <f t="shared" si="8"/>
        <v>955772.91200000001</v>
      </c>
      <c r="O35" s="191"/>
      <c r="P35" s="191"/>
    </row>
    <row r="36" spans="1:16" s="320" customFormat="1">
      <c r="A36" s="191">
        <v>31</v>
      </c>
      <c r="B36" s="325" t="s">
        <v>133</v>
      </c>
      <c r="C36" s="191" t="s">
        <v>188</v>
      </c>
      <c r="D36" s="191" t="s">
        <v>189</v>
      </c>
      <c r="E36" s="315" t="s">
        <v>190</v>
      </c>
      <c r="F36" s="316">
        <v>325</v>
      </c>
      <c r="G36" s="316">
        <v>92.09</v>
      </c>
      <c r="H36" s="359">
        <f t="shared" si="0"/>
        <v>29929.25</v>
      </c>
      <c r="I36" s="316">
        <v>0</v>
      </c>
      <c r="J36" s="316">
        <v>0</v>
      </c>
      <c r="K36" s="359">
        <f t="shared" si="6"/>
        <v>0</v>
      </c>
      <c r="L36" s="356">
        <f t="shared" si="7"/>
        <v>29929.25</v>
      </c>
      <c r="M36" s="317"/>
      <c r="N36" s="193">
        <f t="shared" si="8"/>
        <v>925843.66200000001</v>
      </c>
      <c r="O36" s="191"/>
      <c r="P36" s="191"/>
    </row>
    <row r="37" spans="1:16" s="320" customFormat="1">
      <c r="A37" s="191">
        <v>32</v>
      </c>
      <c r="B37" s="325" t="s">
        <v>133</v>
      </c>
      <c r="C37" s="191" t="s">
        <v>44</v>
      </c>
      <c r="D37" s="191" t="s">
        <v>211</v>
      </c>
      <c r="E37" s="315" t="s">
        <v>212</v>
      </c>
      <c r="F37" s="316">
        <v>1628.66</v>
      </c>
      <c r="G37" s="316">
        <v>92.1</v>
      </c>
      <c r="H37" s="359">
        <f t="shared" si="0"/>
        <v>149999.58600000001</v>
      </c>
      <c r="I37" s="316">
        <v>0</v>
      </c>
      <c r="J37" s="316">
        <v>0</v>
      </c>
      <c r="K37" s="359">
        <f t="shared" si="6"/>
        <v>0</v>
      </c>
      <c r="L37" s="356">
        <f t="shared" si="7"/>
        <v>149999.58600000001</v>
      </c>
      <c r="M37" s="317"/>
      <c r="N37" s="193">
        <f t="shared" si="8"/>
        <v>775844.076</v>
      </c>
      <c r="O37" s="191"/>
      <c r="P37" s="191"/>
    </row>
    <row r="38" spans="1:16" s="320" customFormat="1">
      <c r="A38" s="191">
        <v>33</v>
      </c>
      <c r="B38" s="325" t="s">
        <v>133</v>
      </c>
      <c r="C38" s="191" t="s">
        <v>170</v>
      </c>
      <c r="D38" s="191" t="s">
        <v>171</v>
      </c>
      <c r="E38" s="315" t="s">
        <v>172</v>
      </c>
      <c r="F38" s="316">
        <v>0</v>
      </c>
      <c r="G38" s="316">
        <v>0</v>
      </c>
      <c r="H38" s="359">
        <f t="shared" si="0"/>
        <v>0</v>
      </c>
      <c r="I38" s="316">
        <v>4.83</v>
      </c>
      <c r="J38" s="316">
        <v>103.44</v>
      </c>
      <c r="K38" s="359">
        <f t="shared" si="6"/>
        <v>499.61520000000002</v>
      </c>
      <c r="L38" s="356">
        <f t="shared" si="7"/>
        <v>499.61520000000002</v>
      </c>
      <c r="M38" s="317"/>
      <c r="N38" s="193">
        <f t="shared" si="8"/>
        <v>775344.4608</v>
      </c>
      <c r="O38" s="191"/>
      <c r="P38" s="191"/>
    </row>
    <row r="39" spans="1:16" s="320" customFormat="1">
      <c r="A39" s="191">
        <v>34</v>
      </c>
      <c r="B39" s="191" t="s">
        <v>213</v>
      </c>
      <c r="C39" s="191" t="s">
        <v>179</v>
      </c>
      <c r="D39" s="191" t="s">
        <v>180</v>
      </c>
      <c r="E39" s="315" t="s">
        <v>181</v>
      </c>
      <c r="F39" s="366">
        <v>61.36</v>
      </c>
      <c r="G39" s="366">
        <v>91.92</v>
      </c>
      <c r="H39" s="367">
        <f t="shared" si="0"/>
        <v>5640.2111999999997</v>
      </c>
      <c r="I39" s="316">
        <v>0</v>
      </c>
      <c r="J39" s="316">
        <v>0</v>
      </c>
      <c r="K39" s="359">
        <f t="shared" si="6"/>
        <v>0</v>
      </c>
      <c r="L39" s="356">
        <f t="shared" si="7"/>
        <v>5640.2111999999997</v>
      </c>
      <c r="M39" s="317"/>
      <c r="N39" s="193">
        <f t="shared" si="8"/>
        <v>769704.24959999998</v>
      </c>
      <c r="O39" s="191"/>
      <c r="P39" s="191"/>
    </row>
    <row r="40" spans="1:16" s="320" customFormat="1">
      <c r="A40" s="191">
        <v>35</v>
      </c>
      <c r="B40" s="191" t="s">
        <v>213</v>
      </c>
      <c r="C40" s="191" t="s">
        <v>214</v>
      </c>
      <c r="D40" s="191" t="s">
        <v>215</v>
      </c>
      <c r="E40" s="365" t="s">
        <v>184</v>
      </c>
      <c r="F40" s="120">
        <v>27.46</v>
      </c>
      <c r="G40" s="120">
        <v>92.03</v>
      </c>
      <c r="H40" s="359">
        <f t="shared" si="0"/>
        <v>2527.1438000000003</v>
      </c>
      <c r="I40" s="316">
        <v>0</v>
      </c>
      <c r="J40" s="316">
        <v>0</v>
      </c>
      <c r="K40" s="359">
        <f t="shared" si="6"/>
        <v>0</v>
      </c>
      <c r="L40" s="356">
        <f t="shared" si="7"/>
        <v>2527.1438000000003</v>
      </c>
      <c r="M40" s="317"/>
      <c r="N40" s="193">
        <f t="shared" si="8"/>
        <v>767177.10580000002</v>
      </c>
      <c r="O40" s="191"/>
      <c r="P40" s="191"/>
    </row>
    <row r="41" spans="1:16" s="320" customFormat="1">
      <c r="A41" s="191">
        <v>36</v>
      </c>
      <c r="B41" s="191" t="s">
        <v>213</v>
      </c>
      <c r="C41" s="191" t="s">
        <v>216</v>
      </c>
      <c r="D41" s="191" t="s">
        <v>217</v>
      </c>
      <c r="E41" s="365" t="s">
        <v>184</v>
      </c>
      <c r="F41" s="120">
        <v>21.79</v>
      </c>
      <c r="G41" s="120">
        <v>91.78</v>
      </c>
      <c r="H41" s="359">
        <f t="shared" si="0"/>
        <v>1999.8861999999999</v>
      </c>
      <c r="I41" s="316">
        <v>0</v>
      </c>
      <c r="J41" s="316">
        <v>0</v>
      </c>
      <c r="K41" s="359">
        <f t="shared" si="6"/>
        <v>0</v>
      </c>
      <c r="L41" s="356">
        <f t="shared" si="7"/>
        <v>1999.8861999999999</v>
      </c>
      <c r="M41" s="317"/>
      <c r="N41" s="193">
        <f t="shared" si="8"/>
        <v>765177.21960000007</v>
      </c>
      <c r="O41" s="191"/>
      <c r="P41" s="191"/>
    </row>
    <row r="42" spans="1:16" s="320" customFormat="1">
      <c r="A42" s="191">
        <v>37</v>
      </c>
      <c r="B42" s="191" t="s">
        <v>213</v>
      </c>
      <c r="C42" s="364" t="s">
        <v>218</v>
      </c>
      <c r="D42" s="364" t="s">
        <v>219</v>
      </c>
      <c r="E42" s="365" t="s">
        <v>220</v>
      </c>
      <c r="F42" s="316">
        <v>1262.0999999999999</v>
      </c>
      <c r="G42" s="316">
        <v>91.47</v>
      </c>
      <c r="H42" s="359">
        <f t="shared" si="0"/>
        <v>115444.287</v>
      </c>
      <c r="I42" s="316">
        <v>0</v>
      </c>
      <c r="J42" s="316">
        <v>0</v>
      </c>
      <c r="K42" s="359">
        <f t="shared" si="6"/>
        <v>0</v>
      </c>
      <c r="L42" s="356">
        <f t="shared" si="7"/>
        <v>115444.287</v>
      </c>
      <c r="M42" s="317"/>
      <c r="N42" s="193">
        <f t="shared" si="8"/>
        <v>649732.93260000006</v>
      </c>
      <c r="O42" s="191"/>
      <c r="P42" s="191"/>
    </row>
    <row r="43" spans="1:16" s="320" customFormat="1">
      <c r="A43" s="191">
        <v>38</v>
      </c>
      <c r="B43" s="191" t="s">
        <v>213</v>
      </c>
      <c r="C43" s="191" t="s">
        <v>170</v>
      </c>
      <c r="D43" s="191" t="s">
        <v>171</v>
      </c>
      <c r="E43" s="315" t="s">
        <v>172</v>
      </c>
      <c r="F43" s="316">
        <v>94.38</v>
      </c>
      <c r="G43" s="316">
        <v>91.5</v>
      </c>
      <c r="H43" s="359">
        <f t="shared" si="0"/>
        <v>8635.77</v>
      </c>
      <c r="I43" s="316">
        <v>5</v>
      </c>
      <c r="J43" s="316">
        <v>103.44</v>
      </c>
      <c r="K43" s="359">
        <f t="shared" si="6"/>
        <v>517.20000000000005</v>
      </c>
      <c r="L43" s="356">
        <f t="shared" si="7"/>
        <v>9152.9700000000012</v>
      </c>
      <c r="M43" s="317"/>
      <c r="N43" s="193">
        <f t="shared" si="8"/>
        <v>640579.96260000009</v>
      </c>
      <c r="O43" s="191"/>
      <c r="P43" s="191"/>
    </row>
    <row r="44" spans="1:16" s="320" customFormat="1">
      <c r="A44" s="325">
        <v>39</v>
      </c>
      <c r="B44" s="191" t="s">
        <v>213</v>
      </c>
      <c r="C44" s="325" t="s">
        <v>176</v>
      </c>
      <c r="D44" s="325" t="s">
        <v>177</v>
      </c>
      <c r="E44" s="342" t="s">
        <v>178</v>
      </c>
      <c r="F44" s="316">
        <v>90</v>
      </c>
      <c r="G44" s="316">
        <v>91.8</v>
      </c>
      <c r="H44" s="359">
        <f t="shared" si="0"/>
        <v>8262</v>
      </c>
      <c r="I44" s="316">
        <v>0</v>
      </c>
      <c r="J44" s="316">
        <v>0</v>
      </c>
      <c r="K44" s="359">
        <f t="shared" si="6"/>
        <v>0</v>
      </c>
      <c r="L44" s="356">
        <f t="shared" si="7"/>
        <v>8262</v>
      </c>
      <c r="M44" s="317"/>
      <c r="N44" s="193">
        <f t="shared" si="8"/>
        <v>632317.96260000009</v>
      </c>
      <c r="O44" s="325"/>
      <c r="P44" s="325"/>
    </row>
    <row r="45" spans="1:16" s="320" customFormat="1">
      <c r="A45" s="191">
        <v>40</v>
      </c>
      <c r="B45" s="191" t="s">
        <v>213</v>
      </c>
      <c r="C45" s="192" t="s">
        <v>173</v>
      </c>
      <c r="D45" s="192" t="s">
        <v>174</v>
      </c>
      <c r="E45" s="321" t="s">
        <v>175</v>
      </c>
      <c r="F45" s="316">
        <v>60</v>
      </c>
      <c r="G45" s="316">
        <v>92.04</v>
      </c>
      <c r="H45" s="359">
        <f t="shared" si="0"/>
        <v>5522.4000000000005</v>
      </c>
      <c r="I45" s="316">
        <v>15</v>
      </c>
      <c r="J45" s="316">
        <v>104.02</v>
      </c>
      <c r="K45" s="359">
        <f t="shared" si="6"/>
        <v>1560.3</v>
      </c>
      <c r="L45" s="356">
        <f t="shared" si="7"/>
        <v>7082.7000000000007</v>
      </c>
      <c r="M45" s="317"/>
      <c r="N45" s="193">
        <f t="shared" si="8"/>
        <v>625235.26260000013</v>
      </c>
      <c r="O45" s="319"/>
      <c r="P45" s="193"/>
    </row>
    <row r="46" spans="1:16" s="320" customFormat="1">
      <c r="A46" s="191">
        <v>41</v>
      </c>
      <c r="B46" s="191" t="s">
        <v>134</v>
      </c>
      <c r="C46" s="191" t="s">
        <v>179</v>
      </c>
      <c r="D46" s="191" t="s">
        <v>180</v>
      </c>
      <c r="E46" s="315" t="s">
        <v>181</v>
      </c>
      <c r="F46" s="316">
        <v>50</v>
      </c>
      <c r="G46" s="316">
        <v>91.92</v>
      </c>
      <c r="H46" s="359">
        <f t="shared" si="0"/>
        <v>4596</v>
      </c>
      <c r="I46" s="316">
        <v>5.0999999999999996</v>
      </c>
      <c r="J46" s="316">
        <v>103.96</v>
      </c>
      <c r="K46" s="359">
        <f t="shared" si="6"/>
        <v>530.19599999999991</v>
      </c>
      <c r="L46" s="356">
        <f t="shared" si="7"/>
        <v>5126.1959999999999</v>
      </c>
      <c r="M46" s="317"/>
      <c r="N46" s="193">
        <f t="shared" si="8"/>
        <v>620109.06660000014</v>
      </c>
      <c r="O46" s="191"/>
      <c r="P46" s="191"/>
    </row>
    <row r="47" spans="1:16" s="320" customFormat="1">
      <c r="A47" s="338">
        <v>42</v>
      </c>
      <c r="B47" s="191" t="s">
        <v>134</v>
      </c>
      <c r="C47" s="338" t="s">
        <v>221</v>
      </c>
      <c r="D47" s="338" t="s">
        <v>222</v>
      </c>
      <c r="E47" s="343" t="s">
        <v>187</v>
      </c>
      <c r="F47" s="316">
        <v>533</v>
      </c>
      <c r="G47" s="316">
        <v>92.1</v>
      </c>
      <c r="H47" s="359">
        <f t="shared" si="0"/>
        <v>49089.299999999996</v>
      </c>
      <c r="I47" s="316">
        <v>8</v>
      </c>
      <c r="J47" s="316">
        <v>103.86</v>
      </c>
      <c r="K47" s="359">
        <f t="shared" si="6"/>
        <v>830.88</v>
      </c>
      <c r="L47" s="356">
        <f t="shared" si="7"/>
        <v>49920.179999999993</v>
      </c>
      <c r="M47" s="317"/>
      <c r="N47" s="193">
        <f t="shared" si="8"/>
        <v>570188.88660000009</v>
      </c>
      <c r="O47" s="338"/>
      <c r="P47" s="338"/>
    </row>
    <row r="48" spans="1:16" s="320" customFormat="1">
      <c r="A48" s="191">
        <v>43</v>
      </c>
      <c r="B48" s="191" t="s">
        <v>134</v>
      </c>
      <c r="C48" s="192" t="s">
        <v>188</v>
      </c>
      <c r="D48" s="192" t="s">
        <v>189</v>
      </c>
      <c r="E48" s="321" t="s">
        <v>190</v>
      </c>
      <c r="F48" s="316">
        <v>200</v>
      </c>
      <c r="G48" s="316">
        <v>92.09</v>
      </c>
      <c r="H48" s="359">
        <f t="shared" si="0"/>
        <v>18418</v>
      </c>
      <c r="I48" s="316">
        <v>15</v>
      </c>
      <c r="J48" s="316">
        <v>103.86</v>
      </c>
      <c r="K48" s="359">
        <f t="shared" si="6"/>
        <v>1557.9</v>
      </c>
      <c r="L48" s="356">
        <f t="shared" si="7"/>
        <v>19975.900000000001</v>
      </c>
      <c r="M48" s="317"/>
      <c r="N48" s="193">
        <f t="shared" si="8"/>
        <v>550212.98660000006</v>
      </c>
      <c r="O48" s="191"/>
      <c r="P48" s="191"/>
    </row>
    <row r="49" spans="1:16" s="320" customFormat="1">
      <c r="A49" s="325">
        <v>44</v>
      </c>
      <c r="B49" s="191" t="s">
        <v>134</v>
      </c>
      <c r="C49" s="325" t="s">
        <v>170</v>
      </c>
      <c r="D49" s="325" t="s">
        <v>171</v>
      </c>
      <c r="E49" s="342" t="s">
        <v>172</v>
      </c>
      <c r="F49" s="316">
        <v>0</v>
      </c>
      <c r="G49" s="316">
        <v>0</v>
      </c>
      <c r="H49" s="359">
        <f t="shared" si="0"/>
        <v>0</v>
      </c>
      <c r="I49" s="316">
        <v>4.83</v>
      </c>
      <c r="J49" s="316">
        <v>103.44</v>
      </c>
      <c r="K49" s="359">
        <f t="shared" si="6"/>
        <v>499.61520000000002</v>
      </c>
      <c r="L49" s="356">
        <f t="shared" si="7"/>
        <v>499.61520000000002</v>
      </c>
      <c r="M49" s="317"/>
      <c r="N49" s="193">
        <f t="shared" si="8"/>
        <v>549713.37140000006</v>
      </c>
      <c r="O49" s="325"/>
      <c r="P49" s="325"/>
    </row>
    <row r="50" spans="1:16" s="320" customFormat="1">
      <c r="A50" s="191">
        <v>45</v>
      </c>
      <c r="B50" s="191" t="s">
        <v>134</v>
      </c>
      <c r="C50" s="191" t="s">
        <v>176</v>
      </c>
      <c r="D50" s="191" t="s">
        <v>177</v>
      </c>
      <c r="E50" s="315" t="s">
        <v>178</v>
      </c>
      <c r="F50" s="316">
        <v>85</v>
      </c>
      <c r="G50" s="316">
        <v>91.8</v>
      </c>
      <c r="H50" s="359">
        <f t="shared" si="0"/>
        <v>7803</v>
      </c>
      <c r="I50" s="316">
        <v>15</v>
      </c>
      <c r="J50" s="316">
        <v>103.76</v>
      </c>
      <c r="K50" s="359">
        <f t="shared" si="6"/>
        <v>1556.4</v>
      </c>
      <c r="L50" s="356">
        <f t="shared" si="7"/>
        <v>9359.4</v>
      </c>
      <c r="M50" s="317"/>
      <c r="N50" s="193">
        <f t="shared" si="8"/>
        <v>540353.97140000004</v>
      </c>
      <c r="O50" s="191"/>
      <c r="P50" s="191"/>
    </row>
    <row r="51" spans="1:16" s="320" customFormat="1">
      <c r="A51" s="325">
        <v>46</v>
      </c>
      <c r="B51" s="191" t="s">
        <v>134</v>
      </c>
      <c r="C51" s="323" t="s">
        <v>173</v>
      </c>
      <c r="D51" s="323" t="s">
        <v>174</v>
      </c>
      <c r="E51" s="324" t="s">
        <v>175</v>
      </c>
      <c r="F51" s="316">
        <v>70</v>
      </c>
      <c r="G51" s="316">
        <v>92.04</v>
      </c>
      <c r="H51" s="359">
        <f t="shared" si="0"/>
        <v>6442.8</v>
      </c>
      <c r="I51" s="316">
        <v>0</v>
      </c>
      <c r="J51" s="316">
        <v>0</v>
      </c>
      <c r="K51" s="359">
        <f t="shared" ref="K51:K99" si="9">I51*J51</f>
        <v>0</v>
      </c>
      <c r="L51" s="356">
        <f t="shared" ref="L51:L100" si="10">H51+K51</f>
        <v>6442.8</v>
      </c>
      <c r="M51" s="317"/>
      <c r="N51" s="193">
        <f t="shared" si="8"/>
        <v>533911.17139999999</v>
      </c>
      <c r="O51" s="325"/>
      <c r="P51" s="325"/>
    </row>
    <row r="52" spans="1:16" s="320" customFormat="1">
      <c r="A52" s="191">
        <v>47</v>
      </c>
      <c r="B52" s="325" t="s">
        <v>135</v>
      </c>
      <c r="C52" s="192" t="s">
        <v>179</v>
      </c>
      <c r="D52" s="192" t="s">
        <v>180</v>
      </c>
      <c r="E52" s="321" t="s">
        <v>181</v>
      </c>
      <c r="F52" s="316">
        <v>79.319999999999993</v>
      </c>
      <c r="G52" s="316">
        <v>91.92</v>
      </c>
      <c r="H52" s="359">
        <f t="shared" si="0"/>
        <v>7291.0944</v>
      </c>
      <c r="I52" s="316"/>
      <c r="J52" s="316"/>
      <c r="K52" s="359">
        <f t="shared" si="9"/>
        <v>0</v>
      </c>
      <c r="L52" s="356">
        <f t="shared" si="10"/>
        <v>7291.0944</v>
      </c>
      <c r="M52" s="317"/>
      <c r="N52" s="193">
        <f t="shared" si="8"/>
        <v>526620.07700000005</v>
      </c>
      <c r="O52" s="191"/>
      <c r="P52" s="191"/>
    </row>
    <row r="53" spans="1:16" s="320" customFormat="1">
      <c r="A53" s="191">
        <v>48</v>
      </c>
      <c r="B53" s="325" t="s">
        <v>135</v>
      </c>
      <c r="C53" s="191" t="s">
        <v>223</v>
      </c>
      <c r="D53" s="191" t="s">
        <v>224</v>
      </c>
      <c r="E53" s="315" t="s">
        <v>225</v>
      </c>
      <c r="F53" s="316">
        <v>52.92</v>
      </c>
      <c r="G53" s="316">
        <v>91.14</v>
      </c>
      <c r="H53" s="359">
        <f t="shared" si="0"/>
        <v>4823.1288000000004</v>
      </c>
      <c r="I53" s="316">
        <v>6</v>
      </c>
      <c r="J53" s="316">
        <v>103.05</v>
      </c>
      <c r="K53" s="359">
        <f t="shared" si="9"/>
        <v>618.29999999999995</v>
      </c>
      <c r="L53" s="356">
        <f t="shared" si="10"/>
        <v>5441.4288000000006</v>
      </c>
      <c r="M53" s="317"/>
      <c r="N53" s="193">
        <f t="shared" si="8"/>
        <v>521178.64820000005</v>
      </c>
      <c r="O53" s="191"/>
      <c r="P53" s="191"/>
    </row>
    <row r="54" spans="1:16" s="320" customFormat="1">
      <c r="A54" s="191">
        <v>49</v>
      </c>
      <c r="B54" s="325" t="s">
        <v>135</v>
      </c>
      <c r="C54" s="191" t="s">
        <v>191</v>
      </c>
      <c r="D54" s="191" t="s">
        <v>192</v>
      </c>
      <c r="E54" s="315" t="s">
        <v>193</v>
      </c>
      <c r="F54" s="316">
        <v>15</v>
      </c>
      <c r="G54" s="316">
        <v>91.59</v>
      </c>
      <c r="H54" s="359">
        <f t="shared" si="0"/>
        <v>1373.8500000000001</v>
      </c>
      <c r="I54" s="316">
        <v>5.65</v>
      </c>
      <c r="J54" s="316">
        <v>103.53</v>
      </c>
      <c r="K54" s="359">
        <f t="shared" si="9"/>
        <v>584.94450000000006</v>
      </c>
      <c r="L54" s="356">
        <f t="shared" si="10"/>
        <v>1958.7945000000002</v>
      </c>
      <c r="M54" s="317"/>
      <c r="N54" s="193">
        <f t="shared" si="8"/>
        <v>519219.85370000004</v>
      </c>
      <c r="O54" s="191"/>
      <c r="P54" s="191"/>
    </row>
    <row r="55" spans="1:16" s="320" customFormat="1">
      <c r="A55" s="191">
        <v>50</v>
      </c>
      <c r="B55" s="325" t="s">
        <v>135</v>
      </c>
      <c r="C55" s="192" t="s">
        <v>202</v>
      </c>
      <c r="D55" s="192" t="s">
        <v>203</v>
      </c>
      <c r="E55" s="321" t="s">
        <v>204</v>
      </c>
      <c r="F55" s="316">
        <v>98.41</v>
      </c>
      <c r="G55" s="316">
        <v>91.45</v>
      </c>
      <c r="H55" s="359">
        <f t="shared" si="0"/>
        <v>8999.5944999999992</v>
      </c>
      <c r="I55" s="316">
        <v>9.68</v>
      </c>
      <c r="J55" s="316">
        <v>103.39</v>
      </c>
      <c r="K55" s="359">
        <f t="shared" si="9"/>
        <v>1000.8152</v>
      </c>
      <c r="L55" s="356">
        <f t="shared" si="10"/>
        <v>10000.4097</v>
      </c>
      <c r="M55" s="317"/>
      <c r="N55" s="193">
        <f t="shared" si="8"/>
        <v>509219.44400000002</v>
      </c>
      <c r="O55" s="191"/>
      <c r="P55" s="191"/>
    </row>
    <row r="56" spans="1:16" s="320" customFormat="1">
      <c r="A56" s="191">
        <v>51</v>
      </c>
      <c r="B56" s="325" t="s">
        <v>135</v>
      </c>
      <c r="C56" s="191" t="s">
        <v>170</v>
      </c>
      <c r="D56" s="192" t="s">
        <v>171</v>
      </c>
      <c r="E56" s="321" t="s">
        <v>172</v>
      </c>
      <c r="F56" s="316">
        <v>50.28</v>
      </c>
      <c r="G56" s="316">
        <v>91.5</v>
      </c>
      <c r="H56" s="359">
        <f t="shared" si="0"/>
        <v>4600.62</v>
      </c>
      <c r="I56" s="316">
        <v>0</v>
      </c>
      <c r="J56" s="316">
        <v>0</v>
      </c>
      <c r="K56" s="359">
        <f t="shared" si="9"/>
        <v>0</v>
      </c>
      <c r="L56" s="356">
        <f t="shared" si="10"/>
        <v>4600.62</v>
      </c>
      <c r="M56" s="317"/>
      <c r="N56" s="193">
        <f t="shared" si="8"/>
        <v>504618.82400000002</v>
      </c>
      <c r="O56" s="191"/>
      <c r="P56" s="191"/>
    </row>
    <row r="57" spans="1:16" s="320" customFormat="1">
      <c r="A57" s="191">
        <v>52</v>
      </c>
      <c r="B57" s="325" t="s">
        <v>135</v>
      </c>
      <c r="C57" s="191" t="s">
        <v>176</v>
      </c>
      <c r="D57" s="191" t="s">
        <v>177</v>
      </c>
      <c r="E57" s="315" t="s">
        <v>178</v>
      </c>
      <c r="F57" s="316">
        <v>70</v>
      </c>
      <c r="G57" s="316">
        <v>91.8</v>
      </c>
      <c r="H57" s="359">
        <f t="shared" si="0"/>
        <v>6426</v>
      </c>
      <c r="I57" s="316">
        <v>0</v>
      </c>
      <c r="J57" s="316">
        <v>0</v>
      </c>
      <c r="K57" s="359">
        <f t="shared" si="9"/>
        <v>0</v>
      </c>
      <c r="L57" s="356">
        <f t="shared" si="10"/>
        <v>6426</v>
      </c>
      <c r="M57" s="317"/>
      <c r="N57" s="193">
        <f t="shared" si="8"/>
        <v>498192.82400000002</v>
      </c>
      <c r="O57" s="191"/>
      <c r="P57" s="191"/>
    </row>
    <row r="58" spans="1:16" s="320" customFormat="1">
      <c r="A58" s="325">
        <v>53</v>
      </c>
      <c r="B58" s="191" t="s">
        <v>152</v>
      </c>
      <c r="C58" s="323" t="s">
        <v>179</v>
      </c>
      <c r="D58" s="323" t="s">
        <v>180</v>
      </c>
      <c r="E58" s="324" t="s">
        <v>181</v>
      </c>
      <c r="F58" s="316">
        <v>0</v>
      </c>
      <c r="G58" s="316">
        <v>0</v>
      </c>
      <c r="H58" s="359">
        <f t="shared" si="0"/>
        <v>0</v>
      </c>
      <c r="I58" s="316">
        <v>7.22</v>
      </c>
      <c r="J58" s="316">
        <v>103.96</v>
      </c>
      <c r="K58" s="359">
        <f t="shared" si="9"/>
        <v>750.59119999999996</v>
      </c>
      <c r="L58" s="356">
        <f t="shared" si="10"/>
        <v>750.59119999999996</v>
      </c>
      <c r="M58" s="317"/>
      <c r="N58" s="193">
        <f t="shared" si="8"/>
        <v>497442.2328</v>
      </c>
      <c r="O58" s="325"/>
      <c r="P58" s="325"/>
    </row>
    <row r="59" spans="1:16" s="320" customFormat="1">
      <c r="A59" s="191">
        <v>54</v>
      </c>
      <c r="B59" s="191" t="s">
        <v>152</v>
      </c>
      <c r="C59" s="192" t="s">
        <v>191</v>
      </c>
      <c r="D59" s="192" t="s">
        <v>192</v>
      </c>
      <c r="E59" s="321" t="s">
        <v>193</v>
      </c>
      <c r="F59" s="316">
        <v>30</v>
      </c>
      <c r="G59" s="316">
        <v>91.59</v>
      </c>
      <c r="H59" s="359">
        <f t="shared" si="0"/>
        <v>2747.7000000000003</v>
      </c>
      <c r="I59" s="316">
        <v>0</v>
      </c>
      <c r="J59" s="316"/>
      <c r="K59" s="359">
        <f t="shared" si="9"/>
        <v>0</v>
      </c>
      <c r="L59" s="356">
        <f t="shared" si="10"/>
        <v>2747.7000000000003</v>
      </c>
      <c r="M59" s="317"/>
      <c r="N59" s="193">
        <f t="shared" si="8"/>
        <v>494694.53279999999</v>
      </c>
      <c r="O59" s="191"/>
      <c r="P59" s="191"/>
    </row>
    <row r="60" spans="1:16" s="320" customFormat="1">
      <c r="A60" s="191">
        <v>55</v>
      </c>
      <c r="B60" s="191" t="s">
        <v>152</v>
      </c>
      <c r="C60" s="191" t="s">
        <v>170</v>
      </c>
      <c r="D60" s="191" t="s">
        <v>171</v>
      </c>
      <c r="E60" s="315" t="s">
        <v>172</v>
      </c>
      <c r="F60" s="316">
        <v>54.65</v>
      </c>
      <c r="G60" s="316">
        <v>91.5</v>
      </c>
      <c r="H60" s="359">
        <f t="shared" si="0"/>
        <v>5000.4749999999995</v>
      </c>
      <c r="I60" s="316">
        <v>0</v>
      </c>
      <c r="J60" s="316"/>
      <c r="K60" s="359">
        <f t="shared" si="9"/>
        <v>0</v>
      </c>
      <c r="L60" s="356">
        <f t="shared" si="10"/>
        <v>5000.4749999999995</v>
      </c>
      <c r="M60" s="317"/>
      <c r="N60" s="193">
        <f t="shared" si="8"/>
        <v>489694.05780000001</v>
      </c>
      <c r="O60" s="191"/>
      <c r="P60" s="191"/>
    </row>
    <row r="61" spans="1:16" s="320" customFormat="1">
      <c r="A61" s="191">
        <v>56</v>
      </c>
      <c r="B61" s="191" t="s">
        <v>152</v>
      </c>
      <c r="C61" s="191" t="s">
        <v>226</v>
      </c>
      <c r="D61" s="191" t="s">
        <v>227</v>
      </c>
      <c r="E61" s="315" t="s">
        <v>228</v>
      </c>
      <c r="F61" s="316">
        <v>15</v>
      </c>
      <c r="G61" s="316">
        <v>91.77</v>
      </c>
      <c r="H61" s="359">
        <f t="shared" si="0"/>
        <v>1376.55</v>
      </c>
      <c r="I61" s="316">
        <v>0</v>
      </c>
      <c r="J61" s="316"/>
      <c r="K61" s="359">
        <f t="shared" si="9"/>
        <v>0</v>
      </c>
      <c r="L61" s="356">
        <f t="shared" si="10"/>
        <v>1376.55</v>
      </c>
      <c r="M61" s="317"/>
      <c r="N61" s="193">
        <f t="shared" si="8"/>
        <v>488317.50780000002</v>
      </c>
      <c r="O61" s="319"/>
      <c r="P61" s="319"/>
    </row>
    <row r="62" spans="1:16" s="320" customFormat="1">
      <c r="A62" s="191">
        <v>57</v>
      </c>
      <c r="B62" s="191" t="s">
        <v>136</v>
      </c>
      <c r="C62" s="191" t="s">
        <v>179</v>
      </c>
      <c r="D62" s="191" t="s">
        <v>180</v>
      </c>
      <c r="E62" s="315" t="s">
        <v>181</v>
      </c>
      <c r="F62" s="316">
        <v>40</v>
      </c>
      <c r="G62" s="316">
        <v>91.92</v>
      </c>
      <c r="H62" s="359">
        <f t="shared" si="0"/>
        <v>3676.8</v>
      </c>
      <c r="I62" s="316">
        <v>0</v>
      </c>
      <c r="J62" s="316"/>
      <c r="K62" s="359">
        <f t="shared" si="9"/>
        <v>0</v>
      </c>
      <c r="L62" s="356">
        <f t="shared" si="10"/>
        <v>3676.8</v>
      </c>
      <c r="M62" s="317"/>
      <c r="N62" s="193">
        <f t="shared" si="8"/>
        <v>484640.70780000003</v>
      </c>
      <c r="O62" s="191"/>
      <c r="P62" s="191"/>
    </row>
    <row r="63" spans="1:16" s="320" customFormat="1">
      <c r="A63" s="191">
        <v>58</v>
      </c>
      <c r="B63" s="191" t="s">
        <v>136</v>
      </c>
      <c r="C63" s="191" t="s">
        <v>223</v>
      </c>
      <c r="D63" s="191" t="s">
        <v>224</v>
      </c>
      <c r="E63" s="315" t="s">
        <v>225</v>
      </c>
      <c r="F63" s="316">
        <v>55.96</v>
      </c>
      <c r="G63" s="316">
        <v>91.14</v>
      </c>
      <c r="H63" s="359">
        <f t="shared" si="0"/>
        <v>5100.1944000000003</v>
      </c>
      <c r="I63" s="316"/>
      <c r="J63" s="316"/>
      <c r="K63" s="359">
        <f t="shared" si="9"/>
        <v>0</v>
      </c>
      <c r="L63" s="356">
        <f t="shared" si="10"/>
        <v>5100.1944000000003</v>
      </c>
      <c r="M63" s="317"/>
      <c r="N63" s="193">
        <f t="shared" si="8"/>
        <v>479540.51340000005</v>
      </c>
      <c r="O63" s="191"/>
      <c r="P63" s="191"/>
    </row>
    <row r="64" spans="1:16" s="320" customFormat="1">
      <c r="A64" s="191">
        <v>59</v>
      </c>
      <c r="B64" s="191" t="s">
        <v>136</v>
      </c>
      <c r="C64" s="191" t="s">
        <v>188</v>
      </c>
      <c r="D64" s="191" t="s">
        <v>189</v>
      </c>
      <c r="E64" s="315" t="s">
        <v>190</v>
      </c>
      <c r="F64" s="316">
        <v>300</v>
      </c>
      <c r="G64" s="316">
        <v>92.09</v>
      </c>
      <c r="H64" s="359">
        <f t="shared" si="0"/>
        <v>27627</v>
      </c>
      <c r="I64" s="316">
        <v>20</v>
      </c>
      <c r="J64" s="316">
        <v>103.86</v>
      </c>
      <c r="K64" s="359">
        <f t="shared" si="9"/>
        <v>2077.1999999999998</v>
      </c>
      <c r="L64" s="356">
        <f t="shared" si="10"/>
        <v>29704.2</v>
      </c>
      <c r="M64" s="317"/>
      <c r="N64" s="193">
        <f t="shared" si="8"/>
        <v>449836.31340000004</v>
      </c>
      <c r="O64" s="191"/>
      <c r="P64" s="191"/>
    </row>
    <row r="65" spans="1:18" s="320" customFormat="1">
      <c r="A65" s="191">
        <v>60</v>
      </c>
      <c r="B65" s="191" t="s">
        <v>136</v>
      </c>
      <c r="C65" s="191" t="s">
        <v>170</v>
      </c>
      <c r="D65" s="191" t="s">
        <v>171</v>
      </c>
      <c r="E65" s="315" t="s">
        <v>172</v>
      </c>
      <c r="F65" s="316">
        <v>50</v>
      </c>
      <c r="G65" s="316">
        <v>91.5</v>
      </c>
      <c r="H65" s="359">
        <f t="shared" si="0"/>
        <v>4575</v>
      </c>
      <c r="I65" s="316"/>
      <c r="J65" s="316"/>
      <c r="K65" s="359">
        <f t="shared" si="9"/>
        <v>0</v>
      </c>
      <c r="L65" s="356">
        <f t="shared" si="10"/>
        <v>4575</v>
      </c>
      <c r="M65" s="317"/>
      <c r="N65" s="193">
        <f t="shared" si="8"/>
        <v>445261.31340000004</v>
      </c>
      <c r="O65" s="191"/>
      <c r="P65" s="191"/>
    </row>
    <row r="66" spans="1:18" s="320" customFormat="1">
      <c r="A66" s="325">
        <v>61</v>
      </c>
      <c r="B66" s="191" t="s">
        <v>136</v>
      </c>
      <c r="C66" s="325" t="s">
        <v>176</v>
      </c>
      <c r="D66" s="325" t="s">
        <v>177</v>
      </c>
      <c r="E66" s="342" t="s">
        <v>178</v>
      </c>
      <c r="F66" s="316">
        <v>80</v>
      </c>
      <c r="G66" s="316">
        <v>91.8</v>
      </c>
      <c r="H66" s="359">
        <f t="shared" si="0"/>
        <v>7344</v>
      </c>
      <c r="I66" s="316"/>
      <c r="J66" s="316"/>
      <c r="K66" s="359">
        <f t="shared" si="9"/>
        <v>0</v>
      </c>
      <c r="L66" s="356">
        <f t="shared" si="10"/>
        <v>7344</v>
      </c>
      <c r="M66" s="317"/>
      <c r="N66" s="193">
        <f t="shared" si="8"/>
        <v>437917.31340000004</v>
      </c>
      <c r="O66" s="325"/>
      <c r="P66" s="325"/>
    </row>
    <row r="67" spans="1:18" s="320" customFormat="1">
      <c r="A67" s="191">
        <v>62</v>
      </c>
      <c r="B67" s="191" t="s">
        <v>136</v>
      </c>
      <c r="C67" s="191" t="s">
        <v>173</v>
      </c>
      <c r="D67" s="191" t="s">
        <v>174</v>
      </c>
      <c r="E67" s="315" t="s">
        <v>175</v>
      </c>
      <c r="F67" s="316">
        <v>100</v>
      </c>
      <c r="G67" s="316">
        <v>92.04</v>
      </c>
      <c r="H67" s="359">
        <f t="shared" si="0"/>
        <v>9204</v>
      </c>
      <c r="I67" s="316"/>
      <c r="J67" s="316"/>
      <c r="K67" s="359">
        <f t="shared" si="9"/>
        <v>0</v>
      </c>
      <c r="L67" s="356">
        <f t="shared" si="10"/>
        <v>9204</v>
      </c>
      <c r="M67" s="317"/>
      <c r="N67" s="193">
        <f t="shared" si="8"/>
        <v>428713.31340000004</v>
      </c>
      <c r="O67" s="191"/>
      <c r="P67" s="191"/>
    </row>
    <row r="68" spans="1:18" s="320" customFormat="1">
      <c r="A68" s="191">
        <v>63</v>
      </c>
      <c r="B68" s="191" t="s">
        <v>136</v>
      </c>
      <c r="C68" s="192" t="s">
        <v>226</v>
      </c>
      <c r="D68" s="192" t="s">
        <v>227</v>
      </c>
      <c r="E68" s="321" t="s">
        <v>228</v>
      </c>
      <c r="F68" s="316">
        <v>60</v>
      </c>
      <c r="G68" s="316">
        <v>91.77</v>
      </c>
      <c r="H68" s="359">
        <f t="shared" si="0"/>
        <v>5506.2</v>
      </c>
      <c r="I68" s="316"/>
      <c r="J68" s="316"/>
      <c r="K68" s="359">
        <f t="shared" si="9"/>
        <v>0</v>
      </c>
      <c r="L68" s="356">
        <f t="shared" si="10"/>
        <v>5506.2</v>
      </c>
      <c r="M68" s="317"/>
      <c r="N68" s="193">
        <f t="shared" si="8"/>
        <v>423207.11340000003</v>
      </c>
      <c r="O68" s="191"/>
      <c r="P68" s="191"/>
    </row>
    <row r="69" spans="1:18" s="320" customFormat="1">
      <c r="A69" s="191">
        <v>64</v>
      </c>
      <c r="B69" s="191" t="s">
        <v>136</v>
      </c>
      <c r="C69" s="191" t="s">
        <v>229</v>
      </c>
      <c r="D69" s="191" t="s">
        <v>230</v>
      </c>
      <c r="E69" s="315" t="s">
        <v>231</v>
      </c>
      <c r="F69" s="316">
        <v>545.73</v>
      </c>
      <c r="G69" s="316">
        <v>91.62</v>
      </c>
      <c r="H69" s="359">
        <f t="shared" si="0"/>
        <v>49999.782600000006</v>
      </c>
      <c r="I69" s="316"/>
      <c r="J69" s="316"/>
      <c r="K69" s="359">
        <f t="shared" si="9"/>
        <v>0</v>
      </c>
      <c r="L69" s="356">
        <f t="shared" si="10"/>
        <v>49999.782600000006</v>
      </c>
      <c r="M69" s="317"/>
      <c r="N69" s="193">
        <f t="shared" si="8"/>
        <v>373207.3308</v>
      </c>
      <c r="O69" s="191"/>
      <c r="P69" s="191"/>
    </row>
    <row r="70" spans="1:18" s="320" customFormat="1">
      <c r="A70" s="191">
        <v>65</v>
      </c>
      <c r="B70" s="191" t="s">
        <v>232</v>
      </c>
      <c r="C70" s="191" t="s">
        <v>179</v>
      </c>
      <c r="D70" s="191" t="s">
        <v>180</v>
      </c>
      <c r="E70" s="315" t="s">
        <v>181</v>
      </c>
      <c r="F70" s="316"/>
      <c r="G70" s="316"/>
      <c r="H70" s="359">
        <f t="shared" si="0"/>
        <v>0</v>
      </c>
      <c r="I70" s="316">
        <v>6.3</v>
      </c>
      <c r="J70" s="316">
        <v>103.96</v>
      </c>
      <c r="K70" s="359">
        <f t="shared" si="9"/>
        <v>654.94799999999998</v>
      </c>
      <c r="L70" s="356">
        <f t="shared" si="10"/>
        <v>654.94799999999998</v>
      </c>
      <c r="M70" s="317"/>
      <c r="N70" s="193">
        <f t="shared" si="8"/>
        <v>372552.38280000002</v>
      </c>
      <c r="O70" s="191"/>
      <c r="P70" s="191"/>
    </row>
    <row r="71" spans="1:18" s="320" customFormat="1">
      <c r="A71" s="191">
        <v>66</v>
      </c>
      <c r="B71" s="191" t="s">
        <v>232</v>
      </c>
      <c r="C71" s="191" t="s">
        <v>223</v>
      </c>
      <c r="D71" s="191" t="s">
        <v>224</v>
      </c>
      <c r="E71" s="315" t="s">
        <v>225</v>
      </c>
      <c r="F71" s="316"/>
      <c r="G71" s="316"/>
      <c r="H71" s="359">
        <f t="shared" ref="H71:H102" si="11">F71*G71</f>
        <v>0</v>
      </c>
      <c r="I71" s="316">
        <v>6</v>
      </c>
      <c r="J71" s="316">
        <v>103.05</v>
      </c>
      <c r="K71" s="359">
        <f t="shared" si="9"/>
        <v>618.29999999999995</v>
      </c>
      <c r="L71" s="356">
        <f t="shared" si="10"/>
        <v>618.29999999999995</v>
      </c>
      <c r="M71" s="317"/>
      <c r="N71" s="193">
        <f t="shared" si="8"/>
        <v>371934.08280000003</v>
      </c>
      <c r="O71" s="191"/>
      <c r="P71" s="191"/>
    </row>
    <row r="72" spans="1:18" s="320" customFormat="1">
      <c r="A72" s="191">
        <v>67</v>
      </c>
      <c r="B72" s="191" t="s">
        <v>232</v>
      </c>
      <c r="C72" s="191" t="s">
        <v>197</v>
      </c>
      <c r="D72" s="191" t="s">
        <v>198</v>
      </c>
      <c r="E72" s="315" t="s">
        <v>184</v>
      </c>
      <c r="F72" s="316">
        <v>44.39</v>
      </c>
      <c r="G72" s="316">
        <v>91.47</v>
      </c>
      <c r="H72" s="359">
        <f t="shared" si="11"/>
        <v>4060.3533000000002</v>
      </c>
      <c r="I72" s="316"/>
      <c r="J72" s="316"/>
      <c r="K72" s="359">
        <f t="shared" si="9"/>
        <v>0</v>
      </c>
      <c r="L72" s="356">
        <f t="shared" si="10"/>
        <v>4060.3533000000002</v>
      </c>
      <c r="M72" s="317"/>
      <c r="N72" s="193">
        <f t="shared" si="8"/>
        <v>367873.72950000002</v>
      </c>
      <c r="O72" s="191"/>
      <c r="P72" s="191"/>
    </row>
    <row r="73" spans="1:18" s="320" customFormat="1">
      <c r="A73" s="191">
        <v>68</v>
      </c>
      <c r="B73" s="191" t="s">
        <v>232</v>
      </c>
      <c r="C73" s="191" t="s">
        <v>208</v>
      </c>
      <c r="D73" s="192" t="s">
        <v>209</v>
      </c>
      <c r="E73" s="321" t="s">
        <v>210</v>
      </c>
      <c r="F73" s="316">
        <v>1095</v>
      </c>
      <c r="G73" s="316">
        <v>91.3</v>
      </c>
      <c r="H73" s="359">
        <f t="shared" si="11"/>
        <v>99973.5</v>
      </c>
      <c r="I73" s="316"/>
      <c r="J73" s="316"/>
      <c r="K73" s="359">
        <f t="shared" si="9"/>
        <v>0</v>
      </c>
      <c r="L73" s="356">
        <f t="shared" si="10"/>
        <v>99973.5</v>
      </c>
      <c r="M73" s="317"/>
      <c r="N73" s="193">
        <f t="shared" si="8"/>
        <v>267900.22950000002</v>
      </c>
      <c r="O73" s="191"/>
      <c r="P73" s="191"/>
    </row>
    <row r="74" spans="1:18" s="320" customFormat="1">
      <c r="A74" s="325">
        <v>69</v>
      </c>
      <c r="B74" s="191" t="s">
        <v>232</v>
      </c>
      <c r="C74" s="325" t="s">
        <v>233</v>
      </c>
      <c r="D74" s="325" t="s">
        <v>234</v>
      </c>
      <c r="E74" s="342" t="s">
        <v>196</v>
      </c>
      <c r="F74" s="316">
        <v>420</v>
      </c>
      <c r="G74" s="316">
        <v>91.19</v>
      </c>
      <c r="H74" s="359">
        <f t="shared" si="11"/>
        <v>38299.799999999996</v>
      </c>
      <c r="I74" s="316"/>
      <c r="J74" s="316"/>
      <c r="K74" s="359">
        <f t="shared" si="9"/>
        <v>0</v>
      </c>
      <c r="L74" s="356">
        <f t="shared" si="10"/>
        <v>38299.799999999996</v>
      </c>
      <c r="M74" s="317"/>
      <c r="N74" s="193">
        <f t="shared" si="8"/>
        <v>229600.42950000003</v>
      </c>
      <c r="O74" s="325"/>
      <c r="P74" s="325"/>
    </row>
    <row r="75" spans="1:18" s="320" customFormat="1">
      <c r="A75" s="191">
        <v>70</v>
      </c>
      <c r="B75" s="191" t="s">
        <v>232</v>
      </c>
      <c r="C75" s="191" t="s">
        <v>176</v>
      </c>
      <c r="D75" s="191" t="s">
        <v>177</v>
      </c>
      <c r="E75" s="315" t="s">
        <v>178</v>
      </c>
      <c r="F75" s="316">
        <v>40</v>
      </c>
      <c r="G75" s="316">
        <v>91.8</v>
      </c>
      <c r="H75" s="359">
        <f t="shared" si="11"/>
        <v>3672</v>
      </c>
      <c r="I75" s="316">
        <v>5</v>
      </c>
      <c r="J75" s="316">
        <v>103.76</v>
      </c>
      <c r="K75" s="359">
        <f t="shared" si="9"/>
        <v>518.80000000000007</v>
      </c>
      <c r="L75" s="356">
        <f t="shared" si="10"/>
        <v>4190.8</v>
      </c>
      <c r="M75" s="317"/>
      <c r="N75" s="193">
        <f t="shared" si="8"/>
        <v>225409.62950000004</v>
      </c>
      <c r="O75" s="191"/>
      <c r="P75" s="191"/>
    </row>
    <row r="76" spans="1:18" s="320" customFormat="1">
      <c r="A76" s="191">
        <v>71</v>
      </c>
      <c r="B76" s="191" t="s">
        <v>232</v>
      </c>
      <c r="C76" s="191" t="s">
        <v>173</v>
      </c>
      <c r="D76" s="191" t="s">
        <v>174</v>
      </c>
      <c r="E76" s="315" t="s">
        <v>175</v>
      </c>
      <c r="F76" s="316">
        <v>100</v>
      </c>
      <c r="G76" s="316">
        <v>92.04</v>
      </c>
      <c r="H76" s="359">
        <f t="shared" si="11"/>
        <v>9204</v>
      </c>
      <c r="I76" s="316"/>
      <c r="J76" s="316"/>
      <c r="K76" s="359">
        <f t="shared" si="9"/>
        <v>0</v>
      </c>
      <c r="L76" s="356">
        <f t="shared" si="10"/>
        <v>9204</v>
      </c>
      <c r="M76" s="317"/>
      <c r="N76" s="193">
        <f t="shared" si="8"/>
        <v>216205.62950000004</v>
      </c>
      <c r="O76" s="191"/>
      <c r="P76" s="191"/>
    </row>
    <row r="77" spans="1:18" s="320" customFormat="1">
      <c r="A77" s="191">
        <v>72</v>
      </c>
      <c r="B77" s="191" t="s">
        <v>137</v>
      </c>
      <c r="C77" s="192" t="s">
        <v>179</v>
      </c>
      <c r="D77" s="192" t="s">
        <v>180</v>
      </c>
      <c r="E77" s="321" t="s">
        <v>181</v>
      </c>
      <c r="F77" s="316">
        <v>40</v>
      </c>
      <c r="G77" s="316">
        <v>91.92</v>
      </c>
      <c r="H77" s="359">
        <f t="shared" si="11"/>
        <v>3676.8</v>
      </c>
      <c r="I77" s="316"/>
      <c r="J77" s="316"/>
      <c r="K77" s="359">
        <f t="shared" si="9"/>
        <v>0</v>
      </c>
      <c r="L77" s="356">
        <f t="shared" si="10"/>
        <v>3676.8</v>
      </c>
      <c r="M77" s="317"/>
      <c r="N77" s="193">
        <f t="shared" si="8"/>
        <v>212528.82950000005</v>
      </c>
      <c r="O77" s="191"/>
      <c r="P77" s="191"/>
    </row>
    <row r="78" spans="1:18" s="320" customFormat="1">
      <c r="A78" s="191">
        <v>73</v>
      </c>
      <c r="B78" s="191" t="s">
        <v>137</v>
      </c>
      <c r="C78" s="191" t="s">
        <v>223</v>
      </c>
      <c r="D78" s="191" t="s">
        <v>224</v>
      </c>
      <c r="E78" s="315" t="s">
        <v>225</v>
      </c>
      <c r="F78" s="316"/>
      <c r="G78" s="316"/>
      <c r="H78" s="359">
        <f t="shared" si="11"/>
        <v>0</v>
      </c>
      <c r="I78" s="316">
        <v>6</v>
      </c>
      <c r="J78" s="316">
        <v>103.05</v>
      </c>
      <c r="K78" s="359">
        <f t="shared" si="9"/>
        <v>618.29999999999995</v>
      </c>
      <c r="L78" s="356">
        <f t="shared" si="10"/>
        <v>618.29999999999995</v>
      </c>
      <c r="M78" s="317"/>
      <c r="N78" s="193">
        <f t="shared" si="8"/>
        <v>211910.52950000006</v>
      </c>
      <c r="O78" s="191"/>
      <c r="P78" s="191"/>
      <c r="R78" s="341">
        <v>345860.14</v>
      </c>
    </row>
    <row r="79" spans="1:18" s="320" customFormat="1">
      <c r="A79" s="191">
        <v>74</v>
      </c>
      <c r="B79" s="191" t="s">
        <v>137</v>
      </c>
      <c r="C79" s="191" t="s">
        <v>197</v>
      </c>
      <c r="D79" s="191" t="s">
        <v>198</v>
      </c>
      <c r="E79" s="315" t="s">
        <v>184</v>
      </c>
      <c r="F79" s="316">
        <v>21.87</v>
      </c>
      <c r="G79" s="316">
        <v>91.47</v>
      </c>
      <c r="H79" s="359">
        <f t="shared" si="11"/>
        <v>2000.4489000000001</v>
      </c>
      <c r="I79" s="316"/>
      <c r="J79" s="316"/>
      <c r="K79" s="359">
        <f t="shared" si="9"/>
        <v>0</v>
      </c>
      <c r="L79" s="356">
        <f t="shared" si="10"/>
        <v>2000.4489000000001</v>
      </c>
      <c r="M79" s="317"/>
      <c r="N79" s="193">
        <f t="shared" si="8"/>
        <v>209910.08060000007</v>
      </c>
      <c r="O79" s="191"/>
      <c r="P79" s="191"/>
    </row>
    <row r="80" spans="1:18" s="320" customFormat="1">
      <c r="A80" s="191">
        <v>75</v>
      </c>
      <c r="B80" s="191" t="s">
        <v>137</v>
      </c>
      <c r="C80" s="191" t="s">
        <v>206</v>
      </c>
      <c r="D80" s="191" t="s">
        <v>89</v>
      </c>
      <c r="E80" s="315" t="s">
        <v>201</v>
      </c>
      <c r="F80" s="316"/>
      <c r="G80" s="316"/>
      <c r="H80" s="359">
        <f t="shared" si="11"/>
        <v>0</v>
      </c>
      <c r="I80" s="316">
        <v>7.8</v>
      </c>
      <c r="J80" s="316">
        <v>102.46</v>
      </c>
      <c r="K80" s="359">
        <f t="shared" si="9"/>
        <v>799.18799999999999</v>
      </c>
      <c r="L80" s="356">
        <f t="shared" si="10"/>
        <v>799.18799999999999</v>
      </c>
      <c r="M80" s="317"/>
      <c r="N80" s="193">
        <f t="shared" si="8"/>
        <v>209110.89260000008</v>
      </c>
      <c r="O80" s="191"/>
      <c r="P80" s="191"/>
    </row>
    <row r="81" spans="1:18" s="320" customFormat="1">
      <c r="A81" s="191">
        <v>76</v>
      </c>
      <c r="B81" s="191" t="s">
        <v>137</v>
      </c>
      <c r="C81" s="191" t="s">
        <v>202</v>
      </c>
      <c r="D81" s="191" t="s">
        <v>203</v>
      </c>
      <c r="E81" s="315" t="s">
        <v>204</v>
      </c>
      <c r="F81" s="316"/>
      <c r="G81" s="316"/>
      <c r="H81" s="359">
        <f t="shared" si="11"/>
        <v>0</v>
      </c>
      <c r="I81" s="316">
        <v>4.84</v>
      </c>
      <c r="J81" s="316">
        <v>103.39</v>
      </c>
      <c r="K81" s="359">
        <f t="shared" si="9"/>
        <v>500.4076</v>
      </c>
      <c r="L81" s="356">
        <f t="shared" si="10"/>
        <v>500.4076</v>
      </c>
      <c r="M81" s="317"/>
      <c r="N81" s="193">
        <f t="shared" si="8"/>
        <v>208610.48500000007</v>
      </c>
      <c r="O81" s="191"/>
      <c r="P81" s="191"/>
      <c r="R81" s="193">
        <v>345838.45</v>
      </c>
    </row>
    <row r="82" spans="1:18" s="320" customFormat="1">
      <c r="A82" s="191">
        <v>77</v>
      </c>
      <c r="B82" s="191" t="s">
        <v>137</v>
      </c>
      <c r="C82" s="191" t="s">
        <v>170</v>
      </c>
      <c r="D82" s="191" t="s">
        <v>171</v>
      </c>
      <c r="E82" s="315" t="s">
        <v>172</v>
      </c>
      <c r="F82" s="316">
        <v>42.19</v>
      </c>
      <c r="G82" s="316">
        <v>91.5</v>
      </c>
      <c r="H82" s="359">
        <f t="shared" si="11"/>
        <v>3860.3849999999998</v>
      </c>
      <c r="I82" s="316">
        <v>9.83</v>
      </c>
      <c r="J82" s="316">
        <v>103.44</v>
      </c>
      <c r="K82" s="359">
        <f t="shared" si="9"/>
        <v>1016.8152</v>
      </c>
      <c r="L82" s="356">
        <f t="shared" si="10"/>
        <v>4877.2001999999993</v>
      </c>
      <c r="M82" s="317"/>
      <c r="N82" s="193">
        <f t="shared" si="8"/>
        <v>203733.28480000008</v>
      </c>
      <c r="O82" s="191"/>
      <c r="P82" s="191"/>
      <c r="R82" s="341">
        <f>R78-R81</f>
        <v>21.690000000002328</v>
      </c>
    </row>
    <row r="83" spans="1:18" s="320" customFormat="1">
      <c r="A83" s="325">
        <v>78</v>
      </c>
      <c r="B83" s="191" t="s">
        <v>137</v>
      </c>
      <c r="C83" s="325" t="s">
        <v>194</v>
      </c>
      <c r="D83" s="325" t="s">
        <v>195</v>
      </c>
      <c r="E83" s="342" t="s">
        <v>196</v>
      </c>
      <c r="F83" s="316">
        <v>700</v>
      </c>
      <c r="G83" s="316">
        <v>91.19</v>
      </c>
      <c r="H83" s="359">
        <f t="shared" si="11"/>
        <v>63833</v>
      </c>
      <c r="I83" s="316"/>
      <c r="J83" s="316"/>
      <c r="K83" s="359">
        <f t="shared" si="9"/>
        <v>0</v>
      </c>
      <c r="L83" s="356">
        <f t="shared" si="10"/>
        <v>63833</v>
      </c>
      <c r="M83" s="317"/>
      <c r="N83" s="193">
        <f t="shared" si="8"/>
        <v>139900.28480000008</v>
      </c>
      <c r="O83" s="325"/>
      <c r="P83" s="325"/>
    </row>
    <row r="84" spans="1:18" s="320" customFormat="1">
      <c r="A84" s="191">
        <v>79</v>
      </c>
      <c r="B84" s="191" t="s">
        <v>137</v>
      </c>
      <c r="C84" s="191" t="s">
        <v>176</v>
      </c>
      <c r="D84" s="191" t="s">
        <v>177</v>
      </c>
      <c r="E84" s="315" t="s">
        <v>178</v>
      </c>
      <c r="F84" s="316">
        <v>30</v>
      </c>
      <c r="G84" s="316">
        <v>91.8</v>
      </c>
      <c r="H84" s="359">
        <f t="shared" si="11"/>
        <v>2754</v>
      </c>
      <c r="I84" s="316">
        <v>5</v>
      </c>
      <c r="J84" s="316">
        <v>103.76</v>
      </c>
      <c r="K84" s="359">
        <f t="shared" si="9"/>
        <v>518.80000000000007</v>
      </c>
      <c r="L84" s="356">
        <f t="shared" si="10"/>
        <v>3272.8</v>
      </c>
      <c r="M84" s="317"/>
      <c r="N84" s="193">
        <f t="shared" si="8"/>
        <v>136627.48480000009</v>
      </c>
      <c r="O84" s="191"/>
      <c r="P84" s="191"/>
    </row>
    <row r="85" spans="1:18" s="320" customFormat="1">
      <c r="A85" s="191">
        <v>80</v>
      </c>
      <c r="B85" s="191" t="s">
        <v>137</v>
      </c>
      <c r="C85" s="192" t="s">
        <v>173</v>
      </c>
      <c r="D85" s="192" t="s">
        <v>174</v>
      </c>
      <c r="E85" s="321" t="s">
        <v>175</v>
      </c>
      <c r="F85" s="316">
        <v>170</v>
      </c>
      <c r="G85" s="316">
        <v>92.04</v>
      </c>
      <c r="H85" s="359">
        <f t="shared" si="11"/>
        <v>15646.800000000001</v>
      </c>
      <c r="I85" s="316">
        <v>5</v>
      </c>
      <c r="J85" s="316">
        <v>104.02</v>
      </c>
      <c r="K85" s="359">
        <f t="shared" si="9"/>
        <v>520.1</v>
      </c>
      <c r="L85" s="356">
        <f t="shared" si="10"/>
        <v>16166.900000000001</v>
      </c>
      <c r="M85" s="317"/>
      <c r="N85" s="193">
        <f t="shared" si="8"/>
        <v>120460.5848000001</v>
      </c>
      <c r="O85" s="191"/>
      <c r="P85" s="191"/>
    </row>
    <row r="86" spans="1:18" s="320" customFormat="1">
      <c r="A86" s="325">
        <v>81</v>
      </c>
      <c r="B86" s="191" t="s">
        <v>138</v>
      </c>
      <c r="C86" s="192" t="s">
        <v>199</v>
      </c>
      <c r="D86" s="192" t="s">
        <v>200</v>
      </c>
      <c r="E86" s="321" t="s">
        <v>201</v>
      </c>
      <c r="F86" s="316">
        <v>0</v>
      </c>
      <c r="G86" s="316">
        <v>0</v>
      </c>
      <c r="H86" s="359">
        <f t="shared" si="11"/>
        <v>0</v>
      </c>
      <c r="I86" s="316">
        <v>0</v>
      </c>
      <c r="J86" s="316">
        <v>102.46</v>
      </c>
      <c r="K86" s="359">
        <f t="shared" si="9"/>
        <v>0</v>
      </c>
      <c r="L86" s="356">
        <f t="shared" si="10"/>
        <v>0</v>
      </c>
      <c r="M86" s="317"/>
      <c r="N86" s="193">
        <f t="shared" si="8"/>
        <v>120460.5848000001</v>
      </c>
      <c r="O86" s="191"/>
      <c r="P86" s="191"/>
    </row>
    <row r="87" spans="1:18" s="320" customFormat="1">
      <c r="A87" s="191">
        <v>82</v>
      </c>
      <c r="B87" s="191" t="s">
        <v>138</v>
      </c>
      <c r="C87" s="191" t="s">
        <v>179</v>
      </c>
      <c r="D87" s="191" t="s">
        <v>180</v>
      </c>
      <c r="E87" s="315" t="s">
        <v>181</v>
      </c>
      <c r="F87" s="316">
        <v>97</v>
      </c>
      <c r="G87" s="316">
        <v>91.92</v>
      </c>
      <c r="H87" s="359">
        <f t="shared" si="11"/>
        <v>8916.24</v>
      </c>
      <c r="I87" s="316">
        <v>0</v>
      </c>
      <c r="J87" s="316"/>
      <c r="K87" s="359">
        <f t="shared" si="9"/>
        <v>0</v>
      </c>
      <c r="L87" s="356">
        <f t="shared" si="10"/>
        <v>8916.24</v>
      </c>
      <c r="M87" s="317"/>
      <c r="N87" s="193">
        <f t="shared" si="8"/>
        <v>111544.34480000009</v>
      </c>
      <c r="O87" s="191"/>
      <c r="P87" s="191"/>
    </row>
    <row r="88" spans="1:18" s="320" customFormat="1">
      <c r="A88" s="325">
        <v>83</v>
      </c>
      <c r="B88" s="191" t="s">
        <v>138</v>
      </c>
      <c r="C88" s="325" t="s">
        <v>223</v>
      </c>
      <c r="D88" s="191" t="s">
        <v>224</v>
      </c>
      <c r="E88" s="315" t="s">
        <v>225</v>
      </c>
      <c r="F88" s="316">
        <v>20</v>
      </c>
      <c r="G88" s="316">
        <v>91.14</v>
      </c>
      <c r="H88" s="359">
        <f t="shared" si="11"/>
        <v>1822.8</v>
      </c>
      <c r="I88" s="316">
        <v>0</v>
      </c>
      <c r="J88" s="316"/>
      <c r="K88" s="359">
        <f t="shared" si="9"/>
        <v>0</v>
      </c>
      <c r="L88" s="356">
        <f t="shared" si="10"/>
        <v>1822.8</v>
      </c>
      <c r="M88" s="317"/>
      <c r="N88" s="193">
        <f t="shared" si="8"/>
        <v>109721.54480000009</v>
      </c>
      <c r="O88" s="191"/>
      <c r="P88" s="191"/>
    </row>
    <row r="89" spans="1:18" s="320" customFormat="1">
      <c r="A89" s="325">
        <v>84</v>
      </c>
      <c r="B89" s="191" t="s">
        <v>138</v>
      </c>
      <c r="C89" s="325" t="s">
        <v>235</v>
      </c>
      <c r="D89" s="344" t="s">
        <v>236</v>
      </c>
      <c r="E89" s="342" t="s">
        <v>184</v>
      </c>
      <c r="F89" s="316">
        <v>41.5</v>
      </c>
      <c r="G89" s="316">
        <v>91.56</v>
      </c>
      <c r="H89" s="359">
        <f t="shared" si="11"/>
        <v>3799.7400000000002</v>
      </c>
      <c r="I89" s="316">
        <v>0</v>
      </c>
      <c r="J89" s="316"/>
      <c r="K89" s="359">
        <f t="shared" si="9"/>
        <v>0</v>
      </c>
      <c r="L89" s="356">
        <f t="shared" si="10"/>
        <v>3799.7400000000002</v>
      </c>
      <c r="M89" s="317"/>
      <c r="N89" s="193">
        <f t="shared" si="8"/>
        <v>105921.80480000009</v>
      </c>
      <c r="O89" s="325"/>
      <c r="P89" s="325"/>
    </row>
    <row r="90" spans="1:18" s="320" customFormat="1">
      <c r="A90" s="191">
        <v>85</v>
      </c>
      <c r="B90" s="191" t="s">
        <v>138</v>
      </c>
      <c r="C90" s="191" t="s">
        <v>197</v>
      </c>
      <c r="D90" s="191" t="s">
        <v>198</v>
      </c>
      <c r="E90" s="315" t="s">
        <v>184</v>
      </c>
      <c r="F90" s="316">
        <v>300.66000000000003</v>
      </c>
      <c r="G90" s="316">
        <v>91.47</v>
      </c>
      <c r="H90" s="359">
        <f t="shared" si="11"/>
        <v>27501.370200000001</v>
      </c>
      <c r="I90" s="316">
        <v>0</v>
      </c>
      <c r="J90" s="316"/>
      <c r="K90" s="359">
        <f t="shared" si="9"/>
        <v>0</v>
      </c>
      <c r="L90" s="356">
        <f t="shared" si="10"/>
        <v>27501.370200000001</v>
      </c>
      <c r="M90" s="317"/>
      <c r="N90" s="193">
        <f t="shared" si="8"/>
        <v>78420.434600000081</v>
      </c>
      <c r="O90" s="191"/>
      <c r="P90" s="191"/>
    </row>
    <row r="91" spans="1:18" s="320" customFormat="1">
      <c r="A91" s="191">
        <v>86</v>
      </c>
      <c r="B91" s="191" t="s">
        <v>138</v>
      </c>
      <c r="C91" s="191" t="s">
        <v>199</v>
      </c>
      <c r="D91" s="345" t="s">
        <v>200</v>
      </c>
      <c r="E91" s="315" t="s">
        <v>201</v>
      </c>
      <c r="F91" s="316"/>
      <c r="G91" s="316"/>
      <c r="H91" s="359">
        <f t="shared" si="11"/>
        <v>0</v>
      </c>
      <c r="I91" s="316">
        <v>3.9</v>
      </c>
      <c r="J91" s="316">
        <v>102.46</v>
      </c>
      <c r="K91" s="359">
        <f t="shared" si="9"/>
        <v>399.59399999999999</v>
      </c>
      <c r="L91" s="356">
        <f t="shared" si="10"/>
        <v>399.59399999999999</v>
      </c>
      <c r="M91" s="317"/>
      <c r="N91" s="193">
        <f t="shared" si="8"/>
        <v>78020.840600000083</v>
      </c>
      <c r="O91" s="191"/>
      <c r="P91" s="191"/>
    </row>
    <row r="92" spans="1:18" s="320" customFormat="1">
      <c r="A92" s="325">
        <v>87</v>
      </c>
      <c r="B92" s="191" t="s">
        <v>138</v>
      </c>
      <c r="C92" s="325" t="s">
        <v>191</v>
      </c>
      <c r="D92" s="325" t="s">
        <v>192</v>
      </c>
      <c r="E92" s="342" t="s">
        <v>193</v>
      </c>
      <c r="F92" s="316">
        <v>150.01</v>
      </c>
      <c r="G92" s="316">
        <v>91.59</v>
      </c>
      <c r="H92" s="359">
        <f t="shared" si="11"/>
        <v>13739.4159</v>
      </c>
      <c r="I92" s="316">
        <v>6</v>
      </c>
      <c r="J92" s="316">
        <v>103.53</v>
      </c>
      <c r="K92" s="359">
        <f t="shared" si="9"/>
        <v>621.18000000000006</v>
      </c>
      <c r="L92" s="356">
        <f t="shared" si="10"/>
        <v>14360.5959</v>
      </c>
      <c r="M92" s="317"/>
      <c r="N92" s="193">
        <f t="shared" si="8"/>
        <v>63660.244700000083</v>
      </c>
      <c r="O92" s="325"/>
      <c r="P92" s="325"/>
    </row>
    <row r="93" spans="1:18" s="320" customFormat="1">
      <c r="A93" s="191">
        <v>88</v>
      </c>
      <c r="B93" s="191" t="s">
        <v>138</v>
      </c>
      <c r="C93" s="191" t="s">
        <v>202</v>
      </c>
      <c r="D93" s="191" t="s">
        <v>203</v>
      </c>
      <c r="E93" s="315" t="s">
        <v>204</v>
      </c>
      <c r="F93" s="316"/>
      <c r="G93" s="316"/>
      <c r="H93" s="359">
        <f t="shared" si="11"/>
        <v>0</v>
      </c>
      <c r="I93" s="316">
        <v>4.84</v>
      </c>
      <c r="J93" s="316">
        <v>103.39</v>
      </c>
      <c r="K93" s="359">
        <f t="shared" si="9"/>
        <v>500.4076</v>
      </c>
      <c r="L93" s="356">
        <f t="shared" si="10"/>
        <v>500.4076</v>
      </c>
      <c r="M93" s="317"/>
      <c r="N93" s="193">
        <f t="shared" si="8"/>
        <v>63159.837100000084</v>
      </c>
      <c r="O93" s="191"/>
      <c r="P93" s="191"/>
    </row>
    <row r="94" spans="1:18" s="320" customFormat="1">
      <c r="A94" s="191">
        <v>89</v>
      </c>
      <c r="B94" s="191" t="s">
        <v>138</v>
      </c>
      <c r="C94" s="191" t="s">
        <v>170</v>
      </c>
      <c r="D94" s="191" t="s">
        <v>171</v>
      </c>
      <c r="E94" s="315" t="s">
        <v>172</v>
      </c>
      <c r="F94" s="316">
        <v>74.23</v>
      </c>
      <c r="G94" s="316">
        <v>91.5</v>
      </c>
      <c r="H94" s="359">
        <f t="shared" si="11"/>
        <v>6792.0450000000001</v>
      </c>
      <c r="I94" s="316">
        <v>4.83</v>
      </c>
      <c r="J94" s="316">
        <v>103.44</v>
      </c>
      <c r="K94" s="359">
        <f t="shared" si="9"/>
        <v>499.61520000000002</v>
      </c>
      <c r="L94" s="356">
        <f t="shared" si="10"/>
        <v>7291.6602000000003</v>
      </c>
      <c r="M94" s="317"/>
      <c r="N94" s="193">
        <f t="shared" si="8"/>
        <v>55868.176900000086</v>
      </c>
      <c r="O94" s="191"/>
      <c r="P94" s="191"/>
    </row>
    <row r="95" spans="1:18" s="320" customFormat="1">
      <c r="A95" s="191">
        <v>90</v>
      </c>
      <c r="B95" s="191" t="s">
        <v>138</v>
      </c>
      <c r="C95" s="191" t="s">
        <v>176</v>
      </c>
      <c r="D95" s="191" t="s">
        <v>177</v>
      </c>
      <c r="E95" s="315" t="s">
        <v>178</v>
      </c>
      <c r="F95" s="316">
        <v>45</v>
      </c>
      <c r="G95" s="316">
        <v>91.8</v>
      </c>
      <c r="H95" s="359">
        <f t="shared" si="11"/>
        <v>4131</v>
      </c>
      <c r="I95" s="316">
        <v>0</v>
      </c>
      <c r="J95" s="316"/>
      <c r="K95" s="359">
        <f t="shared" si="9"/>
        <v>0</v>
      </c>
      <c r="L95" s="356">
        <f t="shared" si="10"/>
        <v>4131</v>
      </c>
      <c r="M95" s="317"/>
      <c r="N95" s="193">
        <f t="shared" ref="N95:N102" si="12">N94+M95-L95</f>
        <v>51737.176900000086</v>
      </c>
      <c r="O95" s="191"/>
      <c r="P95" s="191"/>
    </row>
    <row r="96" spans="1:18" s="320" customFormat="1">
      <c r="A96" s="191">
        <v>91</v>
      </c>
      <c r="B96" s="191" t="s">
        <v>138</v>
      </c>
      <c r="C96" s="191" t="s">
        <v>173</v>
      </c>
      <c r="D96" s="191" t="s">
        <v>174</v>
      </c>
      <c r="E96" s="315" t="s">
        <v>175</v>
      </c>
      <c r="F96" s="316">
        <v>145</v>
      </c>
      <c r="G96" s="316">
        <v>92.04</v>
      </c>
      <c r="H96" s="359">
        <f t="shared" si="11"/>
        <v>13345.800000000001</v>
      </c>
      <c r="I96" s="316">
        <v>0</v>
      </c>
      <c r="J96" s="316"/>
      <c r="K96" s="359">
        <f t="shared" si="9"/>
        <v>0</v>
      </c>
      <c r="L96" s="356">
        <f t="shared" si="10"/>
        <v>13345.800000000001</v>
      </c>
      <c r="M96" s="317"/>
      <c r="N96" s="193">
        <f t="shared" si="12"/>
        <v>38391.376900000083</v>
      </c>
      <c r="O96" s="191"/>
      <c r="P96" s="191"/>
    </row>
    <row r="97" spans="1:16" s="320" customFormat="1">
      <c r="A97" s="191">
        <v>92</v>
      </c>
      <c r="B97" s="191" t="s">
        <v>138</v>
      </c>
      <c r="C97" s="191" t="s">
        <v>226</v>
      </c>
      <c r="D97" s="191" t="s">
        <v>227</v>
      </c>
      <c r="E97" s="315" t="s">
        <v>228</v>
      </c>
      <c r="F97" s="316">
        <v>60</v>
      </c>
      <c r="G97" s="316">
        <v>91.77</v>
      </c>
      <c r="H97" s="359">
        <f t="shared" si="11"/>
        <v>5506.2</v>
      </c>
      <c r="I97" s="316">
        <v>0</v>
      </c>
      <c r="J97" s="316"/>
      <c r="K97" s="359">
        <f t="shared" si="9"/>
        <v>0</v>
      </c>
      <c r="L97" s="356">
        <f t="shared" si="10"/>
        <v>5506.2</v>
      </c>
      <c r="M97" s="317"/>
      <c r="N97" s="193">
        <f t="shared" si="12"/>
        <v>32885.176900000086</v>
      </c>
      <c r="O97" s="319"/>
      <c r="P97" s="193"/>
    </row>
    <row r="98" spans="1:16" s="320" customFormat="1">
      <c r="A98" s="191">
        <v>93</v>
      </c>
      <c r="B98" s="191" t="s">
        <v>153</v>
      </c>
      <c r="C98" s="191" t="s">
        <v>179</v>
      </c>
      <c r="D98" s="191" t="s">
        <v>180</v>
      </c>
      <c r="E98" s="315" t="s">
        <v>181</v>
      </c>
      <c r="F98" s="316">
        <v>20</v>
      </c>
      <c r="G98" s="316">
        <v>91.92</v>
      </c>
      <c r="H98" s="359">
        <f t="shared" si="11"/>
        <v>1838.4</v>
      </c>
      <c r="I98" s="316">
        <v>0</v>
      </c>
      <c r="J98" s="316"/>
      <c r="K98" s="359">
        <f t="shared" si="9"/>
        <v>0</v>
      </c>
      <c r="L98" s="356">
        <f t="shared" si="10"/>
        <v>1838.4</v>
      </c>
      <c r="M98" s="317"/>
      <c r="N98" s="193">
        <f t="shared" si="12"/>
        <v>31046.776900000084</v>
      </c>
      <c r="O98" s="191"/>
      <c r="P98" s="191"/>
    </row>
    <row r="99" spans="1:16" s="320" customFormat="1">
      <c r="A99" s="191">
        <v>94</v>
      </c>
      <c r="B99" s="191" t="s">
        <v>153</v>
      </c>
      <c r="C99" s="191" t="s">
        <v>206</v>
      </c>
      <c r="D99" s="191" t="s">
        <v>89</v>
      </c>
      <c r="E99" s="315" t="s">
        <v>201</v>
      </c>
      <c r="F99" s="316">
        <v>0</v>
      </c>
      <c r="G99" s="316">
        <v>0</v>
      </c>
      <c r="H99" s="359">
        <f t="shared" si="11"/>
        <v>0</v>
      </c>
      <c r="I99" s="316">
        <v>3.9</v>
      </c>
      <c r="J99" s="316">
        <v>102.46</v>
      </c>
      <c r="K99" s="359">
        <f t="shared" si="9"/>
        <v>399.59399999999999</v>
      </c>
      <c r="L99" s="356">
        <f t="shared" si="10"/>
        <v>399.59399999999999</v>
      </c>
      <c r="M99" s="317"/>
      <c r="N99" s="193">
        <f t="shared" si="12"/>
        <v>30647.182900000083</v>
      </c>
      <c r="O99" s="191"/>
      <c r="P99" s="191"/>
    </row>
    <row r="100" spans="1:16" s="320" customFormat="1">
      <c r="A100" s="325">
        <v>95</v>
      </c>
      <c r="B100" s="191" t="s">
        <v>153</v>
      </c>
      <c r="C100" s="325" t="s">
        <v>191</v>
      </c>
      <c r="D100" s="325" t="s">
        <v>192</v>
      </c>
      <c r="E100" s="342" t="s">
        <v>193</v>
      </c>
      <c r="F100" s="316">
        <v>155.01</v>
      </c>
      <c r="G100" s="316">
        <v>91.59</v>
      </c>
      <c r="H100" s="359">
        <f t="shared" si="11"/>
        <v>14197.365899999999</v>
      </c>
      <c r="I100" s="316">
        <v>0</v>
      </c>
      <c r="J100" s="316"/>
      <c r="K100" s="359">
        <f t="shared" ref="K100:K101" si="13">I100*J100</f>
        <v>0</v>
      </c>
      <c r="L100" s="356">
        <f t="shared" ref="L100:L101" si="14">H100+K100</f>
        <v>14197.365899999999</v>
      </c>
      <c r="M100" s="317"/>
      <c r="N100" s="193">
        <f t="shared" si="12"/>
        <v>16449.817000000083</v>
      </c>
      <c r="O100" s="325"/>
      <c r="P100" s="325"/>
    </row>
    <row r="101" spans="1:16" s="320" customFormat="1">
      <c r="A101" s="191">
        <v>96</v>
      </c>
      <c r="B101" s="191" t="s">
        <v>153</v>
      </c>
      <c r="C101" s="191" t="s">
        <v>176</v>
      </c>
      <c r="D101" s="191" t="s">
        <v>177</v>
      </c>
      <c r="E101" s="315" t="s">
        <v>178</v>
      </c>
      <c r="F101" s="316">
        <v>70</v>
      </c>
      <c r="G101" s="316">
        <v>91.8</v>
      </c>
      <c r="H101" s="359">
        <f t="shared" si="11"/>
        <v>6426</v>
      </c>
      <c r="I101" s="316">
        <v>5</v>
      </c>
      <c r="J101" s="316">
        <v>103.76</v>
      </c>
      <c r="K101" s="359">
        <f t="shared" si="13"/>
        <v>518.80000000000007</v>
      </c>
      <c r="L101" s="356">
        <f t="shared" si="14"/>
        <v>6944.8</v>
      </c>
      <c r="M101" s="317"/>
      <c r="N101" s="193">
        <f t="shared" si="12"/>
        <v>9505.0170000000835</v>
      </c>
      <c r="O101" s="191"/>
      <c r="P101" s="191"/>
    </row>
    <row r="102" spans="1:16" s="320" customFormat="1">
      <c r="A102" s="191">
        <v>97</v>
      </c>
      <c r="B102" s="191" t="s">
        <v>153</v>
      </c>
      <c r="C102" s="191" t="s">
        <v>173</v>
      </c>
      <c r="D102" s="191" t="s">
        <v>174</v>
      </c>
      <c r="E102" s="315" t="s">
        <v>175</v>
      </c>
      <c r="F102" s="316">
        <v>75</v>
      </c>
      <c r="G102" s="316">
        <v>92.04</v>
      </c>
      <c r="H102" s="359">
        <f t="shared" si="11"/>
        <v>6903.0000000000009</v>
      </c>
      <c r="I102" s="316">
        <v>0</v>
      </c>
      <c r="J102" s="316">
        <v>0</v>
      </c>
      <c r="K102" s="359">
        <f t="shared" ref="K102" si="15">I102*J102</f>
        <v>0</v>
      </c>
      <c r="L102" s="356">
        <f t="shared" ref="L102" si="16">H102+K102</f>
        <v>6903.0000000000009</v>
      </c>
      <c r="M102" s="317">
        <v>4880.4799999999996</v>
      </c>
      <c r="N102" s="193">
        <f t="shared" si="12"/>
        <v>7482.4970000000822</v>
      </c>
      <c r="O102" s="191"/>
      <c r="P102" s="191"/>
    </row>
    <row r="103" spans="1:16" s="320" customFormat="1">
      <c r="A103" s="325">
        <v>98</v>
      </c>
      <c r="B103" s="191"/>
      <c r="C103" s="325"/>
      <c r="D103" s="325"/>
      <c r="E103" s="342"/>
      <c r="F103" s="316"/>
      <c r="G103" s="316"/>
      <c r="H103" s="316"/>
      <c r="I103" s="316"/>
      <c r="J103" s="316"/>
      <c r="K103" s="316"/>
      <c r="L103" s="316"/>
      <c r="M103" s="317"/>
      <c r="N103" s="318"/>
      <c r="O103" s="325"/>
      <c r="P103" s="325"/>
    </row>
    <row r="104" spans="1:16" s="320" customFormat="1">
      <c r="A104" s="325">
        <v>99</v>
      </c>
      <c r="B104" s="191"/>
      <c r="C104" s="325"/>
      <c r="D104" s="325"/>
      <c r="E104" s="342"/>
      <c r="F104" s="316"/>
      <c r="G104" s="316"/>
      <c r="H104" s="316"/>
      <c r="I104" s="316"/>
      <c r="J104" s="316"/>
      <c r="K104" s="316"/>
      <c r="L104" s="316"/>
      <c r="M104" s="317"/>
      <c r="N104" s="318"/>
      <c r="O104" s="325"/>
      <c r="P104" s="325"/>
    </row>
    <row r="105" spans="1:16" s="320" customFormat="1">
      <c r="A105" s="191">
        <v>100</v>
      </c>
      <c r="B105" s="191"/>
      <c r="C105" s="191"/>
      <c r="D105" s="191"/>
      <c r="E105" s="315"/>
      <c r="F105" s="316"/>
      <c r="G105" s="316"/>
      <c r="H105" s="316"/>
      <c r="I105" s="316"/>
      <c r="J105" s="316"/>
      <c r="K105" s="316"/>
      <c r="L105" s="316"/>
      <c r="M105" s="317"/>
      <c r="N105" s="193"/>
      <c r="O105" s="191"/>
      <c r="P105" s="191"/>
    </row>
    <row r="106" spans="1:16" s="320" customFormat="1">
      <c r="A106" s="191">
        <v>101</v>
      </c>
      <c r="B106" s="191"/>
      <c r="C106" s="191"/>
      <c r="D106" s="191"/>
      <c r="E106" s="315"/>
      <c r="F106" s="316"/>
      <c r="G106" s="316"/>
      <c r="H106" s="316"/>
      <c r="I106" s="316"/>
      <c r="J106" s="316"/>
      <c r="K106" s="316"/>
      <c r="L106" s="316"/>
      <c r="M106" s="317"/>
      <c r="N106" s="193"/>
      <c r="O106" s="191"/>
      <c r="P106" s="191"/>
    </row>
    <row r="107" spans="1:16" s="320" customFormat="1">
      <c r="A107" s="191">
        <v>102</v>
      </c>
      <c r="B107" s="325"/>
      <c r="C107" s="325"/>
      <c r="D107" s="325"/>
      <c r="E107" s="342"/>
      <c r="F107" s="316"/>
      <c r="G107" s="316"/>
      <c r="H107" s="316"/>
      <c r="I107" s="316"/>
      <c r="J107" s="316"/>
      <c r="K107" s="316"/>
      <c r="L107" s="316"/>
      <c r="M107" s="317"/>
      <c r="N107" s="318"/>
      <c r="O107" s="346"/>
      <c r="P107" s="318"/>
    </row>
    <row r="108" spans="1:16" s="320" customFormat="1">
      <c r="A108" s="313">
        <v>103</v>
      </c>
      <c r="B108" s="325"/>
      <c r="C108" s="191"/>
      <c r="D108" s="191"/>
      <c r="E108" s="315"/>
      <c r="F108" s="316"/>
      <c r="G108" s="316"/>
      <c r="H108" s="316"/>
      <c r="I108" s="316"/>
      <c r="J108" s="316"/>
      <c r="K108" s="316"/>
      <c r="L108" s="316"/>
      <c r="M108" s="317"/>
      <c r="N108" s="193"/>
      <c r="O108" s="191"/>
      <c r="P108" s="191"/>
    </row>
    <row r="109" spans="1:16" s="320" customFormat="1">
      <c r="A109" s="313">
        <v>104</v>
      </c>
      <c r="B109" s="325"/>
      <c r="C109" s="191"/>
      <c r="D109" s="191"/>
      <c r="E109" s="315"/>
      <c r="F109" s="316"/>
      <c r="G109" s="316"/>
      <c r="H109" s="316"/>
      <c r="I109" s="316"/>
      <c r="J109" s="316"/>
      <c r="K109" s="316"/>
      <c r="L109" s="316"/>
      <c r="M109" s="317"/>
      <c r="N109" s="193"/>
      <c r="O109" s="191"/>
      <c r="P109" s="191"/>
    </row>
    <row r="110" spans="1:16" s="320" customFormat="1">
      <c r="A110" s="313">
        <v>105</v>
      </c>
      <c r="B110" s="325"/>
      <c r="C110" s="191"/>
      <c r="D110" s="191"/>
      <c r="E110" s="315"/>
      <c r="F110" s="316"/>
      <c r="G110" s="316"/>
      <c r="H110" s="316"/>
      <c r="I110" s="316"/>
      <c r="J110" s="316"/>
      <c r="K110" s="316"/>
      <c r="L110" s="316"/>
      <c r="M110" s="317"/>
      <c r="N110" s="193"/>
      <c r="O110" s="191"/>
      <c r="P110" s="191"/>
    </row>
    <row r="111" spans="1:16" s="320" customFormat="1">
      <c r="A111" s="313">
        <v>106</v>
      </c>
      <c r="B111" s="325"/>
      <c r="C111" s="191"/>
      <c r="D111" s="191"/>
      <c r="E111" s="315"/>
      <c r="F111" s="316"/>
      <c r="G111" s="316"/>
      <c r="H111" s="316"/>
      <c r="I111" s="316"/>
      <c r="J111" s="316"/>
      <c r="K111" s="316"/>
      <c r="L111" s="316"/>
      <c r="M111" s="317"/>
      <c r="N111" s="193"/>
      <c r="O111" s="191"/>
      <c r="P111" s="191"/>
    </row>
    <row r="112" spans="1:16" s="320" customFormat="1">
      <c r="A112" s="313">
        <v>107</v>
      </c>
      <c r="B112" s="325"/>
      <c r="C112" s="325"/>
      <c r="D112" s="325"/>
      <c r="E112" s="342"/>
      <c r="F112" s="316"/>
      <c r="G112" s="316"/>
      <c r="H112" s="316"/>
      <c r="I112" s="316"/>
      <c r="J112" s="316"/>
      <c r="K112" s="316"/>
      <c r="L112" s="316"/>
      <c r="M112" s="317"/>
      <c r="N112" s="318"/>
      <c r="O112" s="346"/>
      <c r="P112" s="318"/>
    </row>
    <row r="113" spans="1:16" s="320" customFormat="1">
      <c r="A113" s="313">
        <v>108</v>
      </c>
      <c r="B113" s="325"/>
      <c r="C113" s="191"/>
      <c r="D113" s="191"/>
      <c r="E113" s="315"/>
      <c r="F113" s="316"/>
      <c r="G113" s="316"/>
      <c r="H113" s="316"/>
      <c r="I113" s="316"/>
      <c r="J113" s="316"/>
      <c r="K113" s="316"/>
      <c r="L113" s="316"/>
      <c r="M113" s="317"/>
      <c r="N113" s="193"/>
      <c r="O113" s="191"/>
      <c r="P113" s="191"/>
    </row>
    <row r="114" spans="1:16" s="320" customFormat="1">
      <c r="A114" s="313">
        <v>109</v>
      </c>
      <c r="B114" s="325"/>
      <c r="C114" s="191"/>
      <c r="D114" s="191"/>
      <c r="E114" s="315"/>
      <c r="F114" s="316"/>
      <c r="G114" s="316"/>
      <c r="H114" s="316"/>
      <c r="I114" s="316"/>
      <c r="J114" s="316"/>
      <c r="K114" s="316"/>
      <c r="L114" s="316"/>
      <c r="M114" s="317"/>
      <c r="N114" s="193"/>
      <c r="O114" s="191"/>
      <c r="P114" s="191"/>
    </row>
    <row r="115" spans="1:16" s="320" customFormat="1">
      <c r="A115" s="313">
        <v>110</v>
      </c>
      <c r="B115" s="325"/>
      <c r="C115" s="191"/>
      <c r="D115" s="191"/>
      <c r="E115" s="315"/>
      <c r="F115" s="316"/>
      <c r="G115" s="316"/>
      <c r="H115" s="316"/>
      <c r="I115" s="316"/>
      <c r="J115" s="316"/>
      <c r="K115" s="316"/>
      <c r="L115" s="316"/>
      <c r="M115" s="317"/>
      <c r="N115" s="193"/>
      <c r="O115" s="191"/>
      <c r="P115" s="191"/>
    </row>
    <row r="116" spans="1:16" s="320" customFormat="1">
      <c r="A116" s="313">
        <v>111</v>
      </c>
      <c r="B116" s="191"/>
      <c r="C116" s="191"/>
      <c r="D116" s="191"/>
      <c r="E116" s="315"/>
      <c r="F116" s="316"/>
      <c r="G116" s="316"/>
      <c r="H116" s="316"/>
      <c r="I116" s="316"/>
      <c r="J116" s="316"/>
      <c r="K116" s="316"/>
      <c r="L116" s="316"/>
      <c r="M116" s="317"/>
      <c r="N116" s="193"/>
      <c r="O116" s="191"/>
      <c r="P116" s="191"/>
    </row>
    <row r="117" spans="1:16" s="320" customFormat="1">
      <c r="A117" s="313">
        <v>112</v>
      </c>
      <c r="B117" s="191"/>
      <c r="C117" s="191"/>
      <c r="D117" s="191"/>
      <c r="E117" s="315"/>
      <c r="F117" s="316"/>
      <c r="G117" s="316"/>
      <c r="H117" s="316"/>
      <c r="I117" s="316"/>
      <c r="J117" s="316"/>
      <c r="K117" s="316"/>
      <c r="L117" s="316"/>
      <c r="M117" s="317"/>
      <c r="N117" s="193"/>
      <c r="O117" s="191"/>
      <c r="P117" s="191"/>
    </row>
    <row r="118" spans="1:16" s="320" customFormat="1">
      <c r="A118" s="313">
        <v>113</v>
      </c>
      <c r="B118" s="191"/>
      <c r="C118" s="325"/>
      <c r="D118" s="325"/>
      <c r="E118" s="342"/>
      <c r="F118" s="316"/>
      <c r="G118" s="316"/>
      <c r="H118" s="316"/>
      <c r="I118" s="316"/>
      <c r="J118" s="316"/>
      <c r="K118" s="316"/>
      <c r="L118" s="316"/>
      <c r="M118" s="317"/>
      <c r="N118" s="318"/>
      <c r="O118" s="325"/>
      <c r="P118" s="325"/>
    </row>
    <row r="119" spans="1:16" s="320" customFormat="1">
      <c r="A119" s="313">
        <v>114</v>
      </c>
      <c r="B119" s="191"/>
      <c r="C119" s="191"/>
      <c r="D119" s="191"/>
      <c r="E119" s="315"/>
      <c r="F119" s="316"/>
      <c r="G119" s="316"/>
      <c r="H119" s="316"/>
      <c r="I119" s="316"/>
      <c r="J119" s="316"/>
      <c r="K119" s="316"/>
      <c r="L119" s="316"/>
      <c r="M119" s="317"/>
      <c r="N119" s="193"/>
      <c r="O119" s="191"/>
      <c r="P119" s="191"/>
    </row>
    <row r="120" spans="1:16" s="320" customFormat="1">
      <c r="A120" s="313">
        <v>115</v>
      </c>
      <c r="B120" s="191"/>
      <c r="C120" s="191"/>
      <c r="D120" s="191"/>
      <c r="E120" s="315"/>
      <c r="F120" s="316"/>
      <c r="G120" s="316"/>
      <c r="H120" s="316"/>
      <c r="I120" s="316"/>
      <c r="J120" s="316"/>
      <c r="K120" s="316"/>
      <c r="L120" s="316"/>
      <c r="M120" s="317"/>
      <c r="N120" s="193"/>
      <c r="O120" s="191"/>
      <c r="P120" s="191"/>
    </row>
    <row r="121" spans="1:16" s="320" customFormat="1">
      <c r="A121" s="313">
        <v>116</v>
      </c>
      <c r="B121" s="191"/>
      <c r="C121" s="191"/>
      <c r="D121" s="191"/>
      <c r="E121" s="315"/>
      <c r="F121" s="316"/>
      <c r="G121" s="316"/>
      <c r="H121" s="316"/>
      <c r="I121" s="316"/>
      <c r="J121" s="316"/>
      <c r="K121" s="316"/>
      <c r="L121" s="316"/>
      <c r="M121" s="317"/>
      <c r="N121" s="193"/>
      <c r="O121" s="319"/>
      <c r="P121" s="318"/>
    </row>
    <row r="122" spans="1:16" s="320" customFormat="1">
      <c r="A122" s="313">
        <v>117</v>
      </c>
      <c r="B122" s="191"/>
      <c r="C122" s="325"/>
      <c r="D122" s="325"/>
      <c r="E122" s="342"/>
      <c r="F122" s="316"/>
      <c r="G122" s="316"/>
      <c r="H122" s="316"/>
      <c r="I122" s="316"/>
      <c r="J122" s="316"/>
      <c r="K122" s="316"/>
      <c r="L122" s="316"/>
      <c r="M122" s="317"/>
      <c r="N122" s="318"/>
      <c r="O122" s="325"/>
      <c r="P122" s="325"/>
    </row>
    <row r="123" spans="1:16" s="320" customFormat="1">
      <c r="A123" s="313">
        <v>118</v>
      </c>
      <c r="B123" s="191"/>
      <c r="C123" s="191"/>
      <c r="D123" s="191"/>
      <c r="E123" s="315"/>
      <c r="F123" s="316"/>
      <c r="G123" s="316"/>
      <c r="H123" s="316"/>
      <c r="I123" s="316"/>
      <c r="J123" s="316"/>
      <c r="K123" s="316"/>
      <c r="L123" s="316"/>
      <c r="M123" s="317"/>
      <c r="N123" s="318"/>
      <c r="O123" s="191"/>
      <c r="P123" s="191"/>
    </row>
    <row r="124" spans="1:16" s="320" customFormat="1">
      <c r="A124" s="313">
        <v>119</v>
      </c>
      <c r="B124" s="191"/>
      <c r="C124" s="191"/>
      <c r="D124" s="191"/>
      <c r="E124" s="315"/>
      <c r="F124" s="316"/>
      <c r="G124" s="316"/>
      <c r="H124" s="316"/>
      <c r="I124" s="316"/>
      <c r="J124" s="316"/>
      <c r="K124" s="316"/>
      <c r="L124" s="316"/>
      <c r="M124" s="317"/>
      <c r="N124" s="318"/>
      <c r="O124" s="191"/>
      <c r="P124" s="191"/>
    </row>
    <row r="125" spans="1:16" s="320" customFormat="1">
      <c r="A125" s="313">
        <v>120</v>
      </c>
      <c r="B125" s="191"/>
      <c r="C125" s="191"/>
      <c r="D125" s="191"/>
      <c r="E125" s="315"/>
      <c r="F125" s="316"/>
      <c r="G125" s="316"/>
      <c r="H125" s="316"/>
      <c r="I125" s="316"/>
      <c r="J125" s="316"/>
      <c r="K125" s="316"/>
      <c r="L125" s="316"/>
      <c r="M125" s="317"/>
      <c r="N125" s="318"/>
      <c r="O125" s="191"/>
      <c r="P125" s="191"/>
    </row>
    <row r="126" spans="1:16" s="320" customFormat="1">
      <c r="A126" s="313">
        <v>121</v>
      </c>
      <c r="B126" s="191"/>
      <c r="C126" s="325"/>
      <c r="D126" s="325"/>
      <c r="E126" s="342"/>
      <c r="F126" s="316"/>
      <c r="G126" s="316"/>
      <c r="H126" s="316"/>
      <c r="I126" s="316"/>
      <c r="J126" s="316"/>
      <c r="K126" s="316"/>
      <c r="L126" s="316"/>
      <c r="M126" s="317"/>
      <c r="N126" s="318"/>
      <c r="O126" s="325"/>
      <c r="P126" s="325"/>
    </row>
    <row r="127" spans="1:16" s="320" customFormat="1">
      <c r="A127" s="313">
        <v>122</v>
      </c>
      <c r="B127" s="191"/>
      <c r="C127" s="192"/>
      <c r="D127" s="192"/>
      <c r="E127" s="321"/>
      <c r="F127" s="316"/>
      <c r="G127" s="316"/>
      <c r="H127" s="316"/>
      <c r="I127" s="316"/>
      <c r="J127" s="316"/>
      <c r="K127" s="316"/>
      <c r="L127" s="316"/>
      <c r="M127" s="317"/>
      <c r="N127" s="318"/>
      <c r="O127" s="191"/>
      <c r="P127" s="191"/>
    </row>
    <row r="128" spans="1:16" s="320" customFormat="1">
      <c r="A128" s="313">
        <v>123</v>
      </c>
      <c r="B128" s="191"/>
      <c r="C128" s="191"/>
      <c r="D128" s="191"/>
      <c r="E128" s="315"/>
      <c r="F128" s="316"/>
      <c r="G128" s="316"/>
      <c r="H128" s="316"/>
      <c r="I128" s="316"/>
      <c r="J128" s="316"/>
      <c r="K128" s="316"/>
      <c r="L128" s="316"/>
      <c r="M128" s="317"/>
      <c r="N128" s="318"/>
      <c r="O128" s="191"/>
      <c r="P128" s="191"/>
    </row>
    <row r="129" spans="1:16" s="320" customFormat="1">
      <c r="A129" s="313">
        <v>124</v>
      </c>
      <c r="B129" s="191"/>
      <c r="C129" s="314"/>
      <c r="D129" s="314"/>
      <c r="E129" s="315"/>
      <c r="F129" s="316"/>
      <c r="G129" s="316"/>
      <c r="H129" s="316"/>
      <c r="I129" s="316"/>
      <c r="J129" s="316"/>
      <c r="K129" s="316"/>
      <c r="L129" s="316"/>
      <c r="M129" s="317"/>
      <c r="N129" s="318"/>
      <c r="O129" s="319"/>
      <c r="P129" s="193"/>
    </row>
    <row r="130" spans="1:16" s="320" customFormat="1">
      <c r="A130" s="313">
        <v>125</v>
      </c>
      <c r="B130" s="191"/>
      <c r="C130" s="192"/>
      <c r="D130" s="192"/>
      <c r="E130" s="321"/>
      <c r="F130" s="316"/>
      <c r="G130" s="316"/>
      <c r="H130" s="316"/>
      <c r="I130" s="316"/>
      <c r="J130" s="316"/>
      <c r="K130" s="316"/>
      <c r="L130" s="316"/>
      <c r="M130" s="317"/>
      <c r="N130" s="318"/>
      <c r="O130" s="191"/>
      <c r="P130" s="191"/>
    </row>
    <row r="131" spans="1:16" s="320" customFormat="1">
      <c r="A131" s="313">
        <v>126</v>
      </c>
      <c r="B131" s="191"/>
      <c r="C131" s="192"/>
      <c r="D131" s="192"/>
      <c r="E131" s="321"/>
      <c r="F131" s="316"/>
      <c r="G131" s="316"/>
      <c r="H131" s="316"/>
      <c r="I131" s="316"/>
      <c r="J131" s="316"/>
      <c r="K131" s="316"/>
      <c r="L131" s="316"/>
      <c r="M131" s="317"/>
      <c r="N131" s="318"/>
      <c r="O131" s="191"/>
      <c r="P131" s="191"/>
    </row>
    <row r="132" spans="1:16" s="320" customFormat="1">
      <c r="A132" s="313">
        <v>127</v>
      </c>
      <c r="B132" s="191"/>
      <c r="C132" s="192"/>
      <c r="D132" s="192"/>
      <c r="E132" s="321"/>
      <c r="F132" s="316"/>
      <c r="G132" s="316"/>
      <c r="H132" s="316"/>
      <c r="I132" s="316"/>
      <c r="J132" s="316"/>
      <c r="K132" s="316"/>
      <c r="L132" s="316"/>
      <c r="M132" s="317"/>
      <c r="N132" s="318"/>
      <c r="O132" s="191"/>
      <c r="P132" s="191"/>
    </row>
    <row r="133" spans="1:16" s="320" customFormat="1">
      <c r="A133" s="322">
        <v>128</v>
      </c>
      <c r="B133" s="191"/>
      <c r="C133" s="323"/>
      <c r="D133" s="323"/>
      <c r="E133" s="324"/>
      <c r="F133" s="316"/>
      <c r="G133" s="316"/>
      <c r="H133" s="316"/>
      <c r="I133" s="316"/>
      <c r="J133" s="316"/>
      <c r="K133" s="316"/>
      <c r="L133" s="316"/>
      <c r="M133" s="317"/>
      <c r="N133" s="318"/>
      <c r="O133" s="325"/>
      <c r="P133" s="325"/>
    </row>
    <row r="134" spans="1:16" s="320" customFormat="1">
      <c r="A134" s="191">
        <v>129</v>
      </c>
      <c r="B134" s="191"/>
      <c r="C134" s="192"/>
      <c r="D134" s="192"/>
      <c r="E134" s="321"/>
      <c r="F134" s="316"/>
      <c r="G134" s="316"/>
      <c r="H134" s="316"/>
      <c r="I134" s="316"/>
      <c r="J134" s="316"/>
      <c r="K134" s="316"/>
      <c r="L134" s="316"/>
      <c r="M134" s="317"/>
      <c r="N134" s="193"/>
      <c r="O134" s="191"/>
      <c r="P134" s="191"/>
    </row>
    <row r="135" spans="1:16" s="320" customFormat="1">
      <c r="A135" s="191">
        <v>130</v>
      </c>
      <c r="B135" s="191"/>
      <c r="C135" s="191"/>
      <c r="D135" s="191"/>
      <c r="E135" s="315"/>
      <c r="F135" s="316"/>
      <c r="G135" s="316"/>
      <c r="H135" s="316"/>
      <c r="I135" s="316"/>
      <c r="J135" s="316"/>
      <c r="K135" s="316"/>
      <c r="L135" s="316"/>
      <c r="M135" s="317"/>
      <c r="N135" s="193"/>
      <c r="O135" s="191"/>
      <c r="P135" s="191"/>
    </row>
    <row r="136" spans="1:16" s="320" customFormat="1">
      <c r="A136" s="191">
        <v>131</v>
      </c>
      <c r="B136" s="191"/>
      <c r="C136" s="191"/>
      <c r="D136" s="191"/>
      <c r="E136" s="315"/>
      <c r="F136" s="316"/>
      <c r="G136" s="316"/>
      <c r="H136" s="316"/>
      <c r="I136" s="316"/>
      <c r="J136" s="316"/>
      <c r="K136" s="316"/>
      <c r="L136" s="316"/>
      <c r="M136" s="317"/>
      <c r="N136" s="193"/>
      <c r="O136" s="191"/>
      <c r="P136" s="191"/>
    </row>
    <row r="137" spans="1:16" s="320" customFormat="1">
      <c r="A137" s="191">
        <v>132</v>
      </c>
      <c r="B137" s="191"/>
      <c r="C137" s="191"/>
      <c r="D137" s="191"/>
      <c r="E137" s="315"/>
      <c r="F137" s="316"/>
      <c r="G137" s="316"/>
      <c r="H137" s="316"/>
      <c r="I137" s="316"/>
      <c r="J137" s="316"/>
      <c r="K137" s="316"/>
      <c r="L137" s="316"/>
      <c r="M137" s="317"/>
      <c r="N137" s="193"/>
      <c r="O137" s="191"/>
      <c r="P137" s="191"/>
    </row>
    <row r="138" spans="1:16" s="320" customFormat="1">
      <c r="A138" s="191">
        <v>133</v>
      </c>
      <c r="B138" s="191"/>
      <c r="C138" s="191"/>
      <c r="D138" s="191"/>
      <c r="E138" s="315"/>
      <c r="F138" s="316"/>
      <c r="G138" s="316"/>
      <c r="H138" s="316"/>
      <c r="I138" s="316"/>
      <c r="J138" s="316"/>
      <c r="K138" s="316"/>
      <c r="L138" s="316"/>
      <c r="M138" s="317"/>
      <c r="N138" s="193"/>
      <c r="O138" s="191"/>
      <c r="P138" s="191"/>
    </row>
    <row r="139" spans="1:16" s="320" customFormat="1">
      <c r="A139" s="191">
        <v>134</v>
      </c>
      <c r="B139" s="191"/>
      <c r="C139" s="191"/>
      <c r="D139" s="191"/>
      <c r="E139" s="315"/>
      <c r="F139" s="316"/>
      <c r="G139" s="316"/>
      <c r="H139" s="316"/>
      <c r="I139" s="316"/>
      <c r="J139" s="316"/>
      <c r="K139" s="316"/>
      <c r="L139" s="316"/>
      <c r="M139" s="317"/>
      <c r="N139" s="193"/>
      <c r="O139" s="191"/>
      <c r="P139" s="191"/>
    </row>
    <row r="140" spans="1:16" s="320" customFormat="1">
      <c r="A140" s="191">
        <v>135</v>
      </c>
      <c r="B140" s="191"/>
      <c r="C140" s="191"/>
      <c r="D140" s="191"/>
      <c r="E140" s="315"/>
      <c r="F140" s="316"/>
      <c r="G140" s="316"/>
      <c r="H140" s="316"/>
      <c r="I140" s="316"/>
      <c r="J140" s="316"/>
      <c r="K140" s="316"/>
      <c r="L140" s="316"/>
      <c r="M140" s="317"/>
      <c r="N140" s="193"/>
      <c r="O140" s="191"/>
      <c r="P140" s="191"/>
    </row>
    <row r="141" spans="1:16" s="320" customFormat="1">
      <c r="A141" s="191">
        <v>136</v>
      </c>
      <c r="B141" s="191"/>
      <c r="C141" s="191"/>
      <c r="D141" s="191"/>
      <c r="E141" s="315"/>
      <c r="F141" s="316"/>
      <c r="G141" s="316"/>
      <c r="H141" s="316"/>
      <c r="I141" s="316"/>
      <c r="J141" s="316"/>
      <c r="K141" s="316"/>
      <c r="L141" s="316"/>
      <c r="M141" s="317"/>
      <c r="N141" s="193"/>
      <c r="O141" s="191"/>
      <c r="P141" s="191"/>
    </row>
    <row r="142" spans="1:16" s="320" customFormat="1">
      <c r="A142" s="191">
        <v>137</v>
      </c>
      <c r="B142" s="191"/>
      <c r="C142" s="191"/>
      <c r="D142" s="191"/>
      <c r="E142" s="315"/>
      <c r="F142" s="316"/>
      <c r="G142" s="316"/>
      <c r="H142" s="316"/>
      <c r="I142" s="316"/>
      <c r="J142" s="316"/>
      <c r="K142" s="316"/>
      <c r="L142" s="316"/>
      <c r="M142" s="317"/>
      <c r="N142" s="193"/>
      <c r="O142" s="191"/>
      <c r="P142" s="191"/>
    </row>
    <row r="143" spans="1:16" s="320" customFormat="1">
      <c r="A143" s="191">
        <v>138</v>
      </c>
      <c r="B143" s="191"/>
      <c r="C143" s="325"/>
      <c r="D143" s="325"/>
      <c r="E143" s="342"/>
      <c r="F143" s="316"/>
      <c r="G143" s="316"/>
      <c r="H143" s="316"/>
      <c r="I143" s="316"/>
      <c r="J143" s="316"/>
      <c r="K143" s="316"/>
      <c r="L143" s="316"/>
      <c r="M143" s="317"/>
      <c r="N143" s="318"/>
      <c r="O143" s="325"/>
      <c r="P143" s="325"/>
    </row>
    <row r="144" spans="1:16" s="320" customFormat="1">
      <c r="A144" s="313">
        <v>139</v>
      </c>
      <c r="B144" s="191"/>
      <c r="C144" s="191"/>
      <c r="D144" s="191"/>
      <c r="E144" s="315"/>
      <c r="F144" s="316"/>
      <c r="G144" s="316"/>
      <c r="H144" s="316"/>
      <c r="I144" s="316"/>
      <c r="J144" s="316"/>
      <c r="K144" s="316"/>
      <c r="L144" s="316"/>
      <c r="M144" s="317"/>
      <c r="N144" s="193"/>
      <c r="O144" s="191"/>
      <c r="P144" s="191"/>
    </row>
    <row r="145" spans="1:16" s="320" customFormat="1">
      <c r="A145" s="313">
        <v>140</v>
      </c>
      <c r="B145" s="191"/>
      <c r="C145" s="345"/>
      <c r="D145" s="191"/>
      <c r="E145" s="315"/>
      <c r="F145" s="316"/>
      <c r="G145" s="316"/>
      <c r="H145" s="316"/>
      <c r="I145" s="316"/>
      <c r="J145" s="316"/>
      <c r="K145" s="316"/>
      <c r="L145" s="316"/>
      <c r="M145" s="317"/>
      <c r="N145" s="193"/>
      <c r="O145" s="191"/>
      <c r="P145" s="191"/>
    </row>
    <row r="146" spans="1:16" s="320" customFormat="1">
      <c r="A146" s="313">
        <v>141</v>
      </c>
      <c r="B146" s="191"/>
      <c r="C146" s="191"/>
      <c r="D146" s="191"/>
      <c r="E146" s="315"/>
      <c r="F146" s="316"/>
      <c r="G146" s="316"/>
      <c r="H146" s="316"/>
      <c r="I146" s="316"/>
      <c r="J146" s="316"/>
      <c r="K146" s="316"/>
      <c r="L146" s="316"/>
      <c r="M146" s="317"/>
      <c r="N146" s="193"/>
      <c r="O146" s="319"/>
      <c r="P146" s="319"/>
    </row>
    <row r="147" spans="1:16" s="320" customFormat="1">
      <c r="A147" s="313">
        <v>142</v>
      </c>
      <c r="B147" s="191"/>
      <c r="C147" s="191"/>
      <c r="D147" s="191"/>
      <c r="E147" s="315"/>
      <c r="F147" s="316"/>
      <c r="G147" s="316"/>
      <c r="H147" s="316"/>
      <c r="I147" s="316"/>
      <c r="J147" s="316"/>
      <c r="K147" s="316"/>
      <c r="L147" s="316"/>
      <c r="M147" s="317"/>
      <c r="N147" s="193"/>
      <c r="O147" s="191"/>
      <c r="P147" s="191"/>
    </row>
    <row r="148" spans="1:16" s="320" customFormat="1">
      <c r="A148" s="322">
        <v>143</v>
      </c>
      <c r="B148" s="191"/>
      <c r="C148" s="325"/>
      <c r="D148" s="325"/>
      <c r="E148" s="342"/>
      <c r="F148" s="316"/>
      <c r="G148" s="316"/>
      <c r="H148" s="316"/>
      <c r="I148" s="316"/>
      <c r="J148" s="316"/>
      <c r="K148" s="316"/>
      <c r="L148" s="316"/>
      <c r="M148" s="317"/>
      <c r="N148" s="318"/>
      <c r="O148" s="325"/>
      <c r="P148" s="325"/>
    </row>
    <row r="149" spans="1:16" s="320" customFormat="1">
      <c r="A149" s="191">
        <v>144</v>
      </c>
      <c r="B149" s="191"/>
      <c r="C149" s="191"/>
      <c r="D149" s="345"/>
      <c r="E149" s="315"/>
      <c r="F149" s="316"/>
      <c r="G149" s="316"/>
      <c r="H149" s="316"/>
      <c r="I149" s="316"/>
      <c r="J149" s="316"/>
      <c r="K149" s="316"/>
      <c r="L149" s="316"/>
      <c r="M149" s="317"/>
      <c r="N149" s="193"/>
      <c r="O149" s="191"/>
      <c r="P149" s="191"/>
    </row>
    <row r="150" spans="1:16" s="320" customFormat="1">
      <c r="A150" s="191">
        <v>145</v>
      </c>
      <c r="B150" s="191"/>
      <c r="C150" s="191"/>
      <c r="D150" s="191"/>
      <c r="E150" s="315"/>
      <c r="F150" s="316"/>
      <c r="G150" s="316"/>
      <c r="H150" s="316"/>
      <c r="I150" s="316"/>
      <c r="J150" s="316"/>
      <c r="K150" s="316"/>
      <c r="L150" s="316"/>
      <c r="M150" s="317"/>
      <c r="N150" s="193"/>
      <c r="O150" s="191"/>
      <c r="P150" s="191"/>
    </row>
    <row r="151" spans="1:16" s="320" customFormat="1">
      <c r="A151" s="191">
        <v>146</v>
      </c>
      <c r="B151" s="191"/>
      <c r="C151" s="191"/>
      <c r="D151" s="191"/>
      <c r="E151" s="315"/>
      <c r="F151" s="316"/>
      <c r="G151" s="316"/>
      <c r="H151" s="316"/>
      <c r="I151" s="316"/>
      <c r="J151" s="316"/>
      <c r="K151" s="316"/>
      <c r="L151" s="316"/>
      <c r="M151" s="317"/>
      <c r="N151" s="193"/>
      <c r="O151" s="191"/>
      <c r="P151" s="191"/>
    </row>
    <row r="152" spans="1:16" s="320" customFormat="1">
      <c r="A152" s="191">
        <v>147</v>
      </c>
      <c r="B152" s="191"/>
      <c r="C152" s="191"/>
      <c r="D152" s="191"/>
      <c r="E152" s="315"/>
      <c r="F152" s="316"/>
      <c r="G152" s="316"/>
      <c r="H152" s="316"/>
      <c r="I152" s="316"/>
      <c r="J152" s="316"/>
      <c r="K152" s="316"/>
      <c r="L152" s="316"/>
      <c r="M152" s="317"/>
      <c r="N152" s="193"/>
      <c r="O152" s="191"/>
      <c r="P152" s="191"/>
    </row>
    <row r="153" spans="1:16" s="320" customFormat="1">
      <c r="A153" s="191">
        <v>148</v>
      </c>
      <c r="B153" s="191"/>
      <c r="C153" s="191"/>
      <c r="D153" s="191"/>
      <c r="E153" s="315"/>
      <c r="F153" s="316"/>
      <c r="G153" s="316"/>
      <c r="H153" s="316"/>
      <c r="I153" s="316"/>
      <c r="J153" s="316"/>
      <c r="K153" s="316"/>
      <c r="L153" s="316"/>
      <c r="M153" s="317"/>
      <c r="N153" s="193"/>
      <c r="O153" s="191"/>
      <c r="P153" s="191"/>
    </row>
    <row r="154" spans="1:16" s="320" customFormat="1">
      <c r="A154" s="191">
        <v>149</v>
      </c>
      <c r="B154" s="191"/>
      <c r="C154" s="191"/>
      <c r="D154" s="191"/>
      <c r="E154" s="315"/>
      <c r="F154" s="316"/>
      <c r="G154" s="316"/>
      <c r="H154" s="316"/>
      <c r="I154" s="316"/>
      <c r="J154" s="316"/>
      <c r="K154" s="316"/>
      <c r="L154" s="316"/>
      <c r="M154" s="317"/>
      <c r="N154" s="193"/>
      <c r="O154" s="319"/>
      <c r="P154" s="193"/>
    </row>
    <row r="155" spans="1:16" s="320" customFormat="1">
      <c r="A155" s="191">
        <v>150</v>
      </c>
      <c r="B155" s="191"/>
      <c r="C155" s="191"/>
      <c r="D155" s="191"/>
      <c r="E155" s="315"/>
      <c r="F155" s="316"/>
      <c r="G155" s="316"/>
      <c r="H155" s="316"/>
      <c r="I155" s="316"/>
      <c r="J155" s="316"/>
      <c r="K155" s="316"/>
      <c r="L155" s="316"/>
      <c r="M155" s="317"/>
      <c r="N155" s="193"/>
      <c r="O155" s="191"/>
      <c r="P155" s="191"/>
    </row>
    <row r="156" spans="1:16" s="320" customFormat="1">
      <c r="A156" s="191">
        <v>151</v>
      </c>
      <c r="B156" s="191"/>
      <c r="C156" s="340"/>
      <c r="D156" s="192"/>
      <c r="E156" s="321"/>
      <c r="F156" s="316"/>
      <c r="G156" s="316"/>
      <c r="H156" s="316"/>
      <c r="I156" s="316"/>
      <c r="J156" s="316"/>
      <c r="K156" s="316"/>
      <c r="L156" s="316"/>
      <c r="M156" s="317"/>
      <c r="N156" s="193"/>
      <c r="O156" s="191"/>
      <c r="P156" s="191"/>
    </row>
    <row r="157" spans="1:16" s="320" customFormat="1">
      <c r="A157" s="191">
        <v>152</v>
      </c>
      <c r="B157" s="191"/>
      <c r="C157" s="192"/>
      <c r="D157" s="192"/>
      <c r="E157" s="321"/>
      <c r="F157" s="316"/>
      <c r="G157" s="316"/>
      <c r="H157" s="316"/>
      <c r="I157" s="316"/>
      <c r="J157" s="316"/>
      <c r="K157" s="316"/>
      <c r="L157" s="316"/>
      <c r="M157" s="317"/>
      <c r="N157" s="193"/>
      <c r="O157" s="191"/>
      <c r="P157" s="191"/>
    </row>
    <row r="158" spans="1:16" s="320" customFormat="1">
      <c r="A158" s="191">
        <v>153</v>
      </c>
      <c r="B158" s="191"/>
      <c r="C158" s="192"/>
      <c r="D158" s="192"/>
      <c r="E158" s="321"/>
      <c r="F158" s="316"/>
      <c r="G158" s="316"/>
      <c r="H158" s="316"/>
      <c r="I158" s="316"/>
      <c r="J158" s="316"/>
      <c r="K158" s="316"/>
      <c r="L158" s="316"/>
      <c r="M158" s="317"/>
      <c r="N158" s="193"/>
      <c r="O158" s="191"/>
      <c r="P158" s="191"/>
    </row>
    <row r="159" spans="1:16" s="320" customFormat="1">
      <c r="A159" s="191">
        <v>154</v>
      </c>
      <c r="B159" s="191"/>
      <c r="C159" s="191"/>
      <c r="D159" s="191"/>
      <c r="E159" s="315"/>
      <c r="F159" s="316"/>
      <c r="G159" s="316"/>
      <c r="H159" s="316"/>
      <c r="I159" s="316"/>
      <c r="J159" s="316"/>
      <c r="K159" s="316"/>
      <c r="L159" s="316"/>
      <c r="M159" s="317"/>
      <c r="N159" s="193"/>
      <c r="O159" s="191"/>
      <c r="P159" s="191"/>
    </row>
    <row r="160" spans="1:16" s="320" customFormat="1">
      <c r="A160" s="325">
        <v>155</v>
      </c>
      <c r="B160" s="191"/>
      <c r="C160" s="347"/>
      <c r="D160" s="325"/>
      <c r="E160" s="342"/>
      <c r="F160" s="316"/>
      <c r="G160" s="316"/>
      <c r="H160" s="316"/>
      <c r="I160" s="316"/>
      <c r="J160" s="316"/>
      <c r="K160" s="316"/>
      <c r="L160" s="316"/>
      <c r="M160" s="317"/>
      <c r="N160" s="318"/>
      <c r="O160" s="325"/>
      <c r="P160" s="325"/>
    </row>
    <row r="161" spans="1:16" s="320" customFormat="1">
      <c r="A161" s="191">
        <v>156</v>
      </c>
      <c r="B161" s="191"/>
      <c r="C161" s="191"/>
      <c r="D161" s="191"/>
      <c r="E161" s="315"/>
      <c r="F161" s="316"/>
      <c r="G161" s="316"/>
      <c r="H161" s="316"/>
      <c r="I161" s="316"/>
      <c r="J161" s="316"/>
      <c r="K161" s="316"/>
      <c r="L161" s="316"/>
      <c r="M161" s="317"/>
      <c r="N161" s="193"/>
      <c r="O161" s="191"/>
      <c r="P161" s="191"/>
    </row>
    <row r="162" spans="1:16" s="320" customFormat="1">
      <c r="A162" s="191">
        <v>157</v>
      </c>
      <c r="B162" s="191"/>
      <c r="C162" s="191"/>
      <c r="D162" s="191"/>
      <c r="E162" s="315"/>
      <c r="F162" s="316"/>
      <c r="G162" s="316"/>
      <c r="H162" s="316"/>
      <c r="I162" s="316"/>
      <c r="J162" s="316"/>
      <c r="K162" s="316"/>
      <c r="L162" s="316"/>
      <c r="M162" s="317"/>
      <c r="N162" s="193"/>
      <c r="O162" s="191"/>
      <c r="P162" s="191"/>
    </row>
    <row r="163" spans="1:16" s="320" customFormat="1">
      <c r="A163" s="191">
        <v>158</v>
      </c>
      <c r="B163" s="191"/>
      <c r="C163" s="191"/>
      <c r="D163" s="191"/>
      <c r="E163" s="315"/>
      <c r="F163" s="316"/>
      <c r="G163" s="316"/>
      <c r="H163" s="316"/>
      <c r="I163" s="316"/>
      <c r="J163" s="316"/>
      <c r="K163" s="316"/>
      <c r="L163" s="316"/>
      <c r="M163" s="317"/>
      <c r="N163" s="193"/>
      <c r="O163" s="191"/>
      <c r="P163" s="191"/>
    </row>
    <row r="164" spans="1:16" s="320" customFormat="1">
      <c r="A164" s="191">
        <v>159</v>
      </c>
      <c r="B164" s="345"/>
      <c r="C164" s="191"/>
      <c r="D164" s="191"/>
      <c r="E164" s="315"/>
      <c r="F164" s="316"/>
      <c r="G164" s="316"/>
      <c r="H164" s="316"/>
      <c r="I164" s="316"/>
      <c r="J164" s="316"/>
      <c r="K164" s="316"/>
      <c r="L164" s="316"/>
      <c r="M164" s="317"/>
      <c r="N164" s="193"/>
      <c r="O164" s="191"/>
      <c r="P164" s="191"/>
    </row>
    <row r="165" spans="1:16" s="320" customFormat="1">
      <c r="A165" s="191">
        <v>160</v>
      </c>
      <c r="B165" s="345"/>
      <c r="C165" s="191"/>
      <c r="D165" s="191"/>
      <c r="E165" s="315"/>
      <c r="F165" s="316"/>
      <c r="G165" s="316"/>
      <c r="H165" s="316"/>
      <c r="I165" s="316"/>
      <c r="J165" s="316"/>
      <c r="K165" s="316"/>
      <c r="L165" s="316"/>
      <c r="M165" s="317"/>
      <c r="N165" s="193"/>
      <c r="O165" s="191"/>
      <c r="P165" s="191"/>
    </row>
    <row r="166" spans="1:16" s="320" customFormat="1">
      <c r="A166" s="191">
        <v>161</v>
      </c>
      <c r="B166" s="345"/>
      <c r="C166" s="191"/>
      <c r="D166" s="191"/>
      <c r="E166" s="315"/>
      <c r="F166" s="316"/>
      <c r="G166" s="316"/>
      <c r="H166" s="316"/>
      <c r="I166" s="316"/>
      <c r="J166" s="316"/>
      <c r="K166" s="316"/>
      <c r="L166" s="316"/>
      <c r="M166" s="317"/>
      <c r="N166" s="193"/>
      <c r="O166" s="191"/>
      <c r="P166" s="191"/>
    </row>
    <row r="167" spans="1:16" s="320" customFormat="1">
      <c r="A167" s="191">
        <v>162</v>
      </c>
      <c r="B167" s="345"/>
      <c r="C167" s="191"/>
      <c r="D167" s="191"/>
      <c r="E167" s="315"/>
      <c r="F167" s="316"/>
      <c r="G167" s="316"/>
      <c r="H167" s="316"/>
      <c r="I167" s="316"/>
      <c r="J167" s="316"/>
      <c r="K167" s="316"/>
      <c r="L167" s="316"/>
      <c r="M167" s="317"/>
      <c r="N167" s="193"/>
      <c r="O167" s="319"/>
      <c r="P167" s="193"/>
    </row>
    <row r="168" spans="1:16" s="320" customFormat="1">
      <c r="A168" s="191">
        <v>163</v>
      </c>
      <c r="B168" s="191"/>
      <c r="C168" s="191"/>
      <c r="D168" s="191"/>
      <c r="E168" s="315"/>
      <c r="F168" s="316"/>
      <c r="G168" s="316"/>
      <c r="H168" s="316"/>
      <c r="I168" s="316"/>
      <c r="J168" s="316"/>
      <c r="K168" s="316"/>
      <c r="L168" s="316"/>
      <c r="M168" s="317"/>
      <c r="N168" s="193"/>
      <c r="O168" s="191"/>
      <c r="P168" s="191"/>
    </row>
    <row r="169" spans="1:16" s="320" customFormat="1">
      <c r="A169" s="191">
        <v>164</v>
      </c>
      <c r="B169" s="191"/>
      <c r="C169" s="325"/>
      <c r="D169" s="325"/>
      <c r="E169" s="342"/>
      <c r="F169" s="316"/>
      <c r="G169" s="316"/>
      <c r="H169" s="316"/>
      <c r="I169" s="316"/>
      <c r="J169" s="316"/>
      <c r="K169" s="316"/>
      <c r="L169" s="316"/>
      <c r="M169" s="317"/>
      <c r="N169" s="318"/>
      <c r="O169" s="325"/>
      <c r="P169" s="325"/>
    </row>
    <row r="170" spans="1:16" s="320" customFormat="1">
      <c r="A170" s="313">
        <v>165</v>
      </c>
      <c r="B170" s="191"/>
      <c r="C170" s="191"/>
      <c r="D170" s="191"/>
      <c r="E170" s="315"/>
      <c r="F170" s="316"/>
      <c r="G170" s="316"/>
      <c r="H170" s="316"/>
      <c r="I170" s="316"/>
      <c r="J170" s="316"/>
      <c r="K170" s="316"/>
      <c r="L170" s="316"/>
      <c r="M170" s="317"/>
      <c r="N170" s="193"/>
      <c r="O170" s="191"/>
      <c r="P170" s="191"/>
    </row>
    <row r="171" spans="1:16" s="320" customFormat="1">
      <c r="A171" s="313">
        <v>166</v>
      </c>
      <c r="B171" s="191"/>
      <c r="C171" s="191"/>
      <c r="D171" s="191"/>
      <c r="E171" s="315"/>
      <c r="F171" s="316"/>
      <c r="G171" s="316"/>
      <c r="H171" s="316"/>
      <c r="I171" s="316"/>
      <c r="J171" s="316"/>
      <c r="K171" s="316"/>
      <c r="L171" s="316"/>
      <c r="M171" s="317"/>
      <c r="N171" s="193"/>
      <c r="O171" s="191"/>
      <c r="P171" s="191"/>
    </row>
    <row r="172" spans="1:16" s="320" customFormat="1">
      <c r="A172" s="313">
        <v>167</v>
      </c>
      <c r="B172" s="191"/>
      <c r="C172" s="192"/>
      <c r="D172" s="192"/>
      <c r="E172" s="321"/>
      <c r="F172" s="316"/>
      <c r="G172" s="316"/>
      <c r="H172" s="316"/>
      <c r="I172" s="316"/>
      <c r="J172" s="316"/>
      <c r="K172" s="316"/>
      <c r="L172" s="316"/>
      <c r="M172" s="317"/>
      <c r="N172" s="193"/>
      <c r="O172" s="191"/>
      <c r="P172" s="191"/>
    </row>
    <row r="173" spans="1:16" s="320" customFormat="1">
      <c r="A173" s="313">
        <v>168</v>
      </c>
      <c r="B173" s="191"/>
      <c r="C173" s="191"/>
      <c r="D173" s="191"/>
      <c r="E173" s="315"/>
      <c r="F173" s="316"/>
      <c r="G173" s="316"/>
      <c r="H173" s="316"/>
      <c r="I173" s="316"/>
      <c r="J173" s="316"/>
      <c r="K173" s="316"/>
      <c r="L173" s="316"/>
      <c r="M173" s="317"/>
      <c r="N173" s="193"/>
      <c r="O173" s="191"/>
      <c r="P173" s="191"/>
    </row>
    <row r="174" spans="1:16" s="320" customFormat="1">
      <c r="A174" s="313">
        <v>169</v>
      </c>
      <c r="B174" s="191"/>
      <c r="C174" s="191"/>
      <c r="D174" s="191"/>
      <c r="E174" s="315"/>
      <c r="F174" s="316"/>
      <c r="G174" s="316"/>
      <c r="H174" s="316"/>
      <c r="I174" s="316"/>
      <c r="J174" s="316"/>
      <c r="K174" s="316"/>
      <c r="L174" s="316"/>
      <c r="M174" s="317"/>
      <c r="N174" s="193"/>
      <c r="O174" s="191"/>
      <c r="P174" s="191"/>
    </row>
    <row r="175" spans="1:16" s="320" customFormat="1">
      <c r="A175" s="313">
        <v>170</v>
      </c>
      <c r="B175" s="191"/>
      <c r="C175" s="191"/>
      <c r="D175" s="191"/>
      <c r="E175" s="315"/>
      <c r="F175" s="316"/>
      <c r="G175" s="316"/>
      <c r="H175" s="316"/>
      <c r="I175" s="316"/>
      <c r="J175" s="316"/>
      <c r="K175" s="316"/>
      <c r="L175" s="316"/>
      <c r="M175" s="317"/>
      <c r="N175" s="193"/>
      <c r="O175" s="191"/>
      <c r="P175" s="191"/>
    </row>
    <row r="176" spans="1:16" s="320" customFormat="1">
      <c r="A176" s="313">
        <v>171</v>
      </c>
      <c r="B176" s="191"/>
      <c r="C176" s="345"/>
      <c r="D176" s="191"/>
      <c r="E176" s="315"/>
      <c r="F176" s="316"/>
      <c r="G176" s="316"/>
      <c r="H176" s="316"/>
      <c r="I176" s="316"/>
      <c r="J176" s="316"/>
      <c r="K176" s="316"/>
      <c r="L176" s="316"/>
      <c r="M176" s="317"/>
      <c r="N176" s="193"/>
      <c r="O176" s="191"/>
      <c r="P176" s="191"/>
    </row>
    <row r="177" spans="1:16" s="320" customFormat="1">
      <c r="A177" s="313">
        <v>172</v>
      </c>
      <c r="B177" s="191"/>
      <c r="C177" s="191"/>
      <c r="D177" s="191"/>
      <c r="E177" s="315"/>
      <c r="F177" s="316"/>
      <c r="G177" s="316"/>
      <c r="H177" s="316"/>
      <c r="I177" s="316"/>
      <c r="J177" s="316"/>
      <c r="K177" s="316"/>
      <c r="L177" s="316"/>
      <c r="M177" s="317"/>
      <c r="N177" s="193"/>
      <c r="O177" s="191"/>
      <c r="P177" s="191"/>
    </row>
    <row r="178" spans="1:16" s="320" customFormat="1">
      <c r="A178" s="313">
        <v>173</v>
      </c>
      <c r="B178" s="191"/>
      <c r="C178" s="191"/>
      <c r="D178" s="191"/>
      <c r="E178" s="315"/>
      <c r="F178" s="316"/>
      <c r="G178" s="316"/>
      <c r="H178" s="316"/>
      <c r="I178" s="316"/>
      <c r="J178" s="316"/>
      <c r="K178" s="316"/>
      <c r="L178" s="316"/>
      <c r="M178" s="317"/>
      <c r="N178" s="193"/>
      <c r="O178" s="191"/>
      <c r="P178" s="191"/>
    </row>
    <row r="179" spans="1:16" s="320" customFormat="1">
      <c r="A179" s="313">
        <v>174</v>
      </c>
      <c r="B179" s="191"/>
      <c r="C179" s="191"/>
      <c r="D179" s="191"/>
      <c r="E179" s="315"/>
      <c r="F179" s="316"/>
      <c r="G179" s="316"/>
      <c r="H179" s="316"/>
      <c r="I179" s="316"/>
      <c r="J179" s="316"/>
      <c r="K179" s="316"/>
      <c r="L179" s="316"/>
      <c r="M179" s="317"/>
      <c r="N179" s="193"/>
      <c r="O179" s="191"/>
      <c r="P179" s="191"/>
    </row>
    <row r="180" spans="1:16" s="320" customFormat="1">
      <c r="A180" s="313">
        <v>175</v>
      </c>
      <c r="B180" s="191"/>
      <c r="C180" s="191"/>
      <c r="D180" s="191"/>
      <c r="E180" s="315"/>
      <c r="F180" s="316"/>
      <c r="G180" s="316"/>
      <c r="H180" s="316"/>
      <c r="I180" s="316"/>
      <c r="J180" s="316"/>
      <c r="K180" s="316"/>
      <c r="L180" s="316"/>
      <c r="M180" s="317"/>
      <c r="N180" s="193"/>
      <c r="O180" s="191"/>
      <c r="P180" s="191"/>
    </row>
    <row r="181" spans="1:16" s="320" customFormat="1">
      <c r="A181" s="313">
        <v>176</v>
      </c>
      <c r="B181" s="191"/>
      <c r="C181" s="191"/>
      <c r="D181" s="191"/>
      <c r="E181" s="315"/>
      <c r="F181" s="316"/>
      <c r="G181" s="316"/>
      <c r="H181" s="316"/>
      <c r="I181" s="316"/>
      <c r="J181" s="316"/>
      <c r="K181" s="316"/>
      <c r="L181" s="316"/>
      <c r="M181" s="317"/>
      <c r="N181" s="318"/>
      <c r="O181" s="325"/>
      <c r="P181" s="325"/>
    </row>
    <row r="182" spans="1:16" s="320" customFormat="1">
      <c r="A182" s="313">
        <v>177</v>
      </c>
      <c r="B182" s="325"/>
      <c r="C182" s="325"/>
      <c r="D182" s="325"/>
      <c r="E182" s="342"/>
      <c r="F182" s="316"/>
      <c r="G182" s="316"/>
      <c r="H182" s="316"/>
      <c r="I182" s="316"/>
      <c r="J182" s="316"/>
      <c r="K182" s="316"/>
      <c r="L182" s="316"/>
      <c r="M182" s="317"/>
      <c r="N182" s="193"/>
      <c r="O182" s="191"/>
      <c r="P182" s="191"/>
    </row>
    <row r="183" spans="1:16" s="320" customFormat="1">
      <c r="A183" s="313">
        <v>178</v>
      </c>
      <c r="B183" s="191"/>
      <c r="C183" s="191"/>
      <c r="D183" s="191"/>
      <c r="E183" s="315"/>
      <c r="F183" s="316"/>
      <c r="G183" s="316"/>
      <c r="H183" s="316"/>
      <c r="I183" s="316"/>
      <c r="J183" s="316"/>
      <c r="K183" s="316"/>
      <c r="L183" s="316"/>
      <c r="M183" s="317"/>
      <c r="N183" s="193"/>
      <c r="O183" s="191"/>
      <c r="P183" s="191"/>
    </row>
    <row r="184" spans="1:16" s="320" customFormat="1">
      <c r="A184" s="322">
        <v>179</v>
      </c>
      <c r="B184" s="325"/>
      <c r="C184" s="325"/>
      <c r="D184" s="325"/>
      <c r="E184" s="342"/>
      <c r="F184" s="316"/>
      <c r="G184" s="316"/>
      <c r="H184" s="316"/>
      <c r="I184" s="316"/>
      <c r="J184" s="316"/>
      <c r="K184" s="316"/>
      <c r="L184" s="316"/>
      <c r="M184" s="317"/>
      <c r="N184" s="193"/>
      <c r="O184" s="325"/>
      <c r="P184" s="325"/>
    </row>
    <row r="185" spans="1:16" s="320" customFormat="1">
      <c r="A185" s="191">
        <v>180</v>
      </c>
      <c r="B185" s="191"/>
      <c r="C185" s="191"/>
      <c r="D185" s="191"/>
      <c r="E185" s="315"/>
      <c r="F185" s="316"/>
      <c r="G185" s="316"/>
      <c r="H185" s="316"/>
      <c r="I185" s="316"/>
      <c r="J185" s="316"/>
      <c r="K185" s="316"/>
      <c r="L185" s="316"/>
      <c r="M185" s="317"/>
      <c r="N185" s="193"/>
      <c r="O185" s="319"/>
      <c r="P185" s="193"/>
    </row>
    <row r="186" spans="1:16" s="320" customFormat="1">
      <c r="A186" s="191">
        <v>181</v>
      </c>
      <c r="B186" s="191"/>
      <c r="C186" s="191"/>
      <c r="D186" s="191"/>
      <c r="E186" s="315"/>
      <c r="F186" s="316"/>
      <c r="G186" s="316"/>
      <c r="H186" s="316"/>
      <c r="I186" s="316"/>
      <c r="J186" s="316"/>
      <c r="K186" s="316"/>
      <c r="L186" s="316"/>
      <c r="M186" s="317"/>
      <c r="N186" s="193"/>
      <c r="O186" s="191"/>
      <c r="P186" s="191"/>
    </row>
    <row r="187" spans="1:16" s="320" customFormat="1">
      <c r="A187" s="191">
        <v>182</v>
      </c>
      <c r="B187" s="191"/>
      <c r="C187" s="191"/>
      <c r="D187" s="191"/>
      <c r="E187" s="315"/>
      <c r="F187" s="316"/>
      <c r="G187" s="316"/>
      <c r="H187" s="316"/>
      <c r="I187" s="316"/>
      <c r="J187" s="316"/>
      <c r="K187" s="316"/>
      <c r="L187" s="316"/>
      <c r="M187" s="317"/>
      <c r="N187" s="193"/>
      <c r="O187" s="191"/>
      <c r="P187" s="191"/>
    </row>
    <row r="188" spans="1:16" s="320" customFormat="1">
      <c r="A188" s="191">
        <v>183</v>
      </c>
      <c r="B188" s="191"/>
      <c r="C188" s="191"/>
      <c r="D188" s="191"/>
      <c r="E188" s="315"/>
      <c r="F188" s="316"/>
      <c r="G188" s="316"/>
      <c r="H188" s="316"/>
      <c r="I188" s="316"/>
      <c r="J188" s="316"/>
      <c r="K188" s="316"/>
      <c r="L188" s="316"/>
      <c r="M188" s="317"/>
      <c r="N188" s="193"/>
      <c r="O188" s="191"/>
      <c r="P188" s="191"/>
    </row>
    <row r="189" spans="1:16" s="320" customFormat="1">
      <c r="A189" s="191">
        <v>184</v>
      </c>
      <c r="B189" s="191"/>
      <c r="C189" s="191"/>
      <c r="D189" s="191"/>
      <c r="E189" s="315"/>
      <c r="F189" s="316"/>
      <c r="G189" s="316"/>
      <c r="H189" s="316"/>
      <c r="I189" s="316"/>
      <c r="J189" s="316"/>
      <c r="K189" s="316"/>
      <c r="L189" s="316"/>
      <c r="M189" s="317"/>
      <c r="N189" s="193"/>
      <c r="O189" s="191"/>
      <c r="P189" s="191"/>
    </row>
    <row r="190" spans="1:16" s="320" customFormat="1">
      <c r="A190" s="191">
        <v>185</v>
      </c>
      <c r="B190" s="191"/>
      <c r="C190" s="191"/>
      <c r="D190" s="345"/>
      <c r="E190" s="315"/>
      <c r="F190" s="316"/>
      <c r="G190" s="316"/>
      <c r="H190" s="316"/>
      <c r="I190" s="316"/>
      <c r="J190" s="316"/>
      <c r="K190" s="316"/>
      <c r="L190" s="316"/>
      <c r="M190" s="317"/>
      <c r="N190" s="193"/>
      <c r="O190" s="191"/>
      <c r="P190" s="191"/>
    </row>
    <row r="191" spans="1:16" s="320" customFormat="1">
      <c r="A191" s="191">
        <v>186</v>
      </c>
      <c r="B191" s="191"/>
      <c r="C191" s="191"/>
      <c r="D191" s="191"/>
      <c r="E191" s="315"/>
      <c r="F191" s="316"/>
      <c r="G191" s="316"/>
      <c r="H191" s="316"/>
      <c r="I191" s="316"/>
      <c r="J191" s="316"/>
      <c r="K191" s="316"/>
      <c r="L191" s="316"/>
      <c r="M191" s="317"/>
      <c r="N191" s="193"/>
      <c r="O191" s="191"/>
      <c r="P191" s="191"/>
    </row>
    <row r="192" spans="1:16" s="320" customFormat="1">
      <c r="A192" s="191">
        <v>187</v>
      </c>
      <c r="B192" s="191"/>
      <c r="C192" s="191"/>
      <c r="D192" s="191"/>
      <c r="E192" s="315"/>
      <c r="F192" s="316"/>
      <c r="G192" s="316"/>
      <c r="H192" s="316"/>
      <c r="I192" s="316"/>
      <c r="J192" s="316"/>
      <c r="K192" s="316"/>
      <c r="L192" s="316"/>
      <c r="M192" s="317"/>
      <c r="N192" s="193"/>
      <c r="O192" s="191"/>
      <c r="P192" s="191"/>
    </row>
    <row r="193" spans="1:16" s="320" customFormat="1">
      <c r="A193" s="191">
        <v>188</v>
      </c>
      <c r="B193" s="191"/>
      <c r="C193" s="191"/>
      <c r="D193" s="191"/>
      <c r="E193" s="315"/>
      <c r="F193" s="316"/>
      <c r="G193" s="316"/>
      <c r="H193" s="316"/>
      <c r="I193" s="316"/>
      <c r="J193" s="316"/>
      <c r="K193" s="316"/>
      <c r="L193" s="316"/>
      <c r="M193" s="317"/>
      <c r="N193" s="193"/>
      <c r="O193" s="191"/>
      <c r="P193" s="191"/>
    </row>
    <row r="194" spans="1:16" s="320" customFormat="1">
      <c r="A194" s="191">
        <v>189</v>
      </c>
      <c r="B194" s="191"/>
      <c r="C194" s="191"/>
      <c r="D194" s="191"/>
      <c r="E194" s="315"/>
      <c r="F194" s="316"/>
      <c r="G194" s="316"/>
      <c r="H194" s="316"/>
      <c r="I194" s="316"/>
      <c r="J194" s="316"/>
      <c r="K194" s="316"/>
      <c r="L194" s="316"/>
      <c r="M194" s="317"/>
      <c r="N194" s="193"/>
      <c r="O194" s="191"/>
      <c r="P194" s="191"/>
    </row>
    <row r="195" spans="1:16" s="320" customFormat="1">
      <c r="A195" s="191">
        <v>190</v>
      </c>
      <c r="B195" s="191"/>
      <c r="C195" s="191"/>
      <c r="D195" s="191"/>
      <c r="E195" s="315"/>
      <c r="F195" s="316"/>
      <c r="G195" s="316"/>
      <c r="H195" s="316"/>
      <c r="I195" s="316"/>
      <c r="J195" s="316"/>
      <c r="K195" s="316"/>
      <c r="L195" s="316"/>
      <c r="M195" s="317"/>
      <c r="N195" s="193"/>
      <c r="O195" s="191"/>
      <c r="P195" s="191"/>
    </row>
    <row r="196" spans="1:16" s="320" customFormat="1">
      <c r="A196" s="191">
        <v>191</v>
      </c>
      <c r="B196" s="191"/>
      <c r="C196" s="191"/>
      <c r="D196" s="191"/>
      <c r="E196" s="315"/>
      <c r="F196" s="316"/>
      <c r="G196" s="316"/>
      <c r="H196" s="316"/>
      <c r="I196" s="316"/>
      <c r="J196" s="316"/>
      <c r="K196" s="316"/>
      <c r="L196" s="316"/>
      <c r="M196" s="317"/>
      <c r="N196" s="193"/>
      <c r="O196" s="191"/>
      <c r="P196" s="191"/>
    </row>
    <row r="197" spans="1:16" s="320" customFormat="1">
      <c r="A197" s="191">
        <v>192</v>
      </c>
      <c r="B197" s="191"/>
      <c r="C197" s="191"/>
      <c r="D197" s="191"/>
      <c r="E197" s="315"/>
      <c r="F197" s="316"/>
      <c r="G197" s="316"/>
      <c r="H197" s="316"/>
      <c r="I197" s="316"/>
      <c r="J197" s="316"/>
      <c r="K197" s="316"/>
      <c r="L197" s="316"/>
      <c r="M197" s="317"/>
      <c r="N197" s="193"/>
      <c r="O197" s="191"/>
      <c r="P197" s="191"/>
    </row>
    <row r="198" spans="1:16" s="320" customFormat="1">
      <c r="A198" s="191">
        <v>193</v>
      </c>
      <c r="B198" s="191"/>
      <c r="C198" s="191"/>
      <c r="D198" s="191"/>
      <c r="E198" s="315"/>
      <c r="F198" s="316"/>
      <c r="G198" s="316"/>
      <c r="H198" s="316"/>
      <c r="I198" s="316"/>
      <c r="J198" s="316"/>
      <c r="K198" s="316"/>
      <c r="L198" s="316"/>
      <c r="M198" s="317"/>
      <c r="N198" s="193"/>
      <c r="O198" s="191"/>
      <c r="P198" s="191"/>
    </row>
    <row r="199" spans="1:16" s="320" customFormat="1">
      <c r="A199" s="325">
        <v>194</v>
      </c>
      <c r="B199" s="325"/>
      <c r="C199" s="325"/>
      <c r="D199" s="325"/>
      <c r="E199" s="342"/>
      <c r="F199" s="316"/>
      <c r="G199" s="316"/>
      <c r="H199" s="316"/>
      <c r="I199" s="316"/>
      <c r="J199" s="316"/>
      <c r="K199" s="316"/>
      <c r="L199" s="316"/>
      <c r="M199" s="317"/>
      <c r="N199" s="318"/>
      <c r="O199" s="325"/>
      <c r="P199" s="325"/>
    </row>
    <row r="200" spans="1:16" s="320" customFormat="1">
      <c r="A200" s="191">
        <v>195</v>
      </c>
      <c r="B200" s="191"/>
      <c r="C200" s="191"/>
      <c r="D200" s="191"/>
      <c r="E200" s="315"/>
      <c r="F200" s="316"/>
      <c r="G200" s="316"/>
      <c r="H200" s="316"/>
      <c r="I200" s="316"/>
      <c r="J200" s="316"/>
      <c r="K200" s="316"/>
      <c r="L200" s="316"/>
      <c r="M200" s="317"/>
      <c r="N200" s="193"/>
      <c r="O200" s="191"/>
      <c r="P200" s="191"/>
    </row>
    <row r="201" spans="1:16" s="320" customFormat="1">
      <c r="A201" s="191">
        <v>196</v>
      </c>
      <c r="B201" s="191"/>
      <c r="C201" s="191"/>
      <c r="D201" s="191"/>
      <c r="E201" s="315"/>
      <c r="F201" s="316"/>
      <c r="G201" s="316"/>
      <c r="H201" s="316"/>
      <c r="I201" s="316"/>
      <c r="J201" s="316"/>
      <c r="K201" s="316"/>
      <c r="L201" s="316"/>
      <c r="M201" s="317"/>
      <c r="N201" s="193"/>
      <c r="O201" s="191"/>
      <c r="P201" s="191"/>
    </row>
    <row r="202" spans="1:16" s="320" customFormat="1">
      <c r="A202" s="191">
        <v>197</v>
      </c>
      <c r="B202" s="191"/>
      <c r="C202" s="191"/>
      <c r="D202" s="191"/>
      <c r="E202" s="315"/>
      <c r="F202" s="316"/>
      <c r="G202" s="316"/>
      <c r="H202" s="316"/>
      <c r="I202" s="316"/>
      <c r="J202" s="316"/>
      <c r="K202" s="316"/>
      <c r="L202" s="316"/>
      <c r="M202" s="317"/>
      <c r="N202" s="193"/>
      <c r="O202" s="191"/>
      <c r="P202" s="191"/>
    </row>
    <row r="203" spans="1:16" s="320" customFormat="1">
      <c r="A203" s="191">
        <v>198</v>
      </c>
      <c r="B203" s="191"/>
      <c r="C203" s="191"/>
      <c r="D203" s="191"/>
      <c r="E203" s="315"/>
      <c r="F203" s="316"/>
      <c r="G203" s="316"/>
      <c r="H203" s="316"/>
      <c r="I203" s="316"/>
      <c r="J203" s="316"/>
      <c r="K203" s="316"/>
      <c r="L203" s="316"/>
      <c r="M203" s="317"/>
      <c r="N203" s="193"/>
      <c r="O203" s="191"/>
      <c r="P203" s="191"/>
    </row>
    <row r="204" spans="1:16" s="320" customFormat="1">
      <c r="A204" s="191">
        <v>199</v>
      </c>
      <c r="B204" s="191"/>
      <c r="C204" s="191"/>
      <c r="D204" s="191"/>
      <c r="E204" s="315"/>
      <c r="F204" s="316"/>
      <c r="G204" s="316"/>
      <c r="H204" s="316"/>
      <c r="I204" s="316"/>
      <c r="J204" s="316"/>
      <c r="K204" s="316"/>
      <c r="L204" s="316"/>
      <c r="M204" s="317"/>
      <c r="N204" s="193"/>
      <c r="O204" s="191"/>
      <c r="P204" s="191"/>
    </row>
    <row r="205" spans="1:16">
      <c r="M205" s="56"/>
    </row>
    <row r="206" spans="1:16">
      <c r="M206" s="56"/>
    </row>
    <row r="208" spans="1:16">
      <c r="N208" s="24">
        <v>132613.01</v>
      </c>
    </row>
    <row r="209" spans="14:14">
      <c r="N209" s="24">
        <v>132594.57999999999</v>
      </c>
    </row>
    <row r="210" spans="14:14">
      <c r="N210" s="24">
        <f>N208-N209</f>
        <v>18.430000000022119</v>
      </c>
    </row>
  </sheetData>
  <mergeCells count="2">
    <mergeCell ref="A1:P1"/>
    <mergeCell ref="A3:K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sheetPr filterMode="1"/>
  <dimension ref="A1:O59"/>
  <sheetViews>
    <sheetView workbookViewId="0">
      <pane ySplit="3" topLeftCell="A4" activePane="bottomLeft" state="frozen"/>
      <selection pane="bottomLeft" activeCell="M4" sqref="M4:M49"/>
    </sheetView>
  </sheetViews>
  <sheetFormatPr defaultRowHeight="15"/>
  <cols>
    <col min="2" max="2" width="16.28515625" customWidth="1"/>
    <col min="3" max="3" width="38.85546875" bestFit="1" customWidth="1"/>
    <col min="4" max="4" width="15.5703125" customWidth="1"/>
    <col min="5" max="5" width="12.28515625" customWidth="1"/>
    <col min="6" max="6" width="12.85546875" customWidth="1"/>
    <col min="7" max="7" width="11.42578125" bestFit="1" customWidth="1"/>
    <col min="8" max="8" width="12.5703125" customWidth="1"/>
    <col min="11" max="11" width="18.7109375" customWidth="1"/>
    <col min="12" max="12" width="24.140625" customWidth="1"/>
    <col min="13" max="13" width="16.5703125" customWidth="1"/>
    <col min="14" max="14" width="19.85546875" customWidth="1"/>
    <col min="15" max="15" width="13.42578125" customWidth="1"/>
  </cols>
  <sheetData>
    <row r="1" spans="1:15" ht="15.75">
      <c r="A1" s="326" t="s">
        <v>237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</row>
    <row r="2" spans="1:15" ht="26.25" hidden="1" customHeight="1">
      <c r="A2" s="77" t="s">
        <v>99</v>
      </c>
      <c r="B2" s="97" t="s">
        <v>100</v>
      </c>
      <c r="C2" s="97" t="s">
        <v>161</v>
      </c>
      <c r="D2" s="97" t="s">
        <v>163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164</v>
      </c>
      <c r="M2" s="99" t="s">
        <v>115</v>
      </c>
      <c r="N2" s="97" t="s">
        <v>110</v>
      </c>
      <c r="O2" s="97" t="s">
        <v>165</v>
      </c>
    </row>
    <row r="3" spans="1:15" ht="15.75" hidden="1">
      <c r="A3" s="327" t="s">
        <v>111</v>
      </c>
      <c r="B3" s="327"/>
      <c r="C3" s="327"/>
      <c r="D3" s="327"/>
      <c r="E3" s="327"/>
      <c r="F3" s="327"/>
      <c r="G3" s="327"/>
      <c r="H3" s="327"/>
      <c r="I3" s="327"/>
      <c r="J3" s="327"/>
      <c r="K3" s="328">
        <v>45904.43</v>
      </c>
      <c r="L3" s="329"/>
      <c r="M3" s="329"/>
      <c r="N3" s="329"/>
      <c r="O3" s="330"/>
    </row>
    <row r="4" spans="1:15">
      <c r="A4" s="191">
        <v>1</v>
      </c>
      <c r="B4" s="275" t="s">
        <v>130</v>
      </c>
      <c r="C4" s="192" t="s">
        <v>238</v>
      </c>
      <c r="D4" s="192" t="s">
        <v>239</v>
      </c>
      <c r="E4" s="46">
        <v>435</v>
      </c>
      <c r="F4" s="46">
        <v>91.26</v>
      </c>
      <c r="G4" s="46">
        <f>E4*F4</f>
        <v>39698.100000000006</v>
      </c>
      <c r="H4" s="46">
        <v>0</v>
      </c>
      <c r="I4" s="46">
        <v>0</v>
      </c>
      <c r="J4" s="46">
        <f>H4*I4</f>
        <v>0</v>
      </c>
      <c r="K4" s="46">
        <f>G4+J4</f>
        <v>39698.100000000006</v>
      </c>
      <c r="L4" s="193">
        <v>150000</v>
      </c>
      <c r="M4" s="193">
        <f>K3+L4-K4</f>
        <v>156206.32999999999</v>
      </c>
      <c r="N4" s="193"/>
      <c r="O4" s="193"/>
    </row>
    <row r="5" spans="1:15" hidden="1">
      <c r="A5" s="19">
        <v>2</v>
      </c>
      <c r="B5" s="275" t="s">
        <v>130</v>
      </c>
      <c r="C5" s="192" t="s">
        <v>240</v>
      </c>
      <c r="D5" s="192" t="s">
        <v>241</v>
      </c>
      <c r="E5" s="46">
        <v>0</v>
      </c>
      <c r="F5" s="46">
        <v>0</v>
      </c>
      <c r="G5" s="46">
        <f>E5*F5</f>
        <v>0</v>
      </c>
      <c r="H5" s="46">
        <v>4.0199999999999996</v>
      </c>
      <c r="I5" s="46">
        <v>107.26</v>
      </c>
      <c r="J5" s="46">
        <f>H5*I5</f>
        <v>431.18519999999995</v>
      </c>
      <c r="K5" s="46">
        <f>G5+J5</f>
        <v>431.18519999999995</v>
      </c>
      <c r="L5" s="46">
        <v>5127</v>
      </c>
      <c r="M5" s="46">
        <f>M4+L5-K5</f>
        <v>160902.14479999998</v>
      </c>
      <c r="N5" s="46"/>
      <c r="O5" s="46"/>
    </row>
    <row r="6" spans="1:15" hidden="1">
      <c r="A6" s="19">
        <v>3</v>
      </c>
      <c r="B6" s="275" t="s">
        <v>130</v>
      </c>
      <c r="C6" t="s">
        <v>242</v>
      </c>
      <c r="D6" s="364" t="s">
        <v>243</v>
      </c>
      <c r="E6" s="46">
        <v>0</v>
      </c>
      <c r="F6" s="46">
        <v>0</v>
      </c>
      <c r="G6" s="46">
        <f t="shared" ref="G6:G59" si="0">E6*F6</f>
        <v>0</v>
      </c>
      <c r="H6" s="46">
        <v>4.82</v>
      </c>
      <c r="I6" s="46">
        <v>103.73</v>
      </c>
      <c r="J6" s="46">
        <f t="shared" ref="J6:J59" si="1">H6*I6</f>
        <v>499.97860000000003</v>
      </c>
      <c r="K6" s="46">
        <f t="shared" ref="K6:K59" si="2">G6+J6</f>
        <v>499.97860000000003</v>
      </c>
      <c r="L6" s="46"/>
      <c r="M6" s="46">
        <f t="shared" ref="M6:M53" si="3">M5+L6-K6</f>
        <v>160402.16619999998</v>
      </c>
      <c r="N6" s="46"/>
      <c r="O6" s="46"/>
    </row>
    <row r="7" spans="1:15">
      <c r="A7" s="19">
        <v>4</v>
      </c>
      <c r="B7" s="275" t="s">
        <v>131</v>
      </c>
      <c r="C7" s="192" t="s">
        <v>238</v>
      </c>
      <c r="D7" s="192" t="s">
        <v>239</v>
      </c>
      <c r="E7" s="46">
        <v>1095.78</v>
      </c>
      <c r="F7" s="46">
        <v>91.26</v>
      </c>
      <c r="G7" s="46">
        <f t="shared" si="0"/>
        <v>100000.88280000001</v>
      </c>
      <c r="H7" s="46">
        <v>0</v>
      </c>
      <c r="I7" s="46">
        <v>0</v>
      </c>
      <c r="J7" s="46">
        <f t="shared" si="1"/>
        <v>0</v>
      </c>
      <c r="K7" s="46">
        <f t="shared" si="2"/>
        <v>100000.88280000001</v>
      </c>
      <c r="L7" s="46"/>
      <c r="M7" s="46">
        <f t="shared" si="3"/>
        <v>60401.283399999971</v>
      </c>
      <c r="N7" s="46"/>
      <c r="O7" s="46"/>
    </row>
    <row r="8" spans="1:15" hidden="1">
      <c r="A8" s="19">
        <v>5</v>
      </c>
      <c r="B8" s="275" t="s">
        <v>131</v>
      </c>
      <c r="C8" s="192" t="s">
        <v>244</v>
      </c>
      <c r="D8" s="192" t="s">
        <v>245</v>
      </c>
      <c r="E8" s="46">
        <v>0</v>
      </c>
      <c r="F8" s="46">
        <v>0</v>
      </c>
      <c r="G8" s="46">
        <f t="shared" si="0"/>
        <v>0</v>
      </c>
      <c r="H8" s="46">
        <v>9.73</v>
      </c>
      <c r="I8" s="46">
        <v>102.77</v>
      </c>
      <c r="J8" s="46">
        <f t="shared" si="1"/>
        <v>999.95209999999997</v>
      </c>
      <c r="K8" s="46">
        <f t="shared" si="2"/>
        <v>999.95209999999997</v>
      </c>
      <c r="L8" s="46"/>
      <c r="M8" s="46">
        <f t="shared" si="3"/>
        <v>59401.331299999969</v>
      </c>
      <c r="N8" s="46"/>
      <c r="O8" s="46"/>
    </row>
    <row r="9" spans="1:15" hidden="1">
      <c r="A9" s="19">
        <v>6</v>
      </c>
      <c r="B9" s="275" t="s">
        <v>132</v>
      </c>
      <c r="C9" s="192" t="s">
        <v>246</v>
      </c>
      <c r="D9" s="192" t="s">
        <v>247</v>
      </c>
      <c r="E9" s="46">
        <v>0</v>
      </c>
      <c r="F9" s="46">
        <v>0</v>
      </c>
      <c r="G9" s="46">
        <f t="shared" si="0"/>
        <v>0</v>
      </c>
      <c r="H9" s="46">
        <v>4.82</v>
      </c>
      <c r="I9" s="46">
        <v>103.73</v>
      </c>
      <c r="J9" s="46">
        <f t="shared" si="1"/>
        <v>499.97860000000003</v>
      </c>
      <c r="K9" s="46">
        <f t="shared" si="2"/>
        <v>499.97860000000003</v>
      </c>
      <c r="L9" s="46"/>
      <c r="M9" s="46">
        <f t="shared" si="3"/>
        <v>58901.352699999967</v>
      </c>
      <c r="N9" s="46"/>
      <c r="O9" s="46"/>
    </row>
    <row r="10" spans="1:15" hidden="1">
      <c r="A10" s="109">
        <v>7</v>
      </c>
      <c r="B10" s="275" t="s">
        <v>205</v>
      </c>
      <c r="C10" s="192" t="s">
        <v>248</v>
      </c>
      <c r="D10" s="192" t="s">
        <v>249</v>
      </c>
      <c r="E10" s="46">
        <v>35.979999999999997</v>
      </c>
      <c r="F10" s="46">
        <v>95.7</v>
      </c>
      <c r="G10" s="46">
        <f t="shared" si="0"/>
        <v>3443.2859999999996</v>
      </c>
      <c r="H10" s="46">
        <v>0</v>
      </c>
      <c r="I10" s="46">
        <v>0</v>
      </c>
      <c r="J10" s="46">
        <f t="shared" si="1"/>
        <v>0</v>
      </c>
      <c r="K10" s="46">
        <f t="shared" si="2"/>
        <v>3443.2859999999996</v>
      </c>
      <c r="L10" s="46"/>
      <c r="M10" s="258">
        <f t="shared" si="3"/>
        <v>55458.066699999967</v>
      </c>
      <c r="N10" s="258"/>
      <c r="O10" s="258"/>
    </row>
    <row r="11" spans="1:15" hidden="1">
      <c r="A11" s="109">
        <v>8</v>
      </c>
      <c r="B11" s="275" t="s">
        <v>133</v>
      </c>
      <c r="C11" s="192" t="s">
        <v>250</v>
      </c>
      <c r="D11" s="192" t="s">
        <v>241</v>
      </c>
      <c r="E11" s="46">
        <v>0</v>
      </c>
      <c r="F11" s="46">
        <v>0</v>
      </c>
      <c r="G11" s="46">
        <f t="shared" si="0"/>
        <v>0</v>
      </c>
      <c r="H11" s="46">
        <v>4.09</v>
      </c>
      <c r="I11" s="46">
        <v>107.46</v>
      </c>
      <c r="J11" s="46">
        <f t="shared" si="1"/>
        <v>439.51139999999998</v>
      </c>
      <c r="K11" s="46">
        <f t="shared" si="2"/>
        <v>439.51139999999998</v>
      </c>
      <c r="L11" s="46">
        <v>500000</v>
      </c>
      <c r="M11" s="258">
        <f t="shared" si="3"/>
        <v>555018.55530000001</v>
      </c>
      <c r="N11" s="258"/>
      <c r="O11" s="258"/>
    </row>
    <row r="12" spans="1:15">
      <c r="A12" s="109">
        <v>9</v>
      </c>
      <c r="B12" s="275" t="s">
        <v>133</v>
      </c>
      <c r="C12" s="192" t="s">
        <v>238</v>
      </c>
      <c r="D12" s="192" t="s">
        <v>239</v>
      </c>
      <c r="E12" s="46">
        <v>2199.8000000000002</v>
      </c>
      <c r="F12" s="46">
        <v>91.26</v>
      </c>
      <c r="G12" s="46">
        <f t="shared" si="0"/>
        <v>200753.74800000002</v>
      </c>
      <c r="H12" s="46">
        <v>25</v>
      </c>
      <c r="I12" s="46">
        <v>103.18</v>
      </c>
      <c r="J12" s="46">
        <v>2579</v>
      </c>
      <c r="K12" s="46">
        <v>203331</v>
      </c>
      <c r="L12" s="46"/>
      <c r="M12" s="258">
        <f t="shared" si="3"/>
        <v>351687.55530000001</v>
      </c>
      <c r="N12" s="258"/>
      <c r="O12" s="258"/>
    </row>
    <row r="13" spans="1:15" hidden="1">
      <c r="A13" s="19">
        <v>10</v>
      </c>
      <c r="B13" s="275" t="s">
        <v>213</v>
      </c>
      <c r="C13" s="192"/>
      <c r="D13" s="192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/>
      <c r="M13" s="46">
        <f t="shared" si="3"/>
        <v>351687.55530000001</v>
      </c>
      <c r="N13" s="46"/>
      <c r="O13" s="46"/>
    </row>
    <row r="14" spans="1:15" hidden="1">
      <c r="A14" s="19">
        <v>11</v>
      </c>
      <c r="B14" s="275" t="s">
        <v>134</v>
      </c>
      <c r="C14" s="192" t="s">
        <v>251</v>
      </c>
      <c r="D14" s="192" t="s">
        <v>243</v>
      </c>
      <c r="E14" s="46">
        <v>1631.68</v>
      </c>
      <c r="F14" s="46">
        <v>91.93</v>
      </c>
      <c r="G14" s="46">
        <f t="shared" si="0"/>
        <v>150000.34240000002</v>
      </c>
      <c r="H14" s="46">
        <v>0</v>
      </c>
      <c r="I14" s="46">
        <v>0</v>
      </c>
      <c r="J14" s="46">
        <f t="shared" si="1"/>
        <v>0</v>
      </c>
      <c r="K14" s="46">
        <f t="shared" si="2"/>
        <v>150000.34240000002</v>
      </c>
      <c r="L14" s="46"/>
      <c r="M14" s="46">
        <f t="shared" si="3"/>
        <v>201687.21289999998</v>
      </c>
      <c r="N14" s="46"/>
      <c r="O14" s="46"/>
    </row>
    <row r="15" spans="1:15" hidden="1">
      <c r="A15" s="19">
        <v>12</v>
      </c>
      <c r="B15" s="275" t="s">
        <v>136</v>
      </c>
      <c r="C15" s="192" t="s">
        <v>252</v>
      </c>
      <c r="D15" s="192" t="s">
        <v>241</v>
      </c>
      <c r="E15" s="46">
        <v>31.35</v>
      </c>
      <c r="F15" s="46">
        <v>95.7</v>
      </c>
      <c r="G15" s="46">
        <f t="shared" si="0"/>
        <v>3000.1950000000002</v>
      </c>
      <c r="H15" s="46">
        <v>0</v>
      </c>
      <c r="I15" s="46">
        <v>0</v>
      </c>
      <c r="J15" s="46">
        <f t="shared" si="1"/>
        <v>0</v>
      </c>
      <c r="K15" s="46">
        <f t="shared" si="2"/>
        <v>3000.1950000000002</v>
      </c>
      <c r="L15" s="46"/>
      <c r="M15" s="46">
        <f t="shared" si="3"/>
        <v>198687.01789999998</v>
      </c>
      <c r="N15" s="46"/>
      <c r="O15" s="46"/>
    </row>
    <row r="16" spans="1:15" hidden="1">
      <c r="A16" s="19">
        <v>13</v>
      </c>
      <c r="B16" s="275"/>
      <c r="C16" s="192"/>
      <c r="D16" s="192"/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200000</v>
      </c>
      <c r="M16" s="46">
        <f t="shared" si="3"/>
        <v>398687.01789999998</v>
      </c>
      <c r="N16" s="46"/>
      <c r="O16" s="46"/>
    </row>
    <row r="17" spans="1:15">
      <c r="A17" s="19">
        <v>14</v>
      </c>
      <c r="B17" s="275" t="s">
        <v>136</v>
      </c>
      <c r="C17" s="192" t="s">
        <v>238</v>
      </c>
      <c r="D17" s="192" t="s">
        <v>239</v>
      </c>
      <c r="E17" s="46">
        <v>1972.4</v>
      </c>
      <c r="F17" s="46">
        <v>91.26</v>
      </c>
      <c r="G17" s="46">
        <f t="shared" si="0"/>
        <v>180001.22400000002</v>
      </c>
      <c r="H17" s="46">
        <v>0</v>
      </c>
      <c r="I17" s="46">
        <v>0</v>
      </c>
      <c r="J17" s="46">
        <f t="shared" si="1"/>
        <v>0</v>
      </c>
      <c r="K17" s="46">
        <f t="shared" si="2"/>
        <v>180001.22400000002</v>
      </c>
      <c r="L17" s="46"/>
      <c r="M17" s="46">
        <f t="shared" si="3"/>
        <v>218685.79389999996</v>
      </c>
      <c r="N17" s="46"/>
      <c r="O17" s="46"/>
    </row>
    <row r="18" spans="1:15" hidden="1">
      <c r="A18" s="19">
        <v>15</v>
      </c>
      <c r="B18" s="275" t="s">
        <v>136</v>
      </c>
      <c r="C18" s="192" t="s">
        <v>242</v>
      </c>
      <c r="D18" s="192" t="s">
        <v>243</v>
      </c>
      <c r="E18" s="46">
        <v>0</v>
      </c>
      <c r="F18" s="46">
        <v>0</v>
      </c>
      <c r="G18" s="46">
        <f t="shared" si="0"/>
        <v>0</v>
      </c>
      <c r="H18" s="46">
        <v>9.64</v>
      </c>
      <c r="I18" s="46">
        <v>103.73</v>
      </c>
      <c r="J18" s="46">
        <f t="shared" si="1"/>
        <v>999.95720000000006</v>
      </c>
      <c r="K18" s="46">
        <f t="shared" si="2"/>
        <v>999.95720000000006</v>
      </c>
      <c r="L18" s="46"/>
      <c r="M18" s="46">
        <f t="shared" si="3"/>
        <v>217685.83669999996</v>
      </c>
      <c r="N18" s="46"/>
      <c r="O18" s="46"/>
    </row>
    <row r="19" spans="1:15" hidden="1">
      <c r="A19" s="19">
        <v>16</v>
      </c>
      <c r="B19" s="275" t="s">
        <v>136</v>
      </c>
      <c r="C19" s="192" t="s">
        <v>253</v>
      </c>
      <c r="D19" s="192" t="s">
        <v>249</v>
      </c>
      <c r="E19" s="46">
        <v>31.35</v>
      </c>
      <c r="F19" s="46">
        <v>95.7</v>
      </c>
      <c r="G19" s="46">
        <f t="shared" si="0"/>
        <v>3000.1950000000002</v>
      </c>
      <c r="H19" s="46">
        <v>0</v>
      </c>
      <c r="I19" s="46">
        <v>0</v>
      </c>
      <c r="J19" s="46">
        <f t="shared" si="1"/>
        <v>0</v>
      </c>
      <c r="K19" s="46">
        <f t="shared" si="2"/>
        <v>3000.1950000000002</v>
      </c>
      <c r="L19" s="46"/>
      <c r="M19" s="46">
        <f t="shared" si="3"/>
        <v>214685.64169999995</v>
      </c>
      <c r="N19" s="258"/>
      <c r="O19" s="258"/>
    </row>
    <row r="20" spans="1:15" hidden="1">
      <c r="A20" s="19">
        <v>17</v>
      </c>
      <c r="B20" s="275" t="s">
        <v>232</v>
      </c>
      <c r="C20" s="192" t="s">
        <v>252</v>
      </c>
      <c r="D20" s="192" t="s">
        <v>254</v>
      </c>
      <c r="E20" s="46">
        <v>0</v>
      </c>
      <c r="F20" s="46">
        <v>0</v>
      </c>
      <c r="G20" s="46">
        <f t="shared" si="0"/>
        <v>0</v>
      </c>
      <c r="H20" s="46">
        <v>4.1900000000000004</v>
      </c>
      <c r="I20" s="46">
        <v>107.46</v>
      </c>
      <c r="J20" s="46">
        <f t="shared" si="1"/>
        <v>450.25740000000002</v>
      </c>
      <c r="K20" s="46">
        <f t="shared" si="2"/>
        <v>450.25740000000002</v>
      </c>
      <c r="L20" s="46"/>
      <c r="M20" s="46">
        <f t="shared" si="3"/>
        <v>214235.38429999995</v>
      </c>
      <c r="N20" s="46"/>
      <c r="O20" s="46"/>
    </row>
    <row r="21" spans="1:15" hidden="1">
      <c r="A21" s="19">
        <v>18</v>
      </c>
      <c r="B21" s="275" t="s">
        <v>232</v>
      </c>
      <c r="C21" s="192" t="s">
        <v>255</v>
      </c>
      <c r="D21" s="192" t="s">
        <v>245</v>
      </c>
      <c r="E21" s="46">
        <v>0</v>
      </c>
      <c r="F21" s="46">
        <v>0</v>
      </c>
      <c r="G21" s="46">
        <f t="shared" si="0"/>
        <v>0</v>
      </c>
      <c r="H21" s="46">
        <v>6.52</v>
      </c>
      <c r="I21" s="46">
        <v>102.77</v>
      </c>
      <c r="J21" s="46">
        <f t="shared" si="1"/>
        <v>670.06039999999996</v>
      </c>
      <c r="K21" s="46">
        <f t="shared" si="2"/>
        <v>670.06039999999996</v>
      </c>
      <c r="L21" s="46"/>
      <c r="M21" s="46">
        <f t="shared" si="3"/>
        <v>213565.32389999996</v>
      </c>
      <c r="N21" s="46"/>
      <c r="O21" s="46"/>
    </row>
    <row r="22" spans="1:15" hidden="1">
      <c r="A22" s="19">
        <v>19</v>
      </c>
      <c r="B22" s="275" t="s">
        <v>232</v>
      </c>
      <c r="C22" s="192" t="s">
        <v>242</v>
      </c>
      <c r="D22" s="192" t="s">
        <v>243</v>
      </c>
      <c r="E22" s="46">
        <v>20</v>
      </c>
      <c r="F22" s="46">
        <v>91.78</v>
      </c>
      <c r="G22" s="46">
        <f t="shared" si="0"/>
        <v>1835.6</v>
      </c>
      <c r="H22" s="46">
        <v>0</v>
      </c>
      <c r="I22" s="46">
        <v>0</v>
      </c>
      <c r="J22" s="46">
        <f t="shared" si="1"/>
        <v>0</v>
      </c>
      <c r="K22" s="46">
        <f t="shared" si="2"/>
        <v>1835.6</v>
      </c>
      <c r="L22" s="46"/>
      <c r="M22" s="46">
        <f t="shared" si="3"/>
        <v>211729.72389999995</v>
      </c>
      <c r="N22" s="258">
        <v>212851.45</v>
      </c>
      <c r="O22" s="258">
        <f>N22-M22</f>
        <v>1121.7261000000581</v>
      </c>
    </row>
    <row r="23" spans="1:15" hidden="1">
      <c r="A23" s="19">
        <v>20</v>
      </c>
      <c r="B23" s="275" t="s">
        <v>137</v>
      </c>
      <c r="C23" s="192" t="s">
        <v>256</v>
      </c>
      <c r="D23" s="192" t="s">
        <v>245</v>
      </c>
      <c r="E23" s="46">
        <v>55</v>
      </c>
      <c r="F23" s="46">
        <v>90.88</v>
      </c>
      <c r="G23" s="46">
        <f t="shared" si="0"/>
        <v>4998.3999999999996</v>
      </c>
      <c r="H23" s="46">
        <v>4.87</v>
      </c>
      <c r="I23" s="46">
        <v>102.77</v>
      </c>
      <c r="J23" s="46">
        <f t="shared" si="1"/>
        <v>500.48989999999998</v>
      </c>
      <c r="K23" s="46">
        <f t="shared" si="2"/>
        <v>5498.8898999999992</v>
      </c>
      <c r="L23" s="46"/>
      <c r="M23" s="46">
        <f t="shared" si="3"/>
        <v>206230.83399999994</v>
      </c>
      <c r="N23" s="46"/>
      <c r="O23" s="46"/>
    </row>
    <row r="24" spans="1:15" hidden="1">
      <c r="A24" s="19">
        <v>21</v>
      </c>
      <c r="B24" s="275" t="s">
        <v>137</v>
      </c>
      <c r="C24" s="192" t="s">
        <v>257</v>
      </c>
      <c r="D24" s="192" t="s">
        <v>241</v>
      </c>
      <c r="E24" s="46">
        <v>20.882000000000001</v>
      </c>
      <c r="F24" s="46">
        <v>96.06</v>
      </c>
      <c r="G24" s="46">
        <f t="shared" si="0"/>
        <v>2005.9249200000002</v>
      </c>
      <c r="H24" s="46">
        <v>0</v>
      </c>
      <c r="I24" s="46">
        <v>0</v>
      </c>
      <c r="J24" s="46">
        <f t="shared" si="1"/>
        <v>0</v>
      </c>
      <c r="K24" s="46">
        <f t="shared" si="2"/>
        <v>2005.9249200000002</v>
      </c>
      <c r="L24" s="46">
        <v>250000</v>
      </c>
      <c r="M24" s="46">
        <f t="shared" si="3"/>
        <v>454224.9090799999</v>
      </c>
      <c r="N24" s="258"/>
      <c r="O24" s="258"/>
    </row>
    <row r="25" spans="1:15">
      <c r="A25" s="19">
        <v>22</v>
      </c>
      <c r="B25" s="275" t="s">
        <v>138</v>
      </c>
      <c r="C25" s="192" t="s">
        <v>238</v>
      </c>
      <c r="D25" s="192" t="s">
        <v>239</v>
      </c>
      <c r="E25" s="46">
        <v>3287.3</v>
      </c>
      <c r="F25" s="46">
        <v>91.26</v>
      </c>
      <c r="G25" s="46">
        <f t="shared" si="0"/>
        <v>299998.99800000002</v>
      </c>
      <c r="H25" s="46">
        <v>0</v>
      </c>
      <c r="I25" s="46">
        <v>0</v>
      </c>
      <c r="J25" s="46">
        <f t="shared" si="1"/>
        <v>0</v>
      </c>
      <c r="K25" s="46">
        <f t="shared" si="2"/>
        <v>299998.99800000002</v>
      </c>
      <c r="L25" s="46"/>
      <c r="M25" s="46">
        <f t="shared" si="3"/>
        <v>154225.91107999987</v>
      </c>
      <c r="N25" s="46"/>
      <c r="O25" s="46"/>
    </row>
    <row r="26" spans="1:15" hidden="1">
      <c r="A26" s="19">
        <v>23</v>
      </c>
      <c r="B26" s="275" t="s">
        <v>138</v>
      </c>
      <c r="C26" s="192" t="s">
        <v>256</v>
      </c>
      <c r="D26" s="192" t="s">
        <v>245</v>
      </c>
      <c r="E26" s="46">
        <v>0</v>
      </c>
      <c r="F26" s="46">
        <v>0</v>
      </c>
      <c r="G26" s="46">
        <f t="shared" si="0"/>
        <v>0</v>
      </c>
      <c r="H26" s="46">
        <v>4.87</v>
      </c>
      <c r="I26" s="46">
        <v>102.77</v>
      </c>
      <c r="J26" s="46">
        <f t="shared" si="1"/>
        <v>500.48989999999998</v>
      </c>
      <c r="K26" s="46">
        <f t="shared" si="2"/>
        <v>500.48989999999998</v>
      </c>
      <c r="L26" s="46"/>
      <c r="M26" s="46">
        <f t="shared" si="3"/>
        <v>153725.42117999989</v>
      </c>
      <c r="N26" s="46"/>
      <c r="O26" s="46"/>
    </row>
    <row r="27" spans="1:15" hidden="1">
      <c r="A27" s="19">
        <v>24</v>
      </c>
      <c r="B27" s="275" t="s">
        <v>139</v>
      </c>
      <c r="C27" s="192" t="s">
        <v>256</v>
      </c>
      <c r="D27" s="192" t="s">
        <v>245</v>
      </c>
      <c r="E27" s="46">
        <v>0</v>
      </c>
      <c r="F27" s="46">
        <v>0</v>
      </c>
      <c r="G27" s="46">
        <f t="shared" si="0"/>
        <v>0</v>
      </c>
      <c r="H27" s="46">
        <v>35.380000000000003</v>
      </c>
      <c r="I27" s="46">
        <v>102.77</v>
      </c>
      <c r="J27" s="46">
        <f t="shared" si="1"/>
        <v>3636.0026000000003</v>
      </c>
      <c r="K27" s="46">
        <f t="shared" si="2"/>
        <v>3636.0026000000003</v>
      </c>
      <c r="L27" s="46"/>
      <c r="M27" s="46">
        <f t="shared" si="3"/>
        <v>150089.41857999988</v>
      </c>
      <c r="N27" s="46"/>
      <c r="O27" s="46"/>
    </row>
    <row r="28" spans="1:15" hidden="1">
      <c r="A28" s="19">
        <v>25</v>
      </c>
      <c r="B28" s="275" t="s">
        <v>258</v>
      </c>
      <c r="C28" s="192" t="s">
        <v>259</v>
      </c>
      <c r="D28" s="192" t="s">
        <v>260</v>
      </c>
      <c r="E28" s="46">
        <v>259.79000000000002</v>
      </c>
      <c r="F28" s="46">
        <v>96.23</v>
      </c>
      <c r="G28" s="46">
        <f t="shared" si="0"/>
        <v>24999.591700000004</v>
      </c>
      <c r="H28" s="46">
        <v>0</v>
      </c>
      <c r="I28" s="46">
        <v>0</v>
      </c>
      <c r="J28" s="46">
        <f t="shared" si="1"/>
        <v>0</v>
      </c>
      <c r="K28" s="46">
        <f t="shared" si="2"/>
        <v>24999.591700000004</v>
      </c>
      <c r="L28" s="46"/>
      <c r="M28" s="46">
        <f t="shared" si="3"/>
        <v>125089.82687999988</v>
      </c>
      <c r="N28" s="46"/>
      <c r="O28" s="46"/>
    </row>
    <row r="29" spans="1:15" hidden="1">
      <c r="A29" s="19">
        <v>26</v>
      </c>
      <c r="B29" s="275" t="s">
        <v>140</v>
      </c>
      <c r="C29" s="192" t="s">
        <v>261</v>
      </c>
      <c r="D29" s="192" t="s">
        <v>241</v>
      </c>
      <c r="E29" s="46">
        <v>0</v>
      </c>
      <c r="F29" s="46">
        <v>0</v>
      </c>
      <c r="G29" s="46">
        <f t="shared" si="0"/>
        <v>0</v>
      </c>
      <c r="H29" s="46">
        <v>3.66</v>
      </c>
      <c r="I29" s="46">
        <v>107.46</v>
      </c>
      <c r="J29" s="46">
        <f t="shared" si="1"/>
        <v>393.30360000000002</v>
      </c>
      <c r="K29" s="46">
        <f t="shared" si="2"/>
        <v>393.30360000000002</v>
      </c>
      <c r="L29" s="46"/>
      <c r="M29" s="46">
        <f t="shared" si="3"/>
        <v>124696.52327999988</v>
      </c>
      <c r="N29" s="258"/>
      <c r="O29" s="258"/>
    </row>
    <row r="30" spans="1:15" ht="14.25" hidden="1" customHeight="1">
      <c r="A30" s="19">
        <v>27</v>
      </c>
      <c r="B30" s="275" t="s">
        <v>140</v>
      </c>
      <c r="C30" s="192" t="s">
        <v>262</v>
      </c>
      <c r="D30" s="192" t="s">
        <v>245</v>
      </c>
      <c r="E30" s="46">
        <v>64.010000000000005</v>
      </c>
      <c r="F30" s="46">
        <v>90.88</v>
      </c>
      <c r="G30" s="46">
        <f t="shared" si="0"/>
        <v>5817.2287999999999</v>
      </c>
      <c r="H30" s="46">
        <v>0</v>
      </c>
      <c r="I30" s="46">
        <v>0</v>
      </c>
      <c r="J30" s="46">
        <f t="shared" si="1"/>
        <v>0</v>
      </c>
      <c r="K30" s="46">
        <f t="shared" si="2"/>
        <v>5817.2287999999999</v>
      </c>
      <c r="L30" s="46">
        <v>500000</v>
      </c>
      <c r="M30" s="46">
        <f t="shared" si="3"/>
        <v>618879.29447999981</v>
      </c>
      <c r="N30" s="46"/>
      <c r="O30" s="46"/>
    </row>
    <row r="31" spans="1:15" hidden="1">
      <c r="A31" s="19">
        <v>28</v>
      </c>
      <c r="B31" s="275" t="s">
        <v>140</v>
      </c>
      <c r="C31" s="192" t="s">
        <v>263</v>
      </c>
      <c r="D31" s="192" t="s">
        <v>243</v>
      </c>
      <c r="E31" s="46">
        <v>1740.46</v>
      </c>
      <c r="F31" s="46">
        <v>91.93</v>
      </c>
      <c r="G31" s="46">
        <f t="shared" si="0"/>
        <v>160000.4878</v>
      </c>
      <c r="H31" s="46">
        <v>0</v>
      </c>
      <c r="I31" s="46">
        <v>0</v>
      </c>
      <c r="J31" s="46">
        <f t="shared" si="1"/>
        <v>0</v>
      </c>
      <c r="K31" s="46">
        <f t="shared" si="2"/>
        <v>160000.4878</v>
      </c>
      <c r="L31" s="46"/>
      <c r="M31" s="46">
        <f t="shared" si="3"/>
        <v>458878.80667999981</v>
      </c>
      <c r="N31" s="46"/>
      <c r="O31" s="46"/>
    </row>
    <row r="32" spans="1:15" hidden="1">
      <c r="A32" s="19">
        <v>29</v>
      </c>
      <c r="B32" s="275" t="s">
        <v>140</v>
      </c>
      <c r="C32" s="192" t="s">
        <v>264</v>
      </c>
      <c r="D32" s="192" t="s">
        <v>260</v>
      </c>
      <c r="E32" s="46">
        <v>600</v>
      </c>
      <c r="F32" s="46">
        <v>96.23</v>
      </c>
      <c r="G32" s="46">
        <f t="shared" si="0"/>
        <v>57738</v>
      </c>
      <c r="H32" s="46">
        <v>16</v>
      </c>
      <c r="I32" s="46">
        <v>108.03</v>
      </c>
      <c r="J32" s="46">
        <f t="shared" si="1"/>
        <v>1728.48</v>
      </c>
      <c r="K32" s="46">
        <f t="shared" si="2"/>
        <v>59466.48</v>
      </c>
      <c r="L32" s="46"/>
      <c r="M32" s="46">
        <f t="shared" si="3"/>
        <v>399412.32667999982</v>
      </c>
      <c r="N32" s="46"/>
      <c r="O32" s="46"/>
    </row>
    <row r="33" spans="1:15">
      <c r="A33" s="19">
        <v>30</v>
      </c>
      <c r="B33" s="275" t="s">
        <v>141</v>
      </c>
      <c r="C33" s="192" t="s">
        <v>238</v>
      </c>
      <c r="D33" s="192" t="s">
        <v>239</v>
      </c>
      <c r="E33" s="46">
        <v>2191.54</v>
      </c>
      <c r="F33" s="46">
        <v>91.26</v>
      </c>
      <c r="G33" s="46">
        <f t="shared" si="0"/>
        <v>199999.94040000002</v>
      </c>
      <c r="H33" s="46">
        <v>0</v>
      </c>
      <c r="I33" s="46">
        <v>0</v>
      </c>
      <c r="J33" s="46">
        <f t="shared" si="1"/>
        <v>0</v>
      </c>
      <c r="K33" s="46">
        <f t="shared" si="2"/>
        <v>199999.94040000002</v>
      </c>
      <c r="L33" s="46"/>
      <c r="M33" s="46">
        <f t="shared" si="3"/>
        <v>199412.3862799998</v>
      </c>
      <c r="N33" s="46"/>
      <c r="O33" s="46"/>
    </row>
    <row r="34" spans="1:15" hidden="1">
      <c r="A34" s="19">
        <v>31</v>
      </c>
      <c r="B34" s="275" t="s">
        <v>141</v>
      </c>
      <c r="C34" s="192" t="s">
        <v>262</v>
      </c>
      <c r="D34" s="192" t="s">
        <v>245</v>
      </c>
      <c r="E34" s="46">
        <v>0</v>
      </c>
      <c r="F34" s="46">
        <v>0</v>
      </c>
      <c r="G34" s="46">
        <f t="shared" si="0"/>
        <v>0</v>
      </c>
      <c r="H34" s="46">
        <v>22.69</v>
      </c>
      <c r="I34" s="46">
        <v>102.77</v>
      </c>
      <c r="J34" s="46">
        <f t="shared" si="1"/>
        <v>2331.8513000000003</v>
      </c>
      <c r="K34" s="46">
        <f t="shared" si="2"/>
        <v>2331.8513000000003</v>
      </c>
      <c r="L34" s="46"/>
      <c r="M34" s="46">
        <f t="shared" si="3"/>
        <v>197080.53497999979</v>
      </c>
      <c r="N34" s="258"/>
      <c r="O34" s="258"/>
    </row>
    <row r="35" spans="1:15" hidden="1">
      <c r="A35" s="19">
        <v>32</v>
      </c>
      <c r="B35" s="275" t="s">
        <v>141</v>
      </c>
      <c r="C35" s="192" t="s">
        <v>253</v>
      </c>
      <c r="D35" s="192" t="s">
        <v>249</v>
      </c>
      <c r="E35" s="46">
        <v>31.35</v>
      </c>
      <c r="F35" s="46">
        <v>95.7</v>
      </c>
      <c r="G35" s="46">
        <f t="shared" si="0"/>
        <v>3000.1950000000002</v>
      </c>
      <c r="H35" s="46">
        <v>0</v>
      </c>
      <c r="I35" s="46">
        <v>0</v>
      </c>
      <c r="J35" s="46">
        <f t="shared" si="1"/>
        <v>0</v>
      </c>
      <c r="K35" s="46">
        <f t="shared" si="2"/>
        <v>3000.1950000000002</v>
      </c>
      <c r="L35" s="46"/>
      <c r="M35" s="46">
        <f t="shared" si="3"/>
        <v>194080.33997999979</v>
      </c>
      <c r="N35" s="46"/>
      <c r="O35" s="46"/>
    </row>
    <row r="36" spans="1:15" hidden="1">
      <c r="A36" s="19">
        <v>33</v>
      </c>
      <c r="B36" s="275" t="s">
        <v>141</v>
      </c>
      <c r="C36" s="192" t="s">
        <v>265</v>
      </c>
      <c r="D36" s="364" t="s">
        <v>260</v>
      </c>
      <c r="E36" s="46">
        <v>600</v>
      </c>
      <c r="F36" s="46">
        <v>96.23</v>
      </c>
      <c r="G36" s="46">
        <f t="shared" si="0"/>
        <v>57738</v>
      </c>
      <c r="H36" s="46">
        <v>0</v>
      </c>
      <c r="I36" s="46">
        <v>0</v>
      </c>
      <c r="J36" s="46">
        <f t="shared" si="1"/>
        <v>0</v>
      </c>
      <c r="K36" s="46">
        <f t="shared" si="2"/>
        <v>57738</v>
      </c>
      <c r="L36" s="46"/>
      <c r="M36" s="46">
        <f t="shared" si="3"/>
        <v>136342.33997999979</v>
      </c>
      <c r="N36" s="46"/>
      <c r="O36" s="46"/>
    </row>
    <row r="37" spans="1:15" hidden="1">
      <c r="A37" s="19">
        <v>34</v>
      </c>
      <c r="B37" s="275" t="s">
        <v>142</v>
      </c>
      <c r="C37" s="192" t="s">
        <v>262</v>
      </c>
      <c r="D37" s="192" t="s">
        <v>245</v>
      </c>
      <c r="E37" s="46">
        <v>20</v>
      </c>
      <c r="F37" s="46">
        <v>90.88</v>
      </c>
      <c r="G37" s="46">
        <f t="shared" si="0"/>
        <v>1817.6</v>
      </c>
      <c r="H37" s="46">
        <v>5</v>
      </c>
      <c r="I37" s="46">
        <v>102.77</v>
      </c>
      <c r="J37" s="46">
        <f t="shared" si="1"/>
        <v>513.85</v>
      </c>
      <c r="K37" s="46">
        <f t="shared" si="2"/>
        <v>2331.4499999999998</v>
      </c>
      <c r="L37" s="46"/>
      <c r="M37" s="46">
        <f t="shared" si="3"/>
        <v>134010.88997999977</v>
      </c>
      <c r="N37" s="46"/>
      <c r="O37" s="46"/>
    </row>
    <row r="38" spans="1:15" hidden="1">
      <c r="A38" s="19">
        <v>35</v>
      </c>
      <c r="B38" s="275" t="s">
        <v>142</v>
      </c>
      <c r="C38" s="192" t="s">
        <v>266</v>
      </c>
      <c r="D38" s="192" t="s">
        <v>241</v>
      </c>
      <c r="E38" s="46">
        <v>0</v>
      </c>
      <c r="F38" s="46">
        <v>0</v>
      </c>
      <c r="G38" s="46">
        <f t="shared" si="0"/>
        <v>0</v>
      </c>
      <c r="H38" s="46">
        <v>4.5999999999999996</v>
      </c>
      <c r="I38" s="46">
        <v>107.46</v>
      </c>
      <c r="J38" s="46">
        <f t="shared" si="1"/>
        <v>494.31599999999992</v>
      </c>
      <c r="K38" s="46">
        <f t="shared" si="2"/>
        <v>494.31599999999992</v>
      </c>
      <c r="L38" s="46"/>
      <c r="M38" s="46">
        <f t="shared" si="3"/>
        <v>133516.57397999978</v>
      </c>
      <c r="N38" s="46"/>
      <c r="O38" s="46"/>
    </row>
    <row r="39" spans="1:15" hidden="1">
      <c r="A39" s="19">
        <v>36</v>
      </c>
      <c r="B39" s="275" t="s">
        <v>143</v>
      </c>
      <c r="C39" s="192" t="s">
        <v>262</v>
      </c>
      <c r="D39" s="192" t="s">
        <v>245</v>
      </c>
      <c r="E39" s="46">
        <v>20</v>
      </c>
      <c r="F39" s="46">
        <v>90.88</v>
      </c>
      <c r="G39" s="46">
        <f t="shared" si="0"/>
        <v>1817.6</v>
      </c>
      <c r="H39" s="46">
        <v>0</v>
      </c>
      <c r="I39" s="46">
        <v>0</v>
      </c>
      <c r="J39" s="46">
        <f t="shared" si="1"/>
        <v>0</v>
      </c>
      <c r="K39" s="46">
        <f t="shared" si="2"/>
        <v>1817.6</v>
      </c>
      <c r="L39" s="46"/>
      <c r="M39" s="46">
        <f t="shared" si="3"/>
        <v>131698.97397999978</v>
      </c>
      <c r="N39" s="46"/>
      <c r="O39" s="46"/>
    </row>
    <row r="40" spans="1:15" hidden="1">
      <c r="A40" s="19">
        <v>37</v>
      </c>
      <c r="B40" s="275" t="s">
        <v>143</v>
      </c>
      <c r="C40" s="192" t="s">
        <v>264</v>
      </c>
      <c r="D40" s="192" t="s">
        <v>260</v>
      </c>
      <c r="E40" s="46">
        <v>600</v>
      </c>
      <c r="F40" s="46">
        <v>96.23</v>
      </c>
      <c r="G40" s="46">
        <f t="shared" si="0"/>
        <v>57738</v>
      </c>
      <c r="H40" s="46">
        <v>10</v>
      </c>
      <c r="I40" s="46">
        <v>108.3</v>
      </c>
      <c r="J40" s="46">
        <f t="shared" si="1"/>
        <v>1083</v>
      </c>
      <c r="K40" s="46">
        <f t="shared" si="2"/>
        <v>58821</v>
      </c>
      <c r="L40" s="46"/>
      <c r="M40" s="46">
        <f t="shared" si="3"/>
        <v>72877.973979999777</v>
      </c>
      <c r="N40" s="258"/>
      <c r="O40" s="258"/>
    </row>
    <row r="41" spans="1:15" hidden="1">
      <c r="A41" s="19">
        <v>38</v>
      </c>
      <c r="B41" s="275" t="s">
        <v>144</v>
      </c>
      <c r="C41" s="192" t="s">
        <v>267</v>
      </c>
      <c r="D41" s="192" t="s">
        <v>268</v>
      </c>
      <c r="E41" s="46">
        <v>328.48</v>
      </c>
      <c r="F41" s="46">
        <v>91.33</v>
      </c>
      <c r="G41" s="46">
        <f t="shared" si="0"/>
        <v>30000.078400000002</v>
      </c>
      <c r="H41" s="46">
        <v>0</v>
      </c>
      <c r="I41" s="46">
        <v>0</v>
      </c>
      <c r="J41" s="46">
        <f t="shared" si="1"/>
        <v>0</v>
      </c>
      <c r="K41" s="46">
        <f t="shared" si="2"/>
        <v>30000.078400000002</v>
      </c>
      <c r="L41" s="46"/>
      <c r="M41" s="46">
        <f t="shared" si="3"/>
        <v>42877.895579999778</v>
      </c>
      <c r="N41" s="258"/>
      <c r="O41" s="258"/>
    </row>
    <row r="42" spans="1:15" hidden="1">
      <c r="A42" s="19">
        <v>39</v>
      </c>
      <c r="B42" s="275" t="s">
        <v>144</v>
      </c>
      <c r="C42" s="192" t="s">
        <v>262</v>
      </c>
      <c r="D42" s="192" t="s">
        <v>245</v>
      </c>
      <c r="E42" s="46">
        <v>40</v>
      </c>
      <c r="F42" s="46">
        <v>90.88</v>
      </c>
      <c r="G42" s="46">
        <f t="shared" si="0"/>
        <v>3635.2</v>
      </c>
      <c r="H42" s="46">
        <v>0</v>
      </c>
      <c r="I42" s="46">
        <v>0</v>
      </c>
      <c r="J42" s="46">
        <f t="shared" si="1"/>
        <v>0</v>
      </c>
      <c r="K42" s="46">
        <f t="shared" si="2"/>
        <v>3635.2</v>
      </c>
      <c r="L42" s="46"/>
      <c r="M42" s="46">
        <f t="shared" si="3"/>
        <v>39242.695579999781</v>
      </c>
      <c r="N42" s="258"/>
      <c r="O42" s="258"/>
    </row>
    <row r="43" spans="1:15" hidden="1">
      <c r="A43" s="19">
        <v>40</v>
      </c>
      <c r="B43" s="275" t="s">
        <v>151</v>
      </c>
      <c r="C43" s="192" t="s">
        <v>262</v>
      </c>
      <c r="D43" s="192" t="s">
        <v>245</v>
      </c>
      <c r="E43" s="46">
        <v>0</v>
      </c>
      <c r="F43" s="46">
        <v>0</v>
      </c>
      <c r="G43" s="46">
        <f t="shared" si="0"/>
        <v>0</v>
      </c>
      <c r="H43" s="46">
        <v>22.56</v>
      </c>
      <c r="I43" s="46">
        <v>102.77</v>
      </c>
      <c r="J43" s="46">
        <f t="shared" si="1"/>
        <v>2318.4911999999999</v>
      </c>
      <c r="K43" s="46">
        <f t="shared" si="2"/>
        <v>2318.4911999999999</v>
      </c>
      <c r="L43" s="46"/>
      <c r="M43" s="46">
        <f t="shared" si="3"/>
        <v>36924.204379999785</v>
      </c>
      <c r="N43" s="258"/>
      <c r="O43" s="258"/>
    </row>
    <row r="44" spans="1:15" hidden="1">
      <c r="A44" s="19">
        <v>41</v>
      </c>
      <c r="B44" s="275" t="s">
        <v>145</v>
      </c>
      <c r="C44" s="192" t="s">
        <v>264</v>
      </c>
      <c r="D44" s="192" t="s">
        <v>260</v>
      </c>
      <c r="E44" s="46">
        <v>311.75</v>
      </c>
      <c r="F44" s="46">
        <v>96.23</v>
      </c>
      <c r="G44" s="46">
        <f t="shared" si="0"/>
        <v>29999.702500000003</v>
      </c>
      <c r="H44" s="46">
        <v>0</v>
      </c>
      <c r="I44" s="46">
        <v>0</v>
      </c>
      <c r="J44" s="46">
        <f t="shared" si="1"/>
        <v>0</v>
      </c>
      <c r="K44" s="46">
        <f t="shared" si="2"/>
        <v>29999.702500000003</v>
      </c>
      <c r="L44" s="46">
        <v>600000</v>
      </c>
      <c r="M44" s="46">
        <f t="shared" si="3"/>
        <v>606924.50187999976</v>
      </c>
      <c r="N44" s="46"/>
      <c r="O44" s="46"/>
    </row>
    <row r="45" spans="1:15" hidden="1">
      <c r="A45" s="19">
        <v>42</v>
      </c>
      <c r="B45" s="275" t="s">
        <v>145</v>
      </c>
      <c r="C45" s="192" t="s">
        <v>262</v>
      </c>
      <c r="D45" s="192" t="s">
        <v>245</v>
      </c>
      <c r="E45" s="46">
        <v>20</v>
      </c>
      <c r="F45" s="46">
        <v>90.88</v>
      </c>
      <c r="G45" s="46">
        <f t="shared" si="0"/>
        <v>1817.6</v>
      </c>
      <c r="H45" s="46">
        <v>0</v>
      </c>
      <c r="I45" s="46">
        <v>0</v>
      </c>
      <c r="J45" s="46">
        <f t="shared" si="1"/>
        <v>0</v>
      </c>
      <c r="K45" s="46">
        <f t="shared" si="2"/>
        <v>1817.6</v>
      </c>
      <c r="L45" s="46">
        <v>5127</v>
      </c>
      <c r="M45" s="46">
        <f t="shared" si="3"/>
        <v>610233.90187999979</v>
      </c>
      <c r="N45" s="46"/>
      <c r="O45" s="46"/>
    </row>
    <row r="46" spans="1:15" hidden="1">
      <c r="A46" s="19">
        <v>43</v>
      </c>
      <c r="B46" s="275" t="s">
        <v>145</v>
      </c>
      <c r="C46" s="192" t="s">
        <v>269</v>
      </c>
      <c r="D46" s="192" t="s">
        <v>268</v>
      </c>
      <c r="E46" s="46">
        <v>51.64</v>
      </c>
      <c r="F46" s="46">
        <v>96.84</v>
      </c>
      <c r="G46" s="46">
        <f t="shared" si="0"/>
        <v>5000.8176000000003</v>
      </c>
      <c r="H46" s="46">
        <v>0</v>
      </c>
      <c r="I46" s="46">
        <v>0</v>
      </c>
      <c r="J46" s="46">
        <f t="shared" si="1"/>
        <v>0</v>
      </c>
      <c r="K46" s="46">
        <f t="shared" si="2"/>
        <v>5000.8176000000003</v>
      </c>
      <c r="L46" s="46"/>
      <c r="M46" s="46">
        <f t="shared" si="3"/>
        <v>605233.08427999984</v>
      </c>
      <c r="N46" s="46"/>
      <c r="O46" s="46"/>
    </row>
    <row r="47" spans="1:15" hidden="1">
      <c r="A47" s="19">
        <v>44</v>
      </c>
      <c r="B47" s="275" t="s">
        <v>145</v>
      </c>
      <c r="C47" s="192" t="s">
        <v>253</v>
      </c>
      <c r="D47" s="192" t="s">
        <v>249</v>
      </c>
      <c r="E47" s="46">
        <v>33.44</v>
      </c>
      <c r="F47" s="46">
        <v>95.7</v>
      </c>
      <c r="G47" s="46">
        <f t="shared" si="0"/>
        <v>3200.2080000000001</v>
      </c>
      <c r="H47" s="46">
        <v>0</v>
      </c>
      <c r="I47" s="46">
        <v>0</v>
      </c>
      <c r="J47" s="46">
        <f t="shared" si="1"/>
        <v>0</v>
      </c>
      <c r="K47" s="46">
        <f t="shared" si="2"/>
        <v>3200.2080000000001</v>
      </c>
      <c r="L47" s="46"/>
      <c r="M47" s="46">
        <f t="shared" si="3"/>
        <v>602032.87627999985</v>
      </c>
      <c r="N47" s="46"/>
      <c r="O47" s="46"/>
    </row>
    <row r="48" spans="1:15" hidden="1">
      <c r="A48" s="19">
        <v>45</v>
      </c>
      <c r="B48" s="275" t="s">
        <v>146</v>
      </c>
      <c r="C48" s="192" t="s">
        <v>270</v>
      </c>
      <c r="D48" s="192" t="s">
        <v>241</v>
      </c>
      <c r="E48" s="46">
        <v>0</v>
      </c>
      <c r="F48" s="46">
        <v>0</v>
      </c>
      <c r="G48" s="46">
        <f t="shared" si="0"/>
        <v>0</v>
      </c>
      <c r="H48" s="46">
        <v>3.91</v>
      </c>
      <c r="I48" s="46">
        <v>107.46</v>
      </c>
      <c r="J48" s="46">
        <f t="shared" si="1"/>
        <v>420.16859999999997</v>
      </c>
      <c r="K48" s="46">
        <f t="shared" si="2"/>
        <v>420.16859999999997</v>
      </c>
      <c r="L48" s="46"/>
      <c r="M48" s="46">
        <f t="shared" si="3"/>
        <v>601612.70767999988</v>
      </c>
      <c r="N48" s="258"/>
      <c r="O48" s="258"/>
    </row>
    <row r="49" spans="1:15">
      <c r="A49" s="19">
        <v>46</v>
      </c>
      <c r="B49" s="275" t="s">
        <v>146</v>
      </c>
      <c r="C49" s="192" t="s">
        <v>271</v>
      </c>
      <c r="D49" s="192" t="s">
        <v>239</v>
      </c>
      <c r="E49" s="46">
        <v>3835.19</v>
      </c>
      <c r="F49" s="46">
        <v>91.26</v>
      </c>
      <c r="G49" s="46">
        <f t="shared" si="0"/>
        <v>349999.43940000003</v>
      </c>
      <c r="H49" s="46">
        <v>0</v>
      </c>
      <c r="I49" s="46">
        <v>0</v>
      </c>
      <c r="J49" s="46">
        <f t="shared" si="1"/>
        <v>0</v>
      </c>
      <c r="K49" s="46">
        <f t="shared" si="2"/>
        <v>349999.43940000003</v>
      </c>
      <c r="L49" s="46"/>
      <c r="M49" s="46">
        <f t="shared" si="3"/>
        <v>251613.26827999984</v>
      </c>
      <c r="N49" s="46"/>
      <c r="O49" s="46"/>
    </row>
    <row r="50" spans="1:15" hidden="1">
      <c r="A50" s="19">
        <v>47</v>
      </c>
      <c r="B50" s="275" t="s">
        <v>146</v>
      </c>
      <c r="C50" s="192" t="s">
        <v>262</v>
      </c>
      <c r="D50" s="192" t="s">
        <v>245</v>
      </c>
      <c r="E50" s="46">
        <v>20</v>
      </c>
      <c r="F50" s="46">
        <v>90.88</v>
      </c>
      <c r="G50" s="46">
        <f t="shared" si="0"/>
        <v>1817.6</v>
      </c>
      <c r="H50" s="46">
        <v>0</v>
      </c>
      <c r="I50" s="46">
        <v>0</v>
      </c>
      <c r="J50" s="46">
        <f t="shared" si="1"/>
        <v>0</v>
      </c>
      <c r="K50" s="46">
        <f t="shared" si="2"/>
        <v>1817.6</v>
      </c>
      <c r="L50" s="46"/>
      <c r="M50" s="46">
        <f t="shared" si="3"/>
        <v>249795.66827999984</v>
      </c>
      <c r="N50" s="258"/>
      <c r="O50" s="258"/>
    </row>
    <row r="51" spans="1:15" hidden="1">
      <c r="A51" s="19">
        <v>48</v>
      </c>
      <c r="B51" s="275" t="s">
        <v>146</v>
      </c>
      <c r="C51" s="192" t="s">
        <v>264</v>
      </c>
      <c r="D51" s="192" t="s">
        <v>260</v>
      </c>
      <c r="E51" s="46">
        <v>600</v>
      </c>
      <c r="F51" s="46">
        <v>96.23</v>
      </c>
      <c r="G51" s="46">
        <f t="shared" si="0"/>
        <v>57738</v>
      </c>
      <c r="H51" s="46">
        <v>0</v>
      </c>
      <c r="I51" s="46">
        <v>0</v>
      </c>
      <c r="J51" s="46">
        <f t="shared" si="1"/>
        <v>0</v>
      </c>
      <c r="K51" s="46">
        <f t="shared" si="2"/>
        <v>57738</v>
      </c>
      <c r="L51" s="46"/>
      <c r="M51" s="46">
        <f t="shared" si="3"/>
        <v>192057.66827999984</v>
      </c>
      <c r="N51" s="46"/>
      <c r="O51" s="46"/>
    </row>
    <row r="52" spans="1:15" hidden="1">
      <c r="A52" s="19">
        <v>49</v>
      </c>
      <c r="B52" s="275" t="s">
        <v>154</v>
      </c>
      <c r="C52" s="192" t="s">
        <v>272</v>
      </c>
      <c r="D52" s="364" t="s">
        <v>268</v>
      </c>
      <c r="E52" s="46">
        <v>24983.52</v>
      </c>
      <c r="F52" s="46">
        <v>91.14</v>
      </c>
      <c r="G52" s="46">
        <f t="shared" si="0"/>
        <v>2276998.0128000001</v>
      </c>
      <c r="H52" s="46">
        <v>797.79</v>
      </c>
      <c r="I52" s="46">
        <v>104.6</v>
      </c>
      <c r="J52" s="46">
        <f t="shared" si="1"/>
        <v>83448.833999999988</v>
      </c>
      <c r="K52" s="46">
        <f t="shared" si="2"/>
        <v>2360446.8467999999</v>
      </c>
      <c r="L52" s="46">
        <v>2500000</v>
      </c>
      <c r="M52" s="46">
        <f t="shared" si="3"/>
        <v>331610.82147999993</v>
      </c>
      <c r="N52" s="46"/>
      <c r="O52" s="46"/>
    </row>
    <row r="53" spans="1:15" hidden="1">
      <c r="A53" s="19">
        <v>50</v>
      </c>
      <c r="B53" s="275" t="s">
        <v>154</v>
      </c>
      <c r="C53" s="383" t="s">
        <v>273</v>
      </c>
      <c r="D53" s="120" t="s">
        <v>274</v>
      </c>
      <c r="E53" s="301">
        <v>15557</v>
      </c>
      <c r="F53" s="46">
        <v>96.42</v>
      </c>
      <c r="G53" s="46">
        <f t="shared" si="0"/>
        <v>1500005.94</v>
      </c>
      <c r="H53" s="46">
        <v>0</v>
      </c>
      <c r="I53" s="46">
        <v>0</v>
      </c>
      <c r="J53" s="46">
        <f t="shared" si="1"/>
        <v>0</v>
      </c>
      <c r="K53" s="46">
        <f t="shared" si="2"/>
        <v>1500005.94</v>
      </c>
      <c r="L53" s="46">
        <v>1500000</v>
      </c>
      <c r="M53" s="46">
        <f t="shared" si="3"/>
        <v>331604.88147999998</v>
      </c>
      <c r="N53" s="46"/>
      <c r="O53" s="46"/>
    </row>
    <row r="54" spans="1:15" hidden="1">
      <c r="A54" s="19">
        <v>51</v>
      </c>
      <c r="B54" s="275" t="s">
        <v>154</v>
      </c>
      <c r="C54" s="192" t="s">
        <v>262</v>
      </c>
      <c r="D54" s="192" t="s">
        <v>245</v>
      </c>
      <c r="E54" s="46">
        <v>33.01</v>
      </c>
      <c r="F54" s="46">
        <v>90.88</v>
      </c>
      <c r="G54" s="46">
        <f t="shared" si="0"/>
        <v>2999.9487999999997</v>
      </c>
      <c r="H54" s="46">
        <v>0</v>
      </c>
      <c r="I54" s="46">
        <v>0</v>
      </c>
      <c r="J54" s="46">
        <f t="shared" si="1"/>
        <v>0</v>
      </c>
      <c r="K54" s="46">
        <f t="shared" si="2"/>
        <v>2999.9487999999997</v>
      </c>
      <c r="L54" s="46"/>
      <c r="M54" s="46">
        <f t="shared" ref="M54:M58" si="4">M53+L54-K54</f>
        <v>328604.93267999997</v>
      </c>
      <c r="N54" s="19"/>
      <c r="O54" s="19"/>
    </row>
    <row r="55" spans="1:15" hidden="1">
      <c r="A55" s="19">
        <v>52</v>
      </c>
      <c r="B55" s="275" t="s">
        <v>147</v>
      </c>
      <c r="C55" s="192" t="s">
        <v>264</v>
      </c>
      <c r="D55" s="192" t="s">
        <v>260</v>
      </c>
      <c r="E55" s="46">
        <v>600</v>
      </c>
      <c r="F55" s="46">
        <v>96.23</v>
      </c>
      <c r="G55" s="46">
        <f t="shared" si="0"/>
        <v>57738</v>
      </c>
      <c r="H55" s="46">
        <v>0</v>
      </c>
      <c r="I55" s="46">
        <v>0</v>
      </c>
      <c r="J55" s="46">
        <f t="shared" si="1"/>
        <v>0</v>
      </c>
      <c r="K55" s="46">
        <f t="shared" si="2"/>
        <v>57738</v>
      </c>
      <c r="L55" s="46"/>
      <c r="M55" s="46">
        <f t="shared" si="4"/>
        <v>270866.93267999997</v>
      </c>
      <c r="N55" s="19"/>
      <c r="O55" s="19"/>
    </row>
    <row r="56" spans="1:15" hidden="1">
      <c r="A56" s="19">
        <v>53</v>
      </c>
      <c r="B56" s="275" t="s">
        <v>155</v>
      </c>
      <c r="C56" s="192" t="s">
        <v>262</v>
      </c>
      <c r="D56" s="192" t="s">
        <v>245</v>
      </c>
      <c r="E56" s="46">
        <v>0</v>
      </c>
      <c r="F56" s="46">
        <v>0</v>
      </c>
      <c r="G56" s="46">
        <f t="shared" si="0"/>
        <v>0</v>
      </c>
      <c r="H56" s="46">
        <v>4.87</v>
      </c>
      <c r="I56" s="46">
        <v>102.77</v>
      </c>
      <c r="J56" s="46">
        <f t="shared" si="1"/>
        <v>500.48989999999998</v>
      </c>
      <c r="K56" s="46">
        <f t="shared" si="2"/>
        <v>500.48989999999998</v>
      </c>
      <c r="L56" s="46"/>
      <c r="M56" s="46">
        <f t="shared" si="4"/>
        <v>270366.44277999998</v>
      </c>
      <c r="N56" s="19"/>
      <c r="O56" s="19"/>
    </row>
    <row r="57" spans="1:15" hidden="1">
      <c r="A57" s="19">
        <v>54</v>
      </c>
      <c r="B57" s="275" t="s">
        <v>149</v>
      </c>
      <c r="C57" s="192" t="s">
        <v>261</v>
      </c>
      <c r="D57" s="192" t="s">
        <v>241</v>
      </c>
      <c r="E57" s="46">
        <v>0</v>
      </c>
      <c r="F57" s="46">
        <v>0</v>
      </c>
      <c r="G57" s="46">
        <f t="shared" si="0"/>
        <v>0</v>
      </c>
      <c r="H57" s="46">
        <v>4.37</v>
      </c>
      <c r="I57" s="46">
        <v>107.46</v>
      </c>
      <c r="J57" s="46">
        <f t="shared" si="1"/>
        <v>469.60019999999997</v>
      </c>
      <c r="K57" s="46">
        <f t="shared" si="2"/>
        <v>469.60019999999997</v>
      </c>
      <c r="L57" s="46"/>
      <c r="M57" s="46">
        <f t="shared" si="4"/>
        <v>269896.84258</v>
      </c>
      <c r="N57" s="19"/>
      <c r="O57" s="19"/>
    </row>
    <row r="58" spans="1:15" hidden="1">
      <c r="A58" s="19">
        <v>55</v>
      </c>
      <c r="B58" s="275" t="s">
        <v>149</v>
      </c>
      <c r="C58" s="192" t="s">
        <v>264</v>
      </c>
      <c r="D58" s="192" t="s">
        <v>275</v>
      </c>
      <c r="E58" s="46">
        <v>31.18</v>
      </c>
      <c r="F58" s="46">
        <v>96.23</v>
      </c>
      <c r="G58" s="46">
        <f t="shared" si="0"/>
        <v>3000.4513999999999</v>
      </c>
      <c r="H58" s="46">
        <v>0</v>
      </c>
      <c r="I58" s="46">
        <v>0</v>
      </c>
      <c r="J58" s="46">
        <f t="shared" si="1"/>
        <v>0</v>
      </c>
      <c r="K58" s="46">
        <f t="shared" si="2"/>
        <v>3000.4513999999999</v>
      </c>
      <c r="L58" s="46"/>
      <c r="M58" s="258">
        <f t="shared" si="4"/>
        <v>266896.39117999998</v>
      </c>
      <c r="N58" s="109"/>
      <c r="O58" s="109"/>
    </row>
    <row r="59" spans="1:15" hidden="1">
      <c r="A59" s="19">
        <v>56</v>
      </c>
      <c r="B59" s="275" t="s">
        <v>149</v>
      </c>
      <c r="C59" s="192" t="s">
        <v>264</v>
      </c>
      <c r="D59" s="192" t="s">
        <v>260</v>
      </c>
      <c r="E59" s="46">
        <v>600</v>
      </c>
      <c r="F59" s="46">
        <v>96.23</v>
      </c>
      <c r="G59" s="46">
        <f t="shared" si="0"/>
        <v>57738</v>
      </c>
      <c r="H59" s="46">
        <v>16</v>
      </c>
      <c r="I59" s="46">
        <v>108.03</v>
      </c>
      <c r="J59" s="46">
        <f t="shared" si="1"/>
        <v>1728.48</v>
      </c>
      <c r="K59" s="46">
        <f t="shared" si="2"/>
        <v>59466.48</v>
      </c>
      <c r="L59" s="46"/>
      <c r="M59" s="46">
        <f t="shared" ref="M59" si="5">M58+L59-K59</f>
        <v>207429.91117999997</v>
      </c>
      <c r="N59" s="19"/>
      <c r="O59" s="19"/>
    </row>
  </sheetData>
  <autoFilter ref="A1:O59" xr:uid="{E4D2B0F2-641D-4F53-BA0F-B63DE3F29F26}">
    <filterColumn colId="2">
      <filters>
        <filter val="SHAHAPUR PETROLEUM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37"/>
  <sheetViews>
    <sheetView workbookViewId="0">
      <selection activeCell="H38" sqref="H38"/>
    </sheetView>
  </sheetViews>
  <sheetFormatPr defaultRowHeight="15"/>
  <cols>
    <col min="2" max="2" width="11.5703125" customWidth="1"/>
    <col min="3" max="3" width="36.5703125" bestFit="1" customWidth="1"/>
    <col min="4" max="4" width="21.71093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42" t="s">
        <v>276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</row>
    <row r="2" spans="1:15">
      <c r="A2" s="77" t="s">
        <v>99</v>
      </c>
      <c r="B2" s="97" t="s">
        <v>100</v>
      </c>
      <c r="C2" s="97" t="s">
        <v>161</v>
      </c>
      <c r="D2" s="97" t="s">
        <v>163</v>
      </c>
      <c r="E2" s="97" t="s">
        <v>103</v>
      </c>
      <c r="F2" s="97" t="s">
        <v>104</v>
      </c>
      <c r="G2" s="105" t="s">
        <v>105</v>
      </c>
      <c r="H2" s="97" t="s">
        <v>106</v>
      </c>
      <c r="I2" s="97" t="s">
        <v>104</v>
      </c>
      <c r="J2" s="105" t="s">
        <v>105</v>
      </c>
      <c r="K2" s="77" t="s">
        <v>107</v>
      </c>
      <c r="L2" s="106" t="s">
        <v>164</v>
      </c>
      <c r="M2" s="99" t="s">
        <v>115</v>
      </c>
      <c r="N2" s="97" t="s">
        <v>110</v>
      </c>
      <c r="O2" s="97" t="s">
        <v>165</v>
      </c>
    </row>
    <row r="3" spans="1:15">
      <c r="A3" s="438" t="s">
        <v>111</v>
      </c>
      <c r="B3" s="438"/>
      <c r="C3" s="438"/>
      <c r="D3" s="438"/>
      <c r="E3" s="438"/>
      <c r="F3" s="438"/>
      <c r="G3" s="438"/>
      <c r="H3" s="438"/>
      <c r="I3" s="438"/>
      <c r="J3" s="438"/>
      <c r="K3" s="24">
        <v>2049.4227999998257</v>
      </c>
      <c r="L3" s="194"/>
      <c r="M3" s="276">
        <f>+K3</f>
        <v>2049.4227999998257</v>
      </c>
      <c r="N3" s="109"/>
      <c r="O3" s="109"/>
    </row>
    <row r="4" spans="1:15">
      <c r="A4" s="19">
        <v>1</v>
      </c>
      <c r="B4" s="19" t="s">
        <v>213</v>
      </c>
      <c r="C4" s="291">
        <v>0</v>
      </c>
      <c r="D4" s="277"/>
      <c r="E4" s="46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300">
        <f>G4+J4</f>
        <v>0</v>
      </c>
      <c r="L4" s="56">
        <v>200000</v>
      </c>
      <c r="M4" s="301">
        <f>M3+L4-K4</f>
        <v>202049.42279999983</v>
      </c>
      <c r="N4" s="19"/>
      <c r="O4" s="19"/>
    </row>
    <row r="5" spans="1:15">
      <c r="A5" s="19">
        <v>2</v>
      </c>
      <c r="B5" s="19" t="s">
        <v>134</v>
      </c>
      <c r="C5" s="19" t="s">
        <v>277</v>
      </c>
      <c r="D5" s="369" t="s">
        <v>278</v>
      </c>
      <c r="E5" s="46">
        <v>2185.8000000000002</v>
      </c>
      <c r="F5" s="46">
        <v>91.5</v>
      </c>
      <c r="G5" s="46">
        <f t="shared" ref="G5:G32" si="0">E5*F5</f>
        <v>200000.7</v>
      </c>
      <c r="H5" s="46"/>
      <c r="I5" s="46"/>
      <c r="J5" s="46">
        <f>H5*I5</f>
        <v>0</v>
      </c>
      <c r="K5" s="300">
        <f>G5+J5</f>
        <v>200000.7</v>
      </c>
      <c r="L5" s="56"/>
      <c r="M5" s="301">
        <f t="shared" ref="M5:M32" si="1">M4+L5-K5</f>
        <v>2048.722799999814</v>
      </c>
      <c r="N5" s="19"/>
      <c r="O5" s="19"/>
    </row>
    <row r="6" spans="1:15">
      <c r="A6" s="19">
        <v>3</v>
      </c>
      <c r="B6" s="19" t="s">
        <v>135</v>
      </c>
      <c r="C6" s="19" t="s">
        <v>279</v>
      </c>
      <c r="D6" s="369" t="s">
        <v>280</v>
      </c>
      <c r="E6" s="46">
        <v>15677.25</v>
      </c>
      <c r="F6" s="46">
        <v>95.68</v>
      </c>
      <c r="G6" s="46">
        <f t="shared" si="0"/>
        <v>1499999.28</v>
      </c>
      <c r="H6" s="46"/>
      <c r="I6" s="46"/>
      <c r="J6" s="46"/>
      <c r="K6" s="300">
        <f t="shared" ref="K6:K32" si="2">G6+J6</f>
        <v>1499999.28</v>
      </c>
      <c r="L6" s="56">
        <v>3000000</v>
      </c>
      <c r="M6" s="301">
        <f t="shared" si="1"/>
        <v>1502049.4427999996</v>
      </c>
      <c r="N6" s="19"/>
      <c r="O6" s="19"/>
    </row>
    <row r="7" spans="1:15">
      <c r="A7" s="19">
        <v>4</v>
      </c>
      <c r="B7" s="19" t="s">
        <v>135</v>
      </c>
      <c r="C7" s="109" t="s">
        <v>279</v>
      </c>
      <c r="D7" s="370" t="s">
        <v>281</v>
      </c>
      <c r="E7" s="46">
        <v>5225.75</v>
      </c>
      <c r="F7" s="46">
        <v>95.68</v>
      </c>
      <c r="G7" s="46">
        <f t="shared" si="0"/>
        <v>499999.76</v>
      </c>
      <c r="H7" s="258"/>
      <c r="I7" s="258"/>
      <c r="J7" s="258"/>
      <c r="K7" s="293">
        <f t="shared" si="2"/>
        <v>499999.76</v>
      </c>
      <c r="L7" s="56"/>
      <c r="M7" s="302">
        <f t="shared" si="1"/>
        <v>1002049.6827999996</v>
      </c>
      <c r="N7" s="109"/>
      <c r="O7" s="109"/>
    </row>
    <row r="8" spans="1:15">
      <c r="A8" s="19">
        <v>5</v>
      </c>
      <c r="B8" s="19" t="s">
        <v>135</v>
      </c>
      <c r="C8" s="109" t="s">
        <v>282</v>
      </c>
      <c r="D8" s="370" t="s">
        <v>281</v>
      </c>
      <c r="E8" s="46">
        <v>10451.5</v>
      </c>
      <c r="F8" s="46">
        <v>95.68</v>
      </c>
      <c r="G8" s="46">
        <f t="shared" si="0"/>
        <v>999999.52</v>
      </c>
      <c r="H8" s="258"/>
      <c r="I8" s="258"/>
      <c r="J8" s="258"/>
      <c r="K8" s="293">
        <f t="shared" si="2"/>
        <v>999999.52</v>
      </c>
      <c r="L8" s="56"/>
      <c r="M8" s="302">
        <f t="shared" si="1"/>
        <v>2050.1627999995835</v>
      </c>
      <c r="N8" s="109"/>
      <c r="O8" s="109"/>
    </row>
    <row r="9" spans="1:15">
      <c r="A9" s="19">
        <v>6</v>
      </c>
      <c r="B9" s="109" t="s">
        <v>138</v>
      </c>
      <c r="C9" s="109" t="s">
        <v>282</v>
      </c>
      <c r="D9" s="369" t="s">
        <v>280</v>
      </c>
      <c r="E9" s="46">
        <v>10451.5</v>
      </c>
      <c r="F9" s="46">
        <v>95.68</v>
      </c>
      <c r="G9" s="46">
        <f t="shared" si="0"/>
        <v>999999.52</v>
      </c>
      <c r="H9" s="258"/>
      <c r="I9" s="258"/>
      <c r="J9" s="258"/>
      <c r="K9" s="293">
        <f t="shared" si="2"/>
        <v>999999.52</v>
      </c>
      <c r="L9" s="56">
        <v>1000000</v>
      </c>
      <c r="M9" s="302">
        <f t="shared" si="1"/>
        <v>2050.6427999995649</v>
      </c>
      <c r="N9" s="109"/>
      <c r="O9" s="109"/>
    </row>
    <row r="10" spans="1:15">
      <c r="A10" s="19">
        <v>7</v>
      </c>
      <c r="B10" s="109" t="s">
        <v>138</v>
      </c>
      <c r="C10" s="19" t="s">
        <v>283</v>
      </c>
      <c r="D10" s="369" t="s">
        <v>278</v>
      </c>
      <c r="E10" s="46">
        <v>3279.42</v>
      </c>
      <c r="F10" s="46">
        <v>91.48</v>
      </c>
      <c r="G10" s="46">
        <f t="shared" si="0"/>
        <v>300001.34160000004</v>
      </c>
      <c r="H10" s="258"/>
      <c r="I10" s="258"/>
      <c r="J10" s="258"/>
      <c r="K10" s="293">
        <f t="shared" si="2"/>
        <v>300001.34160000004</v>
      </c>
      <c r="L10" s="56">
        <v>300000</v>
      </c>
      <c r="M10" s="302">
        <f t="shared" si="1"/>
        <v>2049.3011999995215</v>
      </c>
      <c r="N10" s="109"/>
      <c r="O10" s="109"/>
    </row>
    <row r="11" spans="1:15">
      <c r="A11" s="19">
        <v>8</v>
      </c>
      <c r="B11" s="109" t="s">
        <v>140</v>
      </c>
      <c r="C11" s="19"/>
      <c r="D11" s="369" t="s">
        <v>284</v>
      </c>
      <c r="E11" s="46"/>
      <c r="F11" s="46"/>
      <c r="G11" s="46"/>
      <c r="H11" s="258"/>
      <c r="I11" s="258"/>
      <c r="J11" s="258"/>
      <c r="K11" s="293"/>
      <c r="L11" s="56">
        <v>400000</v>
      </c>
      <c r="M11" s="302">
        <f t="shared" si="1"/>
        <v>402049.30119999952</v>
      </c>
      <c r="N11" s="109"/>
      <c r="O11" s="109"/>
    </row>
    <row r="12" spans="1:15">
      <c r="A12" s="19">
        <v>9</v>
      </c>
      <c r="B12" s="109" t="s">
        <v>141</v>
      </c>
      <c r="C12" s="19" t="s">
        <v>277</v>
      </c>
      <c r="D12" s="369" t="s">
        <v>278</v>
      </c>
      <c r="E12" s="46">
        <v>2185.8000000000002</v>
      </c>
      <c r="F12" s="46">
        <v>91.5</v>
      </c>
      <c r="G12" s="46">
        <f t="shared" si="0"/>
        <v>200000.7</v>
      </c>
      <c r="H12" s="258"/>
      <c r="I12" s="258"/>
      <c r="J12" s="258"/>
      <c r="K12" s="293">
        <f t="shared" si="2"/>
        <v>200000.7</v>
      </c>
      <c r="L12" s="56"/>
      <c r="M12" s="302">
        <f t="shared" si="1"/>
        <v>202048.60119999951</v>
      </c>
      <c r="N12" s="109"/>
      <c r="O12" s="109"/>
    </row>
    <row r="13" spans="1:15">
      <c r="A13" s="19">
        <v>10</v>
      </c>
      <c r="B13" s="109" t="s">
        <v>142</v>
      </c>
      <c r="C13" s="19" t="s">
        <v>283</v>
      </c>
      <c r="D13" s="369" t="s">
        <v>278</v>
      </c>
      <c r="E13" s="46">
        <v>2186.2800000000002</v>
      </c>
      <c r="F13" s="46">
        <v>91.48</v>
      </c>
      <c r="G13" s="46">
        <f t="shared" si="0"/>
        <v>200000.89440000002</v>
      </c>
      <c r="H13" s="258"/>
      <c r="I13" s="258"/>
      <c r="J13" s="258"/>
      <c r="K13" s="293">
        <f t="shared" si="2"/>
        <v>200000.89440000002</v>
      </c>
      <c r="L13" s="56"/>
      <c r="M13" s="302">
        <f t="shared" si="1"/>
        <v>2047.7067999994906</v>
      </c>
      <c r="N13" s="109"/>
      <c r="O13" s="109"/>
    </row>
    <row r="14" spans="1:15">
      <c r="A14" s="19">
        <v>11</v>
      </c>
      <c r="B14" s="109" t="s">
        <v>145</v>
      </c>
      <c r="C14" s="109" t="s">
        <v>279</v>
      </c>
      <c r="D14" s="369" t="s">
        <v>280</v>
      </c>
      <c r="E14" s="46">
        <v>36580.25</v>
      </c>
      <c r="F14" s="46">
        <v>95.68</v>
      </c>
      <c r="G14" s="46">
        <v>3500000</v>
      </c>
      <c r="H14" s="258"/>
      <c r="I14" s="258"/>
      <c r="J14" s="258"/>
      <c r="K14" s="293">
        <f t="shared" si="2"/>
        <v>3500000</v>
      </c>
      <c r="L14" s="56">
        <v>7500000</v>
      </c>
      <c r="M14" s="302">
        <f t="shared" si="1"/>
        <v>4002047.7067999998</v>
      </c>
      <c r="N14" s="109"/>
      <c r="O14" s="109"/>
    </row>
    <row r="15" spans="1:15">
      <c r="A15" s="19">
        <v>12</v>
      </c>
      <c r="B15" s="109" t="s">
        <v>145</v>
      </c>
      <c r="C15" s="109" t="s">
        <v>279</v>
      </c>
      <c r="D15" s="370" t="s">
        <v>281</v>
      </c>
      <c r="E15" s="46">
        <v>36580.25</v>
      </c>
      <c r="F15" s="46">
        <v>95.68</v>
      </c>
      <c r="G15" s="46">
        <v>3500000</v>
      </c>
      <c r="H15" s="258"/>
      <c r="I15" s="258"/>
      <c r="J15" s="258"/>
      <c r="K15" s="293">
        <f t="shared" si="2"/>
        <v>3500000</v>
      </c>
      <c r="L15" s="56"/>
      <c r="M15" s="302">
        <f t="shared" si="1"/>
        <v>502047.70679999981</v>
      </c>
      <c r="N15" s="109"/>
      <c r="O15" s="109"/>
    </row>
    <row r="16" spans="1:15">
      <c r="A16" s="19">
        <v>13</v>
      </c>
      <c r="B16" s="109" t="s">
        <v>146</v>
      </c>
      <c r="C16" s="19" t="s">
        <v>277</v>
      </c>
      <c r="D16" s="369" t="s">
        <v>278</v>
      </c>
      <c r="E16" s="46">
        <v>5464.5</v>
      </c>
      <c r="F16" s="46">
        <v>91.5</v>
      </c>
      <c r="G16" s="46">
        <v>500000</v>
      </c>
      <c r="H16" s="258"/>
      <c r="I16" s="258"/>
      <c r="J16" s="258"/>
      <c r="K16" s="293">
        <f t="shared" si="2"/>
        <v>500000</v>
      </c>
      <c r="L16" s="56">
        <v>3000000</v>
      </c>
      <c r="M16" s="302">
        <f t="shared" si="1"/>
        <v>3002047.7067999998</v>
      </c>
      <c r="N16" s="109"/>
      <c r="O16" s="109"/>
    </row>
    <row r="17" spans="1:15">
      <c r="A17" s="19">
        <v>14</v>
      </c>
      <c r="B17" s="109" t="s">
        <v>154</v>
      </c>
      <c r="C17" s="19" t="s">
        <v>285</v>
      </c>
      <c r="D17" s="369" t="s">
        <v>286</v>
      </c>
      <c r="E17" s="46">
        <v>15603.9</v>
      </c>
      <c r="F17" s="46">
        <v>96.13</v>
      </c>
      <c r="G17" s="46">
        <v>1500000</v>
      </c>
      <c r="H17" s="258"/>
      <c r="I17" s="258"/>
      <c r="J17" s="258"/>
      <c r="K17" s="293">
        <f t="shared" si="2"/>
        <v>1500000</v>
      </c>
      <c r="L17" s="56"/>
      <c r="M17" s="302">
        <f t="shared" si="1"/>
        <v>1502047.7067999998</v>
      </c>
      <c r="N17" s="109"/>
      <c r="O17" s="109"/>
    </row>
    <row r="18" spans="1:15">
      <c r="A18" s="19">
        <v>15</v>
      </c>
      <c r="B18" s="109" t="s">
        <v>154</v>
      </c>
      <c r="C18" s="109" t="s">
        <v>282</v>
      </c>
      <c r="D18" s="369" t="s">
        <v>280</v>
      </c>
      <c r="E18" s="46">
        <v>15677.25</v>
      </c>
      <c r="F18" s="46">
        <v>95.68</v>
      </c>
      <c r="G18" s="46">
        <v>1500000</v>
      </c>
      <c r="H18" s="258"/>
      <c r="I18" s="258"/>
      <c r="J18" s="258"/>
      <c r="K18" s="293">
        <f t="shared" si="2"/>
        <v>1500000</v>
      </c>
      <c r="L18" s="56"/>
      <c r="M18" s="302">
        <f t="shared" si="1"/>
        <v>2047.7067999998108</v>
      </c>
      <c r="N18" s="109"/>
      <c r="O18" s="109"/>
    </row>
    <row r="19" spans="1:15">
      <c r="A19" s="19">
        <v>16</v>
      </c>
      <c r="B19" s="109" t="s">
        <v>147</v>
      </c>
      <c r="C19" s="109"/>
      <c r="D19" s="369"/>
      <c r="E19" s="46"/>
      <c r="F19" s="46"/>
      <c r="G19" s="46"/>
      <c r="H19" s="258"/>
      <c r="I19" s="258"/>
      <c r="J19" s="258"/>
      <c r="K19" s="293"/>
      <c r="L19" s="56">
        <v>300000</v>
      </c>
      <c r="M19" s="302">
        <f t="shared" si="1"/>
        <v>302047.70679999981</v>
      </c>
      <c r="N19" s="109"/>
      <c r="O19" s="109"/>
    </row>
    <row r="20" spans="1:15">
      <c r="A20" s="19">
        <v>17</v>
      </c>
      <c r="B20" s="109" t="s">
        <v>155</v>
      </c>
      <c r="C20" s="19" t="s">
        <v>277</v>
      </c>
      <c r="D20" s="369" t="s">
        <v>278</v>
      </c>
      <c r="E20" s="46">
        <v>1487.99</v>
      </c>
      <c r="F20" s="46">
        <v>91.5</v>
      </c>
      <c r="G20" s="46">
        <v>136150</v>
      </c>
      <c r="H20" s="258"/>
      <c r="I20" s="258"/>
      <c r="J20" s="258"/>
      <c r="K20" s="293">
        <f t="shared" si="2"/>
        <v>136150</v>
      </c>
      <c r="L20" s="56">
        <v>0</v>
      </c>
      <c r="M20" s="302">
        <f>M19+L20-K20</f>
        <v>165897.70679999981</v>
      </c>
      <c r="N20" s="109"/>
      <c r="O20" s="109"/>
    </row>
    <row r="21" spans="1:15">
      <c r="A21" s="19"/>
      <c r="B21" s="109"/>
      <c r="C21" s="19"/>
      <c r="D21" s="369"/>
      <c r="E21" s="46"/>
      <c r="F21" s="46"/>
      <c r="G21" s="46"/>
      <c r="H21" s="258"/>
      <c r="I21" s="258"/>
      <c r="J21" s="258"/>
      <c r="K21" s="293"/>
      <c r="L21" s="56"/>
      <c r="M21" s="302"/>
      <c r="N21" s="109"/>
      <c r="O21" s="109"/>
    </row>
    <row r="22" spans="1:15">
      <c r="A22" s="19"/>
      <c r="B22" s="109"/>
      <c r="C22" s="19"/>
      <c r="D22" s="369"/>
      <c r="E22" s="46"/>
      <c r="F22" s="46"/>
      <c r="G22" s="46"/>
      <c r="H22" s="258"/>
      <c r="I22" s="258"/>
      <c r="J22" s="258"/>
      <c r="K22" s="293"/>
      <c r="L22" s="56"/>
      <c r="M22" s="302"/>
      <c r="N22" s="109"/>
      <c r="O22" s="109"/>
    </row>
    <row r="23" spans="1:15">
      <c r="A23" s="19"/>
      <c r="B23" s="109"/>
      <c r="C23" s="19"/>
      <c r="D23" s="369"/>
      <c r="E23" s="46"/>
      <c r="F23" s="46"/>
      <c r="G23" s="46"/>
      <c r="H23" s="258"/>
      <c r="I23" s="258"/>
      <c r="J23" s="258"/>
      <c r="K23" s="293"/>
      <c r="L23" s="56"/>
      <c r="M23" s="302"/>
      <c r="N23" s="109"/>
      <c r="O23" s="109"/>
    </row>
    <row r="24" spans="1:15">
      <c r="A24" s="19"/>
      <c r="B24" s="109"/>
      <c r="C24" s="19"/>
      <c r="D24" s="369"/>
      <c r="E24" s="46"/>
      <c r="F24" s="46"/>
      <c r="G24" s="46"/>
      <c r="H24" s="258"/>
      <c r="I24" s="258"/>
      <c r="J24" s="258"/>
      <c r="K24" s="293"/>
      <c r="L24" s="56"/>
      <c r="M24" s="302"/>
      <c r="N24" s="109"/>
      <c r="O24" s="109"/>
    </row>
    <row r="25" spans="1:15">
      <c r="A25" s="19">
        <v>18</v>
      </c>
      <c r="B25" s="109" t="s">
        <v>287</v>
      </c>
      <c r="C25" s="19" t="s">
        <v>285</v>
      </c>
      <c r="D25" s="369" t="s">
        <v>286</v>
      </c>
      <c r="E25" s="46">
        <v>3450.54</v>
      </c>
      <c r="F25" s="46">
        <v>96.13</v>
      </c>
      <c r="G25" s="46">
        <v>331700</v>
      </c>
      <c r="H25" s="258"/>
      <c r="I25" s="258"/>
      <c r="J25" s="258"/>
      <c r="K25" s="293">
        <f t="shared" si="2"/>
        <v>331700</v>
      </c>
      <c r="L25" s="56">
        <v>200000</v>
      </c>
      <c r="M25" s="302">
        <f>M20+L25-K25</f>
        <v>34197.706799999811</v>
      </c>
      <c r="N25" s="109"/>
      <c r="O25" s="109"/>
    </row>
    <row r="26" spans="1:15">
      <c r="A26" s="19">
        <v>19</v>
      </c>
      <c r="B26" s="109" t="s">
        <v>288</v>
      </c>
      <c r="C26" s="109" t="s">
        <v>282</v>
      </c>
      <c r="D26" s="369" t="s">
        <v>280</v>
      </c>
      <c r="E26" s="46">
        <v>24051.21</v>
      </c>
      <c r="F26" s="46">
        <v>96.68</v>
      </c>
      <c r="G26" s="258">
        <v>2301220.4</v>
      </c>
      <c r="H26" s="258"/>
      <c r="I26" s="258"/>
      <c r="J26" s="258"/>
      <c r="K26" s="293">
        <f t="shared" si="2"/>
        <v>2301220.4</v>
      </c>
      <c r="L26" s="194">
        <v>14000000</v>
      </c>
      <c r="M26" s="302">
        <f>M25+L26-K26</f>
        <v>11732977.306799999</v>
      </c>
      <c r="N26" s="109"/>
      <c r="O26" s="109"/>
    </row>
    <row r="27" spans="1:15">
      <c r="A27" s="19">
        <v>20</v>
      </c>
      <c r="B27" s="109" t="s">
        <v>288</v>
      </c>
      <c r="C27" s="109" t="s">
        <v>279</v>
      </c>
      <c r="D27" s="370" t="s">
        <v>281</v>
      </c>
      <c r="E27" s="46">
        <v>104515</v>
      </c>
      <c r="F27" s="46">
        <v>96.68</v>
      </c>
      <c r="G27" s="258">
        <v>10000000</v>
      </c>
      <c r="H27" s="258"/>
      <c r="I27" s="258"/>
      <c r="J27" s="258"/>
      <c r="K27" s="293">
        <f t="shared" si="2"/>
        <v>10000000</v>
      </c>
      <c r="L27" s="194"/>
      <c r="M27" s="302">
        <f>M26+L27-K27</f>
        <v>1732977.3067999985</v>
      </c>
      <c r="N27" s="109"/>
      <c r="O27" s="109"/>
    </row>
    <row r="28" spans="1:15">
      <c r="A28" s="19">
        <v>21</v>
      </c>
      <c r="B28" s="109" t="s">
        <v>288</v>
      </c>
      <c r="C28" s="109" t="s">
        <v>279</v>
      </c>
      <c r="D28" s="369" t="s">
        <v>280</v>
      </c>
      <c r="E28" s="46">
        <v>384.43</v>
      </c>
      <c r="F28" s="46">
        <v>96.68</v>
      </c>
      <c r="G28" s="258">
        <v>36782</v>
      </c>
      <c r="H28" s="258"/>
      <c r="I28" s="258"/>
      <c r="J28" s="258"/>
      <c r="K28" s="293">
        <f t="shared" si="2"/>
        <v>36782</v>
      </c>
      <c r="L28" s="194"/>
      <c r="M28" s="302">
        <f t="shared" si="1"/>
        <v>1696195.3067999985</v>
      </c>
      <c r="N28" s="109"/>
      <c r="O28" s="109"/>
    </row>
    <row r="29" spans="1:15">
      <c r="A29" s="19">
        <v>22</v>
      </c>
      <c r="B29" s="109" t="s">
        <v>288</v>
      </c>
      <c r="C29" s="19" t="s">
        <v>283</v>
      </c>
      <c r="D29" s="369" t="s">
        <v>278</v>
      </c>
      <c r="E29" s="46">
        <v>17723.38</v>
      </c>
      <c r="F29" s="46">
        <v>96.48</v>
      </c>
      <c r="G29" s="258">
        <v>1621328</v>
      </c>
      <c r="H29" s="258"/>
      <c r="I29" s="258"/>
      <c r="J29" s="258"/>
      <c r="K29" s="293">
        <f t="shared" si="2"/>
        <v>1621328</v>
      </c>
      <c r="L29" s="194">
        <v>0</v>
      </c>
      <c r="M29" s="302">
        <f t="shared" si="1"/>
        <v>74867.306799998507</v>
      </c>
      <c r="N29" s="109"/>
      <c r="O29" s="109"/>
    </row>
    <row r="30" spans="1:15">
      <c r="A30" s="19">
        <v>23</v>
      </c>
      <c r="B30" s="109"/>
      <c r="C30" s="19"/>
      <c r="D30" s="369"/>
      <c r="E30" s="46"/>
      <c r="F30" s="300"/>
      <c r="G30" s="258"/>
      <c r="H30" s="258"/>
      <c r="I30" s="258"/>
      <c r="J30" s="258"/>
      <c r="K30" s="293"/>
      <c r="L30" s="194"/>
      <c r="M30" s="302">
        <f t="shared" si="1"/>
        <v>74867.306799998507</v>
      </c>
      <c r="N30" s="109"/>
      <c r="O30" s="109"/>
    </row>
    <row r="31" spans="1:15">
      <c r="A31" s="19">
        <v>24</v>
      </c>
      <c r="B31" s="109"/>
      <c r="C31" s="19"/>
      <c r="D31" s="369"/>
      <c r="E31" s="46"/>
      <c r="F31" s="300"/>
      <c r="G31" s="258"/>
      <c r="H31" s="258"/>
      <c r="I31" s="258"/>
      <c r="J31" s="258"/>
      <c r="K31" s="293"/>
      <c r="L31" s="194"/>
      <c r="M31" s="302">
        <f t="shared" si="1"/>
        <v>74867.306799998507</v>
      </c>
      <c r="N31" s="109"/>
      <c r="O31" s="109"/>
    </row>
    <row r="32" spans="1:15">
      <c r="A32" s="19">
        <v>25</v>
      </c>
      <c r="B32" s="19"/>
      <c r="C32" s="19"/>
      <c r="D32" s="277"/>
      <c r="E32" s="46">
        <v>0</v>
      </c>
      <c r="F32" s="300">
        <v>0</v>
      </c>
      <c r="G32" s="46">
        <f t="shared" si="0"/>
        <v>0</v>
      </c>
      <c r="H32" s="46"/>
      <c r="I32" s="46"/>
      <c r="J32" s="46"/>
      <c r="K32" s="46">
        <f t="shared" si="2"/>
        <v>0</v>
      </c>
      <c r="L32" s="56"/>
      <c r="M32" s="302">
        <f t="shared" si="1"/>
        <v>74867.306799998507</v>
      </c>
      <c r="N32" s="19"/>
      <c r="O32" s="19"/>
    </row>
    <row r="33" spans="4:13">
      <c r="D33" s="371"/>
      <c r="E33" s="24"/>
      <c r="F33" s="24"/>
      <c r="G33" s="24"/>
      <c r="H33" s="24"/>
      <c r="I33" s="24"/>
      <c r="J33" s="24"/>
      <c r="K33" s="24"/>
      <c r="L33" s="65"/>
      <c r="M33" s="24"/>
    </row>
    <row r="37" spans="4:13">
      <c r="I37" s="288"/>
    </row>
  </sheetData>
  <mergeCells count="2">
    <mergeCell ref="A1:O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2026-10-07T04:42:14Z</dcterms:modified>
  <cp:category/>
  <cp:contentStatus/>
</cp:coreProperties>
</file>