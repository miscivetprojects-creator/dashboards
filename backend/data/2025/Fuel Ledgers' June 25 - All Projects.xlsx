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comments3.xml" ContentType="application/vnd.openxmlformats-officedocument.spreadsheetml.comments+xml"/>
  <Override PartName="/xl/threadedComments/threadedComment2.xml" ContentType="application/vnd.ms-excel.threadedcomments+xml"/>
  <Override PartName="/xl/comments4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 filterPrivacy="1"/>
  <xr:revisionPtr revIDLastSave="34264" documentId="13_ncr:1_{8AE36FE3-86F3-4CF6-9A97-12266062BE40}" xr6:coauthVersionLast="47" xr6:coauthVersionMax="47" xr10:uidLastSave="{8C8022E0-ACC9-49A2-945B-8D15640A147D}"/>
  <bookViews>
    <workbookView xWindow="-120" yWindow="-120" windowWidth="24240" windowHeight="13020" firstSheet="13" activeTab="38" xr2:uid="{00000000-000D-0000-FFFF-FFFF00000000}"/>
  </bookViews>
  <sheets>
    <sheet name="Sheet1" sheetId="55" state="hidden" r:id="rId1"/>
    <sheet name="June-25" sheetId="56" r:id="rId2"/>
    <sheet name="Khammam-1" sheetId="6" r:id="rId3"/>
    <sheet name="Khammam-2" sheetId="50" r:id="rId4"/>
    <sheet name="Khammam-3" sheetId="47" r:id="rId5"/>
    <sheet name="Jedcherla -1" sheetId="18" r:id="rId6"/>
    <sheet name="Jedcherla-2" sheetId="39" r:id="rId7"/>
    <sheet name="Jedcharla-3" sheetId="54" r:id="rId8"/>
    <sheet name="Sangareddy" sheetId="32" r:id="rId9"/>
    <sheet name="Dindi" sheetId="58" r:id="rId10"/>
    <sheet name="Devarakhadra" sheetId="59" r:id="rId11"/>
    <sheet name="YG Gudda " sheetId="2" r:id="rId12"/>
    <sheet name="Hosadurga" sheetId="1" r:id="rId13"/>
    <sheet name="Hosadurga -2" sheetId="52" r:id="rId14"/>
    <sheet name="Kadur" sheetId="7" r:id="rId15"/>
    <sheet name="Hiriyur(VJNL)" sheetId="3" r:id="rId16"/>
    <sheet name="Chellakere (KUWSDB)" sheetId="20" r:id="rId17"/>
    <sheet name="Malebenur(KUWSDB)" sheetId="16" r:id="rId18"/>
    <sheet name="Haveri" sheetId="15" r:id="rId19"/>
    <sheet name="Guttal" sheetId="36" r:id="rId20"/>
    <sheet name="Rattihali" sheetId="37" r:id="rId21"/>
    <sheet name="Gajendragada" sheetId="12" r:id="rId22"/>
    <sheet name=" Talikote" sheetId="26" r:id="rId23"/>
    <sheet name="Chadchan" sheetId="9" r:id="rId24"/>
    <sheet name="Sindagi" sheetId="33" r:id="rId25"/>
    <sheet name="Muddebihal" sheetId="34" r:id="rId26"/>
    <sheet name="Alemela" sheetId="35" r:id="rId27"/>
    <sheet name="Nalatwad" sheetId="51" r:id="rId28"/>
    <sheet name="Khanapur" sheetId="24" r:id="rId29"/>
    <sheet name="Munavalli(KUWSDB)" sheetId="23" r:id="rId30"/>
    <sheet name="Ghattaprabha" sheetId="8" r:id="rId31"/>
    <sheet name="Gokak Dharwad PKG 3" sheetId="41" r:id="rId32"/>
    <sheet name=" Shankeshwar" sheetId="57" r:id="rId33"/>
    <sheet name="kumta" sheetId="25" r:id="rId34"/>
    <sheet name="Borgaon" sheetId="10" r:id="rId35"/>
    <sheet name="Ugar,Khagwad,Kudichi" sheetId="11" r:id="rId36"/>
    <sheet name="Kabbur" sheetId="40" r:id="rId37"/>
    <sheet name="Jalgaon" sheetId="22" r:id="rId38"/>
    <sheet name="MKBD" sheetId="14" r:id="rId39"/>
    <sheet name="Srirangapatna" sheetId="19" r:id="rId40"/>
    <sheet name="IOCL MARCH 25" sheetId="43" r:id="rId41"/>
    <sheet name="BPCL March 25" sheetId="44" r:id="rId42"/>
    <sheet name=" HPCL March 2025" sheetId="45" r:id="rId43"/>
  </sheets>
  <definedNames>
    <definedName name="_xlnm.Print_Area" localSheetId="12">Hosadurga!$A$2:$N$39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6" i="14" l="1"/>
  <c r="L32" i="1"/>
  <c r="M4" i="26"/>
  <c r="P34" i="12"/>
  <c r="E36" i="18"/>
  <c r="M5" i="18"/>
  <c r="M6" i="18"/>
  <c r="M7" i="18"/>
  <c r="M8" i="18"/>
  <c r="M9" i="18"/>
  <c r="M10" i="18"/>
  <c r="M11" i="18"/>
  <c r="M12" i="18"/>
  <c r="S15" i="18"/>
  <c r="S14" i="18"/>
  <c r="H38" i="41"/>
  <c r="K31" i="51"/>
  <c r="Q21" i="54"/>
  <c r="Q31" i="54"/>
  <c r="P31" i="54"/>
  <c r="E36" i="14"/>
  <c r="E35" i="59"/>
  <c r="J22" i="26"/>
  <c r="K22" i="26"/>
  <c r="H36" i="2"/>
  <c r="G25" i="52"/>
  <c r="G26" i="52"/>
  <c r="G27" i="52"/>
  <c r="G28" i="52"/>
  <c r="G29" i="52"/>
  <c r="G30" i="52"/>
  <c r="G31" i="52"/>
  <c r="M10" i="45"/>
  <c r="G27" i="59"/>
  <c r="J25" i="40"/>
  <c r="J26" i="40"/>
  <c r="J27" i="40"/>
  <c r="J28" i="40"/>
  <c r="J29" i="40"/>
  <c r="J27" i="24"/>
  <c r="J28" i="24"/>
  <c r="J23" i="40"/>
  <c r="J24" i="40"/>
  <c r="M35" i="44"/>
  <c r="M36" i="44"/>
  <c r="M37" i="44"/>
  <c r="G24" i="52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J11" i="40"/>
  <c r="J12" i="40"/>
  <c r="J13" i="40"/>
  <c r="J14" i="40"/>
  <c r="J15" i="40"/>
  <c r="J16" i="40"/>
  <c r="J17" i="40"/>
  <c r="J18" i="40"/>
  <c r="J19" i="40"/>
  <c r="J20" i="40"/>
  <c r="J21" i="40"/>
  <c r="J22" i="40"/>
  <c r="G35" i="44"/>
  <c r="Q20" i="33"/>
  <c r="K18" i="33"/>
  <c r="M5" i="33"/>
  <c r="M6" i="33"/>
  <c r="M7" i="33"/>
  <c r="M8" i="33"/>
  <c r="M9" i="33"/>
  <c r="M4" i="33"/>
  <c r="M4" i="9"/>
  <c r="P11" i="33"/>
  <c r="I10" i="56"/>
  <c r="G10" i="56"/>
  <c r="F10" i="56"/>
  <c r="M5" i="59"/>
  <c r="M6" i="59"/>
  <c r="M7" i="59"/>
  <c r="M8" i="59"/>
  <c r="M9" i="59"/>
  <c r="M10" i="59"/>
  <c r="M11" i="59"/>
  <c r="M12" i="59"/>
  <c r="M13" i="59"/>
  <c r="M14" i="59"/>
  <c r="M15" i="59"/>
  <c r="M16" i="59"/>
  <c r="M17" i="59"/>
  <c r="M18" i="59"/>
  <c r="M4" i="59"/>
  <c r="G5" i="59"/>
  <c r="G6" i="59"/>
  <c r="G7" i="59"/>
  <c r="G8" i="59"/>
  <c r="G9" i="59"/>
  <c r="G10" i="59"/>
  <c r="G11" i="59"/>
  <c r="G12" i="59"/>
  <c r="G13" i="59"/>
  <c r="G14" i="59"/>
  <c r="G15" i="59"/>
  <c r="G16" i="59"/>
  <c r="G17" i="59"/>
  <c r="G18" i="59"/>
  <c r="G19" i="59"/>
  <c r="G20" i="59"/>
  <c r="G21" i="59"/>
  <c r="G22" i="59"/>
  <c r="G23" i="59"/>
  <c r="G24" i="59"/>
  <c r="G25" i="59"/>
  <c r="G26" i="59"/>
  <c r="G28" i="59"/>
  <c r="G29" i="59"/>
  <c r="G30" i="59"/>
  <c r="G31" i="59"/>
  <c r="G32" i="59"/>
  <c r="G33" i="59"/>
  <c r="G34" i="59"/>
  <c r="H35" i="59"/>
  <c r="D10" i="56"/>
  <c r="J34" i="59"/>
  <c r="K34" i="59"/>
  <c r="L34" i="59" s="1"/>
  <c r="J33" i="59"/>
  <c r="K33" i="59"/>
  <c r="J32" i="59"/>
  <c r="K32" i="59"/>
  <c r="L32" i="59" s="1"/>
  <c r="J31" i="59"/>
  <c r="K31" i="59"/>
  <c r="J30" i="59"/>
  <c r="K30" i="59"/>
  <c r="J29" i="59"/>
  <c r="K29" i="59"/>
  <c r="J28" i="59"/>
  <c r="K28" i="59"/>
  <c r="J27" i="59"/>
  <c r="K27" i="59"/>
  <c r="J26" i="59"/>
  <c r="K26" i="59"/>
  <c r="J25" i="59"/>
  <c r="K25" i="59"/>
  <c r="L25" i="59" s="1"/>
  <c r="J24" i="59"/>
  <c r="K24" i="59"/>
  <c r="J23" i="59"/>
  <c r="K23" i="59"/>
  <c r="J22" i="59"/>
  <c r="K22" i="59"/>
  <c r="J21" i="59"/>
  <c r="K21" i="59"/>
  <c r="J20" i="59"/>
  <c r="K20" i="59"/>
  <c r="L20" i="59" s="1"/>
  <c r="J19" i="59"/>
  <c r="K19" i="59"/>
  <c r="M19" i="59" s="1"/>
  <c r="M20" i="59" s="1"/>
  <c r="M21" i="59" s="1"/>
  <c r="M22" i="59" s="1"/>
  <c r="M23" i="59" s="1"/>
  <c r="M24" i="59" s="1"/>
  <c r="M25" i="59" s="1"/>
  <c r="M26" i="59" s="1"/>
  <c r="M27" i="59" s="1"/>
  <c r="M28" i="59" s="1"/>
  <c r="M29" i="59" s="1"/>
  <c r="M30" i="59" s="1"/>
  <c r="M31" i="59" s="1"/>
  <c r="M32" i="59" s="1"/>
  <c r="M33" i="59" s="1"/>
  <c r="M34" i="59" s="1"/>
  <c r="J18" i="59"/>
  <c r="K18" i="59"/>
  <c r="L18" i="59" s="1"/>
  <c r="J17" i="59"/>
  <c r="K17" i="59"/>
  <c r="L17" i="59" s="1"/>
  <c r="J16" i="59"/>
  <c r="K16" i="59"/>
  <c r="L16" i="59" s="1"/>
  <c r="J15" i="59"/>
  <c r="K15" i="59"/>
  <c r="L15" i="59" s="1"/>
  <c r="J14" i="59"/>
  <c r="K14" i="59"/>
  <c r="L14" i="59" s="1"/>
  <c r="J13" i="59"/>
  <c r="K13" i="59"/>
  <c r="L13" i="59" s="1"/>
  <c r="J12" i="59"/>
  <c r="K12" i="59"/>
  <c r="L12" i="59" s="1"/>
  <c r="J11" i="59"/>
  <c r="K11" i="59"/>
  <c r="L11" i="59" s="1"/>
  <c r="J10" i="59"/>
  <c r="K10" i="59"/>
  <c r="L10" i="59" s="1"/>
  <c r="J9" i="59"/>
  <c r="K9" i="59"/>
  <c r="L9" i="59" s="1"/>
  <c r="J8" i="59"/>
  <c r="K8" i="59"/>
  <c r="L8" i="59" s="1"/>
  <c r="J7" i="59"/>
  <c r="K7" i="59"/>
  <c r="L7" i="59" s="1"/>
  <c r="J6" i="59"/>
  <c r="K6" i="59"/>
  <c r="L6" i="59" s="1"/>
  <c r="J5" i="59"/>
  <c r="K5" i="59"/>
  <c r="L5" i="59" s="1"/>
  <c r="J4" i="59"/>
  <c r="J35" i="59" s="1"/>
  <c r="G4" i="59"/>
  <c r="K16" i="41"/>
  <c r="K20" i="41"/>
  <c r="J16" i="41"/>
  <c r="J8" i="41"/>
  <c r="J9" i="41"/>
  <c r="J10" i="41"/>
  <c r="J11" i="41"/>
  <c r="J12" i="41"/>
  <c r="J13" i="41"/>
  <c r="J14" i="41"/>
  <c r="J15" i="41"/>
  <c r="J18" i="41"/>
  <c r="K18" i="41" s="1"/>
  <c r="G18" i="41"/>
  <c r="M9" i="35"/>
  <c r="M8" i="35"/>
  <c r="M7" i="35"/>
  <c r="K16" i="12"/>
  <c r="J17" i="23"/>
  <c r="M16" i="51"/>
  <c r="M17" i="51"/>
  <c r="M18" i="51"/>
  <c r="G16" i="9"/>
  <c r="K15" i="19"/>
  <c r="G9" i="9"/>
  <c r="G10" i="9"/>
  <c r="G11" i="9"/>
  <c r="G12" i="9"/>
  <c r="G13" i="9"/>
  <c r="G14" i="9"/>
  <c r="G15" i="9"/>
  <c r="G12" i="2"/>
  <c r="J11" i="47"/>
  <c r="J12" i="47"/>
  <c r="J13" i="47"/>
  <c r="J14" i="47"/>
  <c r="J15" i="47"/>
  <c r="J16" i="47"/>
  <c r="J17" i="47"/>
  <c r="J18" i="47"/>
  <c r="J19" i="47"/>
  <c r="J20" i="47"/>
  <c r="J21" i="47"/>
  <c r="J22" i="47"/>
  <c r="J23" i="47"/>
  <c r="J24" i="47"/>
  <c r="J25" i="47"/>
  <c r="J26" i="47"/>
  <c r="J27" i="47"/>
  <c r="J28" i="47"/>
  <c r="J29" i="47"/>
  <c r="J30" i="47"/>
  <c r="J31" i="47"/>
  <c r="J32" i="47"/>
  <c r="J33" i="47"/>
  <c r="J34" i="47"/>
  <c r="L38" i="41"/>
  <c r="J7" i="40"/>
  <c r="J8" i="40"/>
  <c r="J9" i="40"/>
  <c r="J10" i="40"/>
  <c r="J6" i="40"/>
  <c r="G5" i="1"/>
  <c r="G6" i="1"/>
  <c r="G7" i="1"/>
  <c r="G8" i="1"/>
  <c r="G9" i="1"/>
  <c r="G10" i="1"/>
  <c r="G11" i="1"/>
  <c r="J10" i="47"/>
  <c r="K10" i="47"/>
  <c r="I38" i="56"/>
  <c r="I34" i="56"/>
  <c r="I33" i="56"/>
  <c r="I31" i="56"/>
  <c r="I30" i="56"/>
  <c r="I29" i="56"/>
  <c r="I26" i="56"/>
  <c r="I25" i="56"/>
  <c r="I24" i="56"/>
  <c r="I21" i="56"/>
  <c r="J20" i="56"/>
  <c r="I20" i="56"/>
  <c r="I19" i="56"/>
  <c r="L36" i="23"/>
  <c r="J19" i="56" s="1"/>
  <c r="H36" i="23"/>
  <c r="E36" i="23"/>
  <c r="I16" i="56"/>
  <c r="J15" i="56"/>
  <c r="I15" i="56"/>
  <c r="I14" i="56"/>
  <c r="I13" i="56"/>
  <c r="I12" i="56"/>
  <c r="E40" i="32"/>
  <c r="D8" i="56" s="1"/>
  <c r="J6" i="56"/>
  <c r="I6" i="56"/>
  <c r="I2" i="56"/>
  <c r="P10" i="18"/>
  <c r="G10" i="18"/>
  <c r="G11" i="18"/>
  <c r="G12" i="18"/>
  <c r="G13" i="18"/>
  <c r="G14" i="18"/>
  <c r="G15" i="18"/>
  <c r="G16" i="18"/>
  <c r="G17" i="18"/>
  <c r="G18" i="18"/>
  <c r="G19" i="18"/>
  <c r="G20" i="18"/>
  <c r="G21" i="18"/>
  <c r="G22" i="18"/>
  <c r="G23" i="18"/>
  <c r="G24" i="18"/>
  <c r="G25" i="18"/>
  <c r="G26" i="18"/>
  <c r="G27" i="18"/>
  <c r="G28" i="18"/>
  <c r="G29" i="18"/>
  <c r="G30" i="18"/>
  <c r="G31" i="18"/>
  <c r="G32" i="18"/>
  <c r="G33" i="18"/>
  <c r="G34" i="18"/>
  <c r="G8" i="18"/>
  <c r="G9" i="18"/>
  <c r="G35" i="18"/>
  <c r="M3" i="45"/>
  <c r="K7" i="45"/>
  <c r="K8" i="45"/>
  <c r="K5" i="45"/>
  <c r="K6" i="45"/>
  <c r="K4" i="45"/>
  <c r="M4" i="45" s="1"/>
  <c r="M5" i="45" s="1"/>
  <c r="M6" i="45" s="1"/>
  <c r="M7" i="45" s="1"/>
  <c r="M8" i="45" s="1"/>
  <c r="M9" i="45" s="1"/>
  <c r="G14" i="44"/>
  <c r="M9" i="22"/>
  <c r="K9" i="22"/>
  <c r="J9" i="22"/>
  <c r="G9" i="22"/>
  <c r="G7" i="23"/>
  <c r="J7" i="23"/>
  <c r="K7" i="23"/>
  <c r="G6" i="18"/>
  <c r="G7" i="18"/>
  <c r="G6" i="9"/>
  <c r="G7" i="9"/>
  <c r="G8" i="9"/>
  <c r="G5" i="44"/>
  <c r="J5" i="44"/>
  <c r="K5" i="44"/>
  <c r="G6" i="44"/>
  <c r="J6" i="44"/>
  <c r="K6" i="44"/>
  <c r="G7" i="44"/>
  <c r="J7" i="44"/>
  <c r="K7" i="44"/>
  <c r="G8" i="44"/>
  <c r="J8" i="44"/>
  <c r="K8" i="44"/>
  <c r="G9" i="44"/>
  <c r="J9" i="44"/>
  <c r="K9" i="44"/>
  <c r="G10" i="44"/>
  <c r="J10" i="44"/>
  <c r="K10" i="44"/>
  <c r="G11" i="44"/>
  <c r="J11" i="44"/>
  <c r="K11" i="44"/>
  <c r="G12" i="44"/>
  <c r="J12" i="44"/>
  <c r="K12" i="44"/>
  <c r="G13" i="44"/>
  <c r="J13" i="44"/>
  <c r="K13" i="44"/>
  <c r="J14" i="44"/>
  <c r="K14" i="44"/>
  <c r="G15" i="44"/>
  <c r="J15" i="44"/>
  <c r="K15" i="44"/>
  <c r="G16" i="44"/>
  <c r="J16" i="44"/>
  <c r="K16" i="44"/>
  <c r="G17" i="44"/>
  <c r="J17" i="44"/>
  <c r="K17" i="44"/>
  <c r="G18" i="44"/>
  <c r="J18" i="44"/>
  <c r="K18" i="44"/>
  <c r="G19" i="44"/>
  <c r="J19" i="44"/>
  <c r="K19" i="44"/>
  <c r="G20" i="44"/>
  <c r="J20" i="44"/>
  <c r="K20" i="44"/>
  <c r="G21" i="44"/>
  <c r="J21" i="44"/>
  <c r="K21" i="44"/>
  <c r="G22" i="44"/>
  <c r="J22" i="44"/>
  <c r="K22" i="44"/>
  <c r="G23" i="44"/>
  <c r="J23" i="44"/>
  <c r="K23" i="44"/>
  <c r="G24" i="44"/>
  <c r="J24" i="44"/>
  <c r="K24" i="44"/>
  <c r="G25" i="44"/>
  <c r="J25" i="44"/>
  <c r="K25" i="44"/>
  <c r="G26" i="44"/>
  <c r="J26" i="44"/>
  <c r="K26" i="44"/>
  <c r="G27" i="44"/>
  <c r="J27" i="44"/>
  <c r="K27" i="44"/>
  <c r="G28" i="44"/>
  <c r="J28" i="44"/>
  <c r="K28" i="44"/>
  <c r="G29" i="44"/>
  <c r="J29" i="44"/>
  <c r="K29" i="44"/>
  <c r="G30" i="44"/>
  <c r="J30" i="44"/>
  <c r="K30" i="44"/>
  <c r="G31" i="44"/>
  <c r="J31" i="44"/>
  <c r="K31" i="44"/>
  <c r="G32" i="44"/>
  <c r="J32" i="44"/>
  <c r="K32" i="44"/>
  <c r="G33" i="44"/>
  <c r="J33" i="44"/>
  <c r="K33" i="44"/>
  <c r="G34" i="44"/>
  <c r="J34" i="44"/>
  <c r="K34" i="44"/>
  <c r="J35" i="44"/>
  <c r="K35" i="44"/>
  <c r="G37" i="44"/>
  <c r="J37" i="44"/>
  <c r="K37" i="44"/>
  <c r="G38" i="44"/>
  <c r="J38" i="44"/>
  <c r="K38" i="44"/>
  <c r="M38" i="44" s="1"/>
  <c r="G39" i="44"/>
  <c r="J39" i="44"/>
  <c r="K39" i="44"/>
  <c r="G40" i="44"/>
  <c r="J40" i="44"/>
  <c r="K40" i="44"/>
  <c r="G41" i="44"/>
  <c r="J41" i="44"/>
  <c r="K41" i="44"/>
  <c r="G42" i="44"/>
  <c r="J42" i="44"/>
  <c r="K42" i="44"/>
  <c r="G43" i="44"/>
  <c r="J43" i="44"/>
  <c r="K43" i="44"/>
  <c r="G44" i="44"/>
  <c r="J44" i="44"/>
  <c r="K44" i="44"/>
  <c r="G45" i="44"/>
  <c r="J45" i="44"/>
  <c r="K45" i="44"/>
  <c r="G46" i="44"/>
  <c r="J46" i="44"/>
  <c r="K46" i="44"/>
  <c r="G47" i="44"/>
  <c r="J47" i="44"/>
  <c r="K47" i="44"/>
  <c r="G48" i="44"/>
  <c r="J48" i="44"/>
  <c r="K48" i="44"/>
  <c r="G49" i="44"/>
  <c r="J49" i="44"/>
  <c r="K49" i="44"/>
  <c r="G50" i="44"/>
  <c r="J50" i="44"/>
  <c r="K50" i="44"/>
  <c r="G51" i="44"/>
  <c r="J51" i="44"/>
  <c r="K51" i="44"/>
  <c r="G52" i="44"/>
  <c r="J52" i="44"/>
  <c r="K52" i="44"/>
  <c r="G53" i="44"/>
  <c r="J53" i="44"/>
  <c r="K53" i="44"/>
  <c r="G54" i="44"/>
  <c r="J54" i="44"/>
  <c r="K54" i="44"/>
  <c r="G55" i="44"/>
  <c r="J55" i="44"/>
  <c r="K55" i="44"/>
  <c r="G56" i="44"/>
  <c r="J56" i="44"/>
  <c r="K56" i="44"/>
  <c r="E4" i="47"/>
  <c r="J7" i="32"/>
  <c r="M6" i="32"/>
  <c r="K7" i="32"/>
  <c r="M7" i="32" s="1"/>
  <c r="G7" i="32"/>
  <c r="L6" i="57"/>
  <c r="M3" i="10"/>
  <c r="M4" i="10"/>
  <c r="M5" i="10"/>
  <c r="M6" i="10"/>
  <c r="G4" i="35"/>
  <c r="G5" i="9"/>
  <c r="G4" i="9"/>
  <c r="L5" i="57"/>
  <c r="L4" i="57"/>
  <c r="L8" i="36"/>
  <c r="L9" i="36"/>
  <c r="L11" i="36"/>
  <c r="L12" i="36"/>
  <c r="L15" i="36"/>
  <c r="L18" i="36"/>
  <c r="L19" i="36"/>
  <c r="L25" i="36"/>
  <c r="L26" i="36"/>
  <c r="L28" i="36"/>
  <c r="L29" i="36"/>
  <c r="L30" i="36"/>
  <c r="L5" i="36"/>
  <c r="G4" i="1"/>
  <c r="G5" i="18"/>
  <c r="G5" i="58"/>
  <c r="J5" i="58"/>
  <c r="G6" i="58"/>
  <c r="J6" i="58"/>
  <c r="G7" i="58"/>
  <c r="J7" i="58"/>
  <c r="G8" i="58"/>
  <c r="J8" i="58"/>
  <c r="G9" i="58"/>
  <c r="J9" i="58"/>
  <c r="G10" i="58"/>
  <c r="J10" i="58"/>
  <c r="G11" i="58"/>
  <c r="J11" i="58"/>
  <c r="G12" i="58"/>
  <c r="J12" i="58"/>
  <c r="G13" i="58"/>
  <c r="J13" i="58"/>
  <c r="G14" i="58"/>
  <c r="J14" i="58"/>
  <c r="G15" i="58"/>
  <c r="J15" i="58"/>
  <c r="G16" i="58"/>
  <c r="J16" i="58"/>
  <c r="G17" i="58"/>
  <c r="J17" i="58"/>
  <c r="G18" i="58"/>
  <c r="J18" i="58"/>
  <c r="G19" i="58"/>
  <c r="J19" i="58"/>
  <c r="G20" i="58"/>
  <c r="J20" i="58"/>
  <c r="G21" i="58"/>
  <c r="J21" i="58"/>
  <c r="G22" i="58"/>
  <c r="J22" i="58"/>
  <c r="G23" i="58"/>
  <c r="J23" i="58"/>
  <c r="G24" i="58"/>
  <c r="J24" i="58"/>
  <c r="G25" i="58"/>
  <c r="J25" i="58"/>
  <c r="G26" i="58"/>
  <c r="J26" i="58"/>
  <c r="G27" i="58"/>
  <c r="J27" i="58"/>
  <c r="G28" i="58"/>
  <c r="J28" i="58"/>
  <c r="G29" i="58"/>
  <c r="J29" i="58"/>
  <c r="G30" i="58"/>
  <c r="J30" i="58"/>
  <c r="G31" i="58"/>
  <c r="J31" i="58"/>
  <c r="G32" i="58"/>
  <c r="J32" i="58"/>
  <c r="G33" i="58"/>
  <c r="J33" i="58"/>
  <c r="G5" i="19"/>
  <c r="J5" i="19"/>
  <c r="K5" i="19"/>
  <c r="L5" i="19"/>
  <c r="G6" i="19"/>
  <c r="J6" i="19"/>
  <c r="K6" i="19"/>
  <c r="L6" i="19"/>
  <c r="G7" i="19"/>
  <c r="J7" i="19"/>
  <c r="K7" i="19"/>
  <c r="L7" i="19"/>
  <c r="G8" i="19"/>
  <c r="J8" i="19"/>
  <c r="K8" i="19"/>
  <c r="L8" i="19"/>
  <c r="G9" i="19"/>
  <c r="J9" i="19"/>
  <c r="K9" i="19"/>
  <c r="L9" i="19"/>
  <c r="G10" i="19"/>
  <c r="J10" i="19"/>
  <c r="K10" i="19"/>
  <c r="L10" i="19"/>
  <c r="G11" i="19"/>
  <c r="J11" i="19"/>
  <c r="K11" i="19"/>
  <c r="L11" i="19"/>
  <c r="G12" i="19"/>
  <c r="J12" i="19"/>
  <c r="K12" i="19"/>
  <c r="L12" i="19"/>
  <c r="G13" i="19"/>
  <c r="J13" i="19"/>
  <c r="K13" i="19"/>
  <c r="L13" i="19"/>
  <c r="G14" i="19"/>
  <c r="J14" i="19"/>
  <c r="K14" i="19"/>
  <c r="L14" i="19"/>
  <c r="G15" i="19"/>
  <c r="J15" i="19"/>
  <c r="L15" i="19"/>
  <c r="G16" i="19"/>
  <c r="J16" i="19"/>
  <c r="K16" i="19"/>
  <c r="L16" i="19"/>
  <c r="G17" i="19"/>
  <c r="J17" i="19"/>
  <c r="K17" i="19"/>
  <c r="L17" i="19"/>
  <c r="G18" i="19"/>
  <c r="J18" i="19"/>
  <c r="K18" i="19"/>
  <c r="L18" i="19"/>
  <c r="G19" i="19"/>
  <c r="J19" i="19"/>
  <c r="K19" i="19"/>
  <c r="L19" i="19"/>
  <c r="G20" i="19"/>
  <c r="J20" i="19"/>
  <c r="K20" i="19"/>
  <c r="L20" i="19"/>
  <c r="G21" i="19"/>
  <c r="J21" i="19"/>
  <c r="K21" i="19"/>
  <c r="L21" i="19"/>
  <c r="G22" i="19"/>
  <c r="J22" i="19"/>
  <c r="K22" i="19"/>
  <c r="L22" i="19"/>
  <c r="G23" i="19"/>
  <c r="J23" i="19"/>
  <c r="K23" i="19"/>
  <c r="L23" i="19"/>
  <c r="G24" i="19"/>
  <c r="J24" i="19"/>
  <c r="K24" i="19"/>
  <c r="L24" i="19"/>
  <c r="G25" i="19"/>
  <c r="J25" i="19"/>
  <c r="K25" i="19"/>
  <c r="L25" i="19"/>
  <c r="G26" i="19"/>
  <c r="J26" i="19"/>
  <c r="K26" i="19"/>
  <c r="L26" i="19"/>
  <c r="G27" i="19"/>
  <c r="J27" i="19"/>
  <c r="K27" i="19"/>
  <c r="L27" i="19"/>
  <c r="G28" i="19"/>
  <c r="J28" i="19"/>
  <c r="K28" i="19"/>
  <c r="L28" i="19"/>
  <c r="G29" i="19"/>
  <c r="J29" i="19"/>
  <c r="K29" i="19"/>
  <c r="L29" i="19"/>
  <c r="G30" i="19"/>
  <c r="J30" i="19"/>
  <c r="K30" i="19"/>
  <c r="L30" i="19"/>
  <c r="G31" i="19"/>
  <c r="J31" i="19"/>
  <c r="K31" i="19"/>
  <c r="L31" i="19"/>
  <c r="G32" i="19"/>
  <c r="J32" i="19"/>
  <c r="K32" i="19"/>
  <c r="L32" i="19"/>
  <c r="G33" i="19"/>
  <c r="J33" i="19"/>
  <c r="K33" i="19"/>
  <c r="L33" i="19"/>
  <c r="G34" i="19"/>
  <c r="J34" i="19"/>
  <c r="K34" i="19"/>
  <c r="L34" i="19"/>
  <c r="G5" i="51"/>
  <c r="J5" i="51"/>
  <c r="K5" i="51"/>
  <c r="G6" i="51"/>
  <c r="J6" i="51"/>
  <c r="K6" i="51"/>
  <c r="G7" i="51"/>
  <c r="J7" i="51"/>
  <c r="K7" i="51"/>
  <c r="G8" i="51"/>
  <c r="J8" i="51"/>
  <c r="K8" i="51"/>
  <c r="G9" i="51"/>
  <c r="J9" i="51"/>
  <c r="K9" i="51"/>
  <c r="G10" i="51"/>
  <c r="J10" i="51"/>
  <c r="K10" i="51"/>
  <c r="L10" i="51"/>
  <c r="G11" i="51"/>
  <c r="J11" i="51"/>
  <c r="K11" i="51"/>
  <c r="G12" i="51"/>
  <c r="J12" i="51"/>
  <c r="K12" i="51"/>
  <c r="G13" i="51"/>
  <c r="J13" i="51"/>
  <c r="K13" i="51"/>
  <c r="L13" i="51"/>
  <c r="G14" i="51"/>
  <c r="J14" i="51"/>
  <c r="K14" i="51"/>
  <c r="L14" i="51"/>
  <c r="G15" i="51"/>
  <c r="J15" i="51"/>
  <c r="K15" i="51"/>
  <c r="G16" i="51"/>
  <c r="J16" i="51"/>
  <c r="K16" i="51"/>
  <c r="G17" i="51"/>
  <c r="J17" i="51"/>
  <c r="K17" i="51"/>
  <c r="L17" i="51"/>
  <c r="G18" i="51"/>
  <c r="J18" i="51"/>
  <c r="K18" i="51"/>
  <c r="L18" i="51"/>
  <c r="G19" i="51"/>
  <c r="J19" i="51"/>
  <c r="K19" i="51"/>
  <c r="G20" i="51"/>
  <c r="J20" i="51"/>
  <c r="K20" i="51"/>
  <c r="G21" i="51"/>
  <c r="J21" i="51"/>
  <c r="K21" i="51"/>
  <c r="G22" i="51"/>
  <c r="J22" i="51"/>
  <c r="K22" i="51"/>
  <c r="L22" i="51"/>
  <c r="G23" i="51"/>
  <c r="J23" i="51"/>
  <c r="K23" i="51"/>
  <c r="L23" i="51"/>
  <c r="G24" i="51"/>
  <c r="J24" i="51"/>
  <c r="K24" i="51"/>
  <c r="L24" i="51"/>
  <c r="G25" i="51"/>
  <c r="J25" i="51"/>
  <c r="K25" i="51"/>
  <c r="L25" i="51"/>
  <c r="G26" i="51"/>
  <c r="J26" i="51"/>
  <c r="K26" i="51"/>
  <c r="G27" i="51"/>
  <c r="J27" i="51"/>
  <c r="K27" i="51"/>
  <c r="G28" i="51"/>
  <c r="J28" i="51"/>
  <c r="K28" i="51"/>
  <c r="G29" i="51"/>
  <c r="J29" i="51"/>
  <c r="K29" i="51"/>
  <c r="L29" i="51"/>
  <c r="G30" i="51"/>
  <c r="J30" i="51"/>
  <c r="K30" i="51"/>
  <c r="L30" i="51"/>
  <c r="G31" i="51"/>
  <c r="J31" i="51"/>
  <c r="G32" i="51"/>
  <c r="J32" i="51"/>
  <c r="K32" i="51"/>
  <c r="L32" i="51"/>
  <c r="G33" i="51"/>
  <c r="J33" i="51"/>
  <c r="K33" i="51"/>
  <c r="G5" i="35"/>
  <c r="J5" i="35"/>
  <c r="K5" i="35"/>
  <c r="L5" i="35"/>
  <c r="G6" i="35"/>
  <c r="J6" i="35"/>
  <c r="K6" i="35"/>
  <c r="L6" i="35"/>
  <c r="G7" i="35"/>
  <c r="J7" i="35"/>
  <c r="K7" i="35"/>
  <c r="L7" i="35"/>
  <c r="G8" i="35"/>
  <c r="J8" i="35"/>
  <c r="K8" i="35"/>
  <c r="G9" i="35"/>
  <c r="J9" i="35"/>
  <c r="K9" i="35"/>
  <c r="G10" i="35"/>
  <c r="J10" i="35"/>
  <c r="K10" i="35"/>
  <c r="G11" i="35"/>
  <c r="J11" i="35"/>
  <c r="K11" i="35"/>
  <c r="G12" i="35"/>
  <c r="J12" i="35"/>
  <c r="K12" i="35"/>
  <c r="G13" i="35"/>
  <c r="J13" i="35"/>
  <c r="K13" i="35"/>
  <c r="G14" i="35"/>
  <c r="J14" i="35"/>
  <c r="K14" i="35"/>
  <c r="G15" i="35"/>
  <c r="J15" i="35"/>
  <c r="K15" i="35"/>
  <c r="G16" i="35"/>
  <c r="J16" i="35"/>
  <c r="K16" i="35"/>
  <c r="G17" i="35"/>
  <c r="J17" i="35"/>
  <c r="K17" i="35"/>
  <c r="G18" i="35"/>
  <c r="J18" i="35"/>
  <c r="K18" i="35"/>
  <c r="L18" i="35"/>
  <c r="G19" i="35"/>
  <c r="J19" i="35"/>
  <c r="K19" i="35"/>
  <c r="L19" i="35"/>
  <c r="G20" i="35"/>
  <c r="J20" i="35"/>
  <c r="K20" i="35"/>
  <c r="L20" i="35"/>
  <c r="G21" i="35"/>
  <c r="J21" i="35"/>
  <c r="K21" i="35"/>
  <c r="L21" i="35"/>
  <c r="G22" i="35"/>
  <c r="J22" i="35"/>
  <c r="K22" i="35"/>
  <c r="L22" i="35"/>
  <c r="G23" i="35"/>
  <c r="J23" i="35"/>
  <c r="K23" i="35"/>
  <c r="L23" i="35"/>
  <c r="G24" i="35"/>
  <c r="J24" i="35"/>
  <c r="K24" i="35"/>
  <c r="L24" i="35"/>
  <c r="G25" i="35"/>
  <c r="J25" i="35"/>
  <c r="K25" i="35"/>
  <c r="L25" i="35"/>
  <c r="G26" i="35"/>
  <c r="J26" i="35"/>
  <c r="K26" i="35"/>
  <c r="L26" i="35"/>
  <c r="G27" i="35"/>
  <c r="J27" i="35"/>
  <c r="K27" i="35"/>
  <c r="L27" i="35"/>
  <c r="G28" i="35"/>
  <c r="J28" i="35"/>
  <c r="K28" i="35"/>
  <c r="L28" i="35"/>
  <c r="G29" i="35"/>
  <c r="J29" i="35"/>
  <c r="K29" i="35"/>
  <c r="L29" i="35"/>
  <c r="G30" i="35"/>
  <c r="J30" i="35"/>
  <c r="K30" i="35"/>
  <c r="L30" i="35"/>
  <c r="G31" i="35"/>
  <c r="J31" i="35"/>
  <c r="K31" i="35"/>
  <c r="L31" i="35"/>
  <c r="G32" i="35"/>
  <c r="J32" i="35"/>
  <c r="K32" i="35"/>
  <c r="L32" i="35"/>
  <c r="G33" i="35"/>
  <c r="J33" i="35"/>
  <c r="K33" i="35"/>
  <c r="L33" i="35"/>
  <c r="G34" i="35"/>
  <c r="J34" i="35"/>
  <c r="K34" i="35"/>
  <c r="L34" i="35"/>
  <c r="G35" i="35"/>
  <c r="J35" i="35"/>
  <c r="K35" i="35"/>
  <c r="L35" i="35"/>
  <c r="G36" i="35"/>
  <c r="J36" i="35"/>
  <c r="K36" i="35"/>
  <c r="L36" i="35"/>
  <c r="G37" i="35"/>
  <c r="J37" i="35"/>
  <c r="K37" i="35"/>
  <c r="L37" i="35"/>
  <c r="G38" i="35"/>
  <c r="J38" i="35"/>
  <c r="K38" i="35"/>
  <c r="L38" i="35"/>
  <c r="G5" i="34"/>
  <c r="J5" i="34"/>
  <c r="K5" i="34"/>
  <c r="L5" i="34"/>
  <c r="G6" i="34"/>
  <c r="J6" i="34"/>
  <c r="K6" i="34"/>
  <c r="L6" i="34"/>
  <c r="G7" i="34"/>
  <c r="J7" i="34"/>
  <c r="K7" i="34"/>
  <c r="L7" i="34"/>
  <c r="G8" i="34"/>
  <c r="J8" i="34"/>
  <c r="K8" i="34"/>
  <c r="L8" i="34"/>
  <c r="G9" i="34"/>
  <c r="J9" i="34"/>
  <c r="K9" i="34"/>
  <c r="L9" i="34"/>
  <c r="G10" i="34"/>
  <c r="J10" i="34"/>
  <c r="K10" i="34"/>
  <c r="L10" i="34"/>
  <c r="G11" i="34"/>
  <c r="J11" i="34"/>
  <c r="K11" i="34"/>
  <c r="L11" i="34"/>
  <c r="G12" i="34"/>
  <c r="J12" i="34"/>
  <c r="K12" i="34"/>
  <c r="L12" i="34"/>
  <c r="G13" i="34"/>
  <c r="J13" i="34"/>
  <c r="K13" i="34"/>
  <c r="L13" i="34"/>
  <c r="G14" i="34"/>
  <c r="J14" i="34"/>
  <c r="K14" i="34"/>
  <c r="L14" i="34"/>
  <c r="G15" i="34"/>
  <c r="J15" i="34"/>
  <c r="K15" i="34"/>
  <c r="L15" i="34"/>
  <c r="G16" i="34"/>
  <c r="J16" i="34"/>
  <c r="K16" i="34"/>
  <c r="L16" i="34"/>
  <c r="G17" i="34"/>
  <c r="J17" i="34"/>
  <c r="K17" i="34"/>
  <c r="L17" i="34"/>
  <c r="G18" i="34"/>
  <c r="J18" i="34"/>
  <c r="G19" i="34"/>
  <c r="J19" i="34"/>
  <c r="K19" i="34"/>
  <c r="G20" i="34"/>
  <c r="J20" i="34"/>
  <c r="K20" i="34"/>
  <c r="G21" i="34"/>
  <c r="J21" i="34"/>
  <c r="K21" i="34"/>
  <c r="G22" i="34"/>
  <c r="J22" i="34"/>
  <c r="K22" i="34"/>
  <c r="L22" i="34"/>
  <c r="G23" i="34"/>
  <c r="J23" i="34"/>
  <c r="K23" i="34"/>
  <c r="L23" i="34"/>
  <c r="G24" i="34"/>
  <c r="J24" i="34"/>
  <c r="K24" i="34"/>
  <c r="L24" i="34"/>
  <c r="G25" i="34"/>
  <c r="J25" i="34"/>
  <c r="K25" i="34"/>
  <c r="L25" i="34"/>
  <c r="G26" i="34"/>
  <c r="J26" i="34"/>
  <c r="K26" i="34"/>
  <c r="L26" i="34"/>
  <c r="G27" i="34"/>
  <c r="J27" i="34"/>
  <c r="K27" i="34"/>
  <c r="L27" i="34"/>
  <c r="G28" i="34"/>
  <c r="J28" i="34"/>
  <c r="K28" i="34"/>
  <c r="L28" i="34"/>
  <c r="G29" i="34"/>
  <c r="J29" i="34"/>
  <c r="K29" i="34"/>
  <c r="L29" i="34"/>
  <c r="G30" i="34"/>
  <c r="J30" i="34"/>
  <c r="K30" i="34"/>
  <c r="L30" i="34"/>
  <c r="G31" i="34"/>
  <c r="J31" i="34"/>
  <c r="K31" i="34"/>
  <c r="L31" i="34"/>
  <c r="G32" i="34"/>
  <c r="J32" i="34"/>
  <c r="K32" i="34"/>
  <c r="L32" i="34"/>
  <c r="G33" i="34"/>
  <c r="J33" i="34"/>
  <c r="K33" i="34"/>
  <c r="L33" i="34"/>
  <c r="G34" i="34"/>
  <c r="J34" i="34"/>
  <c r="K34" i="34"/>
  <c r="L34" i="34"/>
  <c r="G35" i="34"/>
  <c r="J35" i="34"/>
  <c r="K35" i="34"/>
  <c r="L35" i="34"/>
  <c r="G36" i="34"/>
  <c r="J36" i="34"/>
  <c r="K36" i="34"/>
  <c r="L36" i="34"/>
  <c r="G5" i="33"/>
  <c r="J5" i="33"/>
  <c r="K5" i="33"/>
  <c r="L5" i="33"/>
  <c r="G6" i="33"/>
  <c r="J6" i="33"/>
  <c r="K6" i="33"/>
  <c r="L6" i="33"/>
  <c r="G7" i="33"/>
  <c r="J7" i="33"/>
  <c r="K7" i="33"/>
  <c r="L7" i="33"/>
  <c r="G8" i="33"/>
  <c r="J8" i="33"/>
  <c r="K8" i="33"/>
  <c r="L8" i="33"/>
  <c r="G9" i="33"/>
  <c r="J9" i="33"/>
  <c r="K9" i="33"/>
  <c r="L9" i="33"/>
  <c r="G10" i="33"/>
  <c r="J10" i="33"/>
  <c r="K10" i="33"/>
  <c r="L10" i="33"/>
  <c r="G11" i="33"/>
  <c r="J11" i="33"/>
  <c r="K11" i="33"/>
  <c r="L11" i="33"/>
  <c r="G12" i="33"/>
  <c r="J12" i="33"/>
  <c r="K12" i="33"/>
  <c r="L12" i="33"/>
  <c r="G13" i="33"/>
  <c r="J13" i="33"/>
  <c r="K13" i="33"/>
  <c r="L13" i="33"/>
  <c r="G14" i="33"/>
  <c r="J14" i="33"/>
  <c r="K14" i="33"/>
  <c r="L14" i="33"/>
  <c r="G15" i="33"/>
  <c r="J15" i="33"/>
  <c r="K15" i="33"/>
  <c r="L15" i="33"/>
  <c r="G16" i="33"/>
  <c r="J16" i="33"/>
  <c r="K16" i="33"/>
  <c r="L16" i="33"/>
  <c r="G17" i="33"/>
  <c r="J17" i="33"/>
  <c r="K17" i="33"/>
  <c r="G18" i="33"/>
  <c r="J18" i="33"/>
  <c r="L18" i="33"/>
  <c r="G19" i="33"/>
  <c r="J19" i="33"/>
  <c r="K19" i="33"/>
  <c r="G20" i="33"/>
  <c r="J20" i="33"/>
  <c r="K20" i="33"/>
  <c r="G21" i="33"/>
  <c r="J21" i="33"/>
  <c r="K21" i="33"/>
  <c r="G22" i="33"/>
  <c r="J22" i="33"/>
  <c r="K22" i="33"/>
  <c r="G23" i="33"/>
  <c r="J23" i="33"/>
  <c r="K23" i="33"/>
  <c r="L23" i="33"/>
  <c r="G24" i="33"/>
  <c r="J24" i="33"/>
  <c r="K24" i="33"/>
  <c r="G25" i="33"/>
  <c r="J25" i="33"/>
  <c r="K25" i="33"/>
  <c r="L25" i="33"/>
  <c r="G26" i="33"/>
  <c r="J26" i="33"/>
  <c r="K26" i="33"/>
  <c r="G27" i="33"/>
  <c r="J27" i="33"/>
  <c r="K27" i="33"/>
  <c r="L27" i="33"/>
  <c r="G28" i="33"/>
  <c r="J28" i="33"/>
  <c r="K28" i="33"/>
  <c r="G29" i="33"/>
  <c r="J29" i="33"/>
  <c r="K29" i="33"/>
  <c r="L44" i="33"/>
  <c r="G30" i="33"/>
  <c r="J30" i="33"/>
  <c r="K30" i="33"/>
  <c r="L30" i="33"/>
  <c r="G31" i="33"/>
  <c r="J31" i="33"/>
  <c r="K31" i="33"/>
  <c r="G32" i="33"/>
  <c r="J32" i="33"/>
  <c r="K32" i="33"/>
  <c r="G33" i="33"/>
  <c r="J33" i="33"/>
  <c r="K33" i="33"/>
  <c r="L33" i="33"/>
  <c r="G34" i="33"/>
  <c r="J34" i="33"/>
  <c r="K34" i="33"/>
  <c r="L34" i="33"/>
  <c r="G35" i="33"/>
  <c r="J35" i="33"/>
  <c r="K35" i="33"/>
  <c r="L35" i="33"/>
  <c r="G36" i="33"/>
  <c r="J36" i="33"/>
  <c r="K36" i="33"/>
  <c r="L36" i="33"/>
  <c r="G37" i="33"/>
  <c r="J37" i="33"/>
  <c r="K37" i="33"/>
  <c r="L37" i="33"/>
  <c r="G38" i="33"/>
  <c r="J38" i="33"/>
  <c r="K38" i="33"/>
  <c r="L38" i="33"/>
  <c r="G39" i="33"/>
  <c r="J39" i="33"/>
  <c r="K39" i="33"/>
  <c r="L39" i="33"/>
  <c r="G40" i="33"/>
  <c r="J40" i="33"/>
  <c r="K40" i="33"/>
  <c r="L40" i="33"/>
  <c r="G41" i="33"/>
  <c r="J41" i="33"/>
  <c r="K41" i="33"/>
  <c r="L41" i="33"/>
  <c r="G42" i="33"/>
  <c r="J42" i="33"/>
  <c r="K42" i="33"/>
  <c r="L42" i="33"/>
  <c r="J5" i="9"/>
  <c r="K5" i="9"/>
  <c r="J6" i="9"/>
  <c r="K6" i="9"/>
  <c r="J7" i="9"/>
  <c r="K7" i="9"/>
  <c r="J8" i="9"/>
  <c r="K8" i="9"/>
  <c r="J9" i="9"/>
  <c r="K9" i="9"/>
  <c r="J10" i="9"/>
  <c r="K10" i="9"/>
  <c r="J11" i="9"/>
  <c r="K11" i="9"/>
  <c r="J12" i="9"/>
  <c r="K12" i="9"/>
  <c r="J13" i="9"/>
  <c r="K13" i="9"/>
  <c r="J14" i="9"/>
  <c r="K14" i="9"/>
  <c r="J15" i="9"/>
  <c r="K15" i="9"/>
  <c r="J16" i="9"/>
  <c r="K16" i="9"/>
  <c r="J17" i="9"/>
  <c r="K17" i="9"/>
  <c r="J18" i="9"/>
  <c r="K18" i="9"/>
  <c r="J19" i="9"/>
  <c r="K19" i="9"/>
  <c r="J20" i="9"/>
  <c r="K20" i="9"/>
  <c r="J21" i="9"/>
  <c r="K21" i="9"/>
  <c r="J22" i="9"/>
  <c r="K22" i="9"/>
  <c r="J23" i="9"/>
  <c r="K23" i="9"/>
  <c r="J24" i="9"/>
  <c r="K24" i="9"/>
  <c r="J25" i="9"/>
  <c r="K25" i="9"/>
  <c r="J26" i="9"/>
  <c r="K26" i="9"/>
  <c r="J27" i="9"/>
  <c r="K27" i="9"/>
  <c r="J28" i="9"/>
  <c r="K28" i="9"/>
  <c r="J29" i="9"/>
  <c r="K29" i="9"/>
  <c r="J30" i="9"/>
  <c r="K30" i="9"/>
  <c r="J31" i="9"/>
  <c r="K31" i="9"/>
  <c r="J32" i="9"/>
  <c r="K32" i="9"/>
  <c r="J33" i="9"/>
  <c r="K33" i="9"/>
  <c r="J34" i="9"/>
  <c r="K34" i="9"/>
  <c r="G5" i="26"/>
  <c r="J5" i="26"/>
  <c r="K5" i="26"/>
  <c r="G6" i="26"/>
  <c r="J6" i="26"/>
  <c r="K6" i="26"/>
  <c r="G7" i="26"/>
  <c r="J7" i="26"/>
  <c r="K7" i="26"/>
  <c r="G8" i="26"/>
  <c r="J8" i="26"/>
  <c r="K8" i="26"/>
  <c r="G9" i="26"/>
  <c r="J9" i="26"/>
  <c r="K9" i="26"/>
  <c r="G10" i="26"/>
  <c r="J10" i="26"/>
  <c r="K10" i="26"/>
  <c r="G11" i="26"/>
  <c r="J11" i="26"/>
  <c r="K11" i="26"/>
  <c r="G12" i="26"/>
  <c r="J12" i="26"/>
  <c r="K12" i="26"/>
  <c r="G13" i="26"/>
  <c r="J13" i="26"/>
  <c r="K13" i="26"/>
  <c r="G14" i="26"/>
  <c r="J14" i="26"/>
  <c r="K14" i="26"/>
  <c r="G15" i="26"/>
  <c r="J15" i="26"/>
  <c r="K15" i="26"/>
  <c r="G16" i="26"/>
  <c r="J16" i="26"/>
  <c r="K16" i="26"/>
  <c r="G17" i="26"/>
  <c r="J17" i="26"/>
  <c r="K17" i="26"/>
  <c r="G18" i="26"/>
  <c r="J18" i="26"/>
  <c r="K18" i="26"/>
  <c r="G19" i="26"/>
  <c r="J19" i="26"/>
  <c r="K19" i="26"/>
  <c r="G20" i="26"/>
  <c r="J20" i="26"/>
  <c r="K20" i="26"/>
  <c r="G21" i="26"/>
  <c r="J21" i="26"/>
  <c r="K21" i="26"/>
  <c r="G23" i="26"/>
  <c r="J23" i="26"/>
  <c r="K23" i="26"/>
  <c r="G24" i="26"/>
  <c r="J24" i="26"/>
  <c r="K24" i="26"/>
  <c r="G25" i="26"/>
  <c r="J25" i="26"/>
  <c r="K25" i="26"/>
  <c r="G26" i="26"/>
  <c r="J26" i="26"/>
  <c r="K26" i="26"/>
  <c r="G27" i="26"/>
  <c r="J27" i="26"/>
  <c r="K27" i="26"/>
  <c r="G28" i="26"/>
  <c r="J28" i="26"/>
  <c r="K28" i="26"/>
  <c r="G29" i="26"/>
  <c r="J29" i="26"/>
  <c r="K29" i="26"/>
  <c r="G30" i="26"/>
  <c r="J30" i="26"/>
  <c r="K30" i="26"/>
  <c r="G31" i="26"/>
  <c r="J31" i="26"/>
  <c r="K31" i="26"/>
  <c r="G32" i="26"/>
  <c r="J32" i="26"/>
  <c r="K32" i="26"/>
  <c r="G33" i="26"/>
  <c r="J33" i="26"/>
  <c r="K33" i="26"/>
  <c r="G34" i="26"/>
  <c r="J34" i="26"/>
  <c r="K34" i="26"/>
  <c r="G35" i="26"/>
  <c r="J35" i="26"/>
  <c r="K35" i="26"/>
  <c r="G36" i="26"/>
  <c r="J36" i="26"/>
  <c r="K36" i="26"/>
  <c r="G37" i="26"/>
  <c r="J37" i="26"/>
  <c r="K37" i="26"/>
  <c r="G5" i="57"/>
  <c r="J5" i="57"/>
  <c r="K5" i="57"/>
  <c r="G6" i="57"/>
  <c r="J6" i="57"/>
  <c r="K6" i="57"/>
  <c r="G7" i="57"/>
  <c r="J7" i="57"/>
  <c r="K7" i="57"/>
  <c r="G8" i="57"/>
  <c r="J8" i="57"/>
  <c r="K8" i="57"/>
  <c r="G9" i="57"/>
  <c r="J9" i="57"/>
  <c r="K9" i="57"/>
  <c r="G10" i="57"/>
  <c r="J10" i="57"/>
  <c r="K10" i="57"/>
  <c r="G11" i="57"/>
  <c r="J11" i="57"/>
  <c r="K11" i="57"/>
  <c r="G12" i="57"/>
  <c r="J12" i="57"/>
  <c r="K12" i="57"/>
  <c r="G13" i="57"/>
  <c r="J13" i="57"/>
  <c r="K13" i="57"/>
  <c r="G14" i="57"/>
  <c r="J14" i="57"/>
  <c r="K14" i="57"/>
  <c r="G15" i="57"/>
  <c r="J15" i="57"/>
  <c r="K15" i="57"/>
  <c r="G16" i="57"/>
  <c r="J16" i="57"/>
  <c r="K16" i="57"/>
  <c r="G17" i="57"/>
  <c r="J17" i="57"/>
  <c r="K17" i="57"/>
  <c r="G18" i="57"/>
  <c r="J18" i="57"/>
  <c r="K18" i="57"/>
  <c r="G19" i="57"/>
  <c r="J19" i="57"/>
  <c r="K19" i="57"/>
  <c r="G20" i="57"/>
  <c r="J20" i="57"/>
  <c r="K20" i="57"/>
  <c r="G21" i="57"/>
  <c r="J21" i="57"/>
  <c r="K21" i="57"/>
  <c r="G22" i="57"/>
  <c r="J22" i="57"/>
  <c r="K22" i="57"/>
  <c r="G23" i="57"/>
  <c r="J23" i="57"/>
  <c r="K23" i="57"/>
  <c r="G24" i="57"/>
  <c r="J24" i="57"/>
  <c r="K24" i="57"/>
  <c r="G25" i="57"/>
  <c r="J25" i="57"/>
  <c r="K25" i="57"/>
  <c r="G26" i="57"/>
  <c r="J26" i="57"/>
  <c r="K26" i="57"/>
  <c r="G27" i="57"/>
  <c r="J27" i="57"/>
  <c r="K27" i="57"/>
  <c r="G28" i="57"/>
  <c r="J28" i="57"/>
  <c r="K28" i="57"/>
  <c r="G29" i="57"/>
  <c r="J29" i="57"/>
  <c r="K29" i="57"/>
  <c r="G30" i="57"/>
  <c r="J30" i="57"/>
  <c r="K30" i="57"/>
  <c r="G31" i="57"/>
  <c r="J31" i="57"/>
  <c r="K31" i="57"/>
  <c r="G32" i="57"/>
  <c r="J32" i="57"/>
  <c r="K32" i="57"/>
  <c r="G33" i="57"/>
  <c r="J33" i="57"/>
  <c r="K33" i="57"/>
  <c r="G34" i="57"/>
  <c r="J34" i="57"/>
  <c r="K34" i="57"/>
  <c r="G5" i="41"/>
  <c r="J5" i="41"/>
  <c r="K5" i="41"/>
  <c r="G6" i="41"/>
  <c r="J6" i="41"/>
  <c r="K6" i="41"/>
  <c r="G7" i="41"/>
  <c r="J7" i="41"/>
  <c r="K7" i="41"/>
  <c r="G8" i="41"/>
  <c r="K8" i="41"/>
  <c r="G9" i="41"/>
  <c r="K9" i="41"/>
  <c r="G10" i="41"/>
  <c r="K10" i="41"/>
  <c r="G11" i="41"/>
  <c r="K11" i="41"/>
  <c r="G12" i="41"/>
  <c r="K12" i="41"/>
  <c r="G13" i="41"/>
  <c r="K13" i="41"/>
  <c r="G14" i="41"/>
  <c r="K14" i="41"/>
  <c r="G15" i="41"/>
  <c r="K15" i="41"/>
  <c r="G16" i="41"/>
  <c r="G17" i="41"/>
  <c r="J17" i="41"/>
  <c r="K17" i="41"/>
  <c r="G19" i="41"/>
  <c r="J19" i="41"/>
  <c r="K19" i="41"/>
  <c r="G20" i="41"/>
  <c r="J20" i="41"/>
  <c r="G21" i="41"/>
  <c r="J21" i="41"/>
  <c r="K21" i="41"/>
  <c r="G22" i="41"/>
  <c r="J22" i="41"/>
  <c r="K22" i="41"/>
  <c r="G23" i="41"/>
  <c r="J23" i="41"/>
  <c r="K23" i="41"/>
  <c r="G24" i="41"/>
  <c r="J24" i="41"/>
  <c r="K24" i="41"/>
  <c r="G25" i="41"/>
  <c r="J25" i="41"/>
  <c r="K25" i="41"/>
  <c r="G26" i="41"/>
  <c r="J26" i="41"/>
  <c r="K26" i="41"/>
  <c r="G27" i="41"/>
  <c r="J27" i="41"/>
  <c r="K27" i="41"/>
  <c r="G28" i="41"/>
  <c r="J28" i="41"/>
  <c r="K28" i="41"/>
  <c r="G29" i="41"/>
  <c r="J29" i="41"/>
  <c r="K29" i="41"/>
  <c r="G30" i="41"/>
  <c r="J30" i="41"/>
  <c r="K30" i="41"/>
  <c r="G31" i="41"/>
  <c r="J31" i="41"/>
  <c r="K31" i="41"/>
  <c r="G32" i="41"/>
  <c r="J32" i="41"/>
  <c r="K32" i="41"/>
  <c r="G33" i="41"/>
  <c r="J33" i="41"/>
  <c r="K33" i="41"/>
  <c r="G34" i="41"/>
  <c r="J34" i="41"/>
  <c r="K34" i="41"/>
  <c r="G35" i="41"/>
  <c r="J35" i="41"/>
  <c r="K35" i="41"/>
  <c r="G36" i="41"/>
  <c r="J36" i="41"/>
  <c r="K36" i="41"/>
  <c r="G37" i="41"/>
  <c r="J37" i="41"/>
  <c r="K37" i="41"/>
  <c r="G4" i="41"/>
  <c r="M3" i="12"/>
  <c r="G5" i="12"/>
  <c r="J5" i="12"/>
  <c r="K5" i="12"/>
  <c r="G6" i="12"/>
  <c r="J6" i="12"/>
  <c r="K6" i="12"/>
  <c r="G7" i="12"/>
  <c r="J7" i="12"/>
  <c r="K7" i="12"/>
  <c r="G8" i="12"/>
  <c r="J8" i="12"/>
  <c r="K8" i="12"/>
  <c r="G9" i="12"/>
  <c r="J9" i="12"/>
  <c r="K9" i="12"/>
  <c r="G10" i="12"/>
  <c r="J10" i="12"/>
  <c r="K10" i="12"/>
  <c r="G11" i="12"/>
  <c r="J11" i="12"/>
  <c r="K11" i="12"/>
  <c r="G12" i="12"/>
  <c r="J12" i="12"/>
  <c r="K12" i="12"/>
  <c r="G13" i="12"/>
  <c r="J13" i="12"/>
  <c r="K13" i="12"/>
  <c r="G14" i="12"/>
  <c r="J14" i="12"/>
  <c r="K14" i="12"/>
  <c r="G15" i="12"/>
  <c r="J15" i="12"/>
  <c r="K15" i="12"/>
  <c r="G16" i="12"/>
  <c r="J16" i="12"/>
  <c r="G17" i="12"/>
  <c r="J17" i="12"/>
  <c r="K17" i="12"/>
  <c r="G18" i="12"/>
  <c r="J18" i="12"/>
  <c r="K18" i="12"/>
  <c r="G19" i="12"/>
  <c r="J19" i="12"/>
  <c r="K19" i="12"/>
  <c r="G20" i="12"/>
  <c r="J20" i="12"/>
  <c r="K20" i="12"/>
  <c r="G21" i="12"/>
  <c r="J21" i="12"/>
  <c r="K21" i="12"/>
  <c r="G22" i="12"/>
  <c r="J22" i="12"/>
  <c r="K22" i="12"/>
  <c r="G23" i="12"/>
  <c r="J23" i="12"/>
  <c r="K23" i="12"/>
  <c r="G24" i="12"/>
  <c r="J24" i="12"/>
  <c r="K24" i="12"/>
  <c r="G25" i="12"/>
  <c r="J25" i="12"/>
  <c r="K25" i="12"/>
  <c r="G26" i="12"/>
  <c r="J26" i="12"/>
  <c r="K26" i="12"/>
  <c r="G27" i="12"/>
  <c r="J27" i="12"/>
  <c r="K27" i="12"/>
  <c r="G28" i="12"/>
  <c r="J28" i="12"/>
  <c r="K28" i="12"/>
  <c r="G29" i="12"/>
  <c r="J29" i="12"/>
  <c r="K29" i="12"/>
  <c r="G30" i="12"/>
  <c r="J30" i="12"/>
  <c r="K30" i="12"/>
  <c r="G31" i="12"/>
  <c r="J31" i="12"/>
  <c r="K31" i="12"/>
  <c r="G32" i="12"/>
  <c r="J32" i="12"/>
  <c r="K32" i="12"/>
  <c r="G33" i="12"/>
  <c r="J33" i="12"/>
  <c r="K33" i="12"/>
  <c r="G34" i="12"/>
  <c r="J34" i="12"/>
  <c r="K34" i="12"/>
  <c r="G5" i="37"/>
  <c r="J5" i="37"/>
  <c r="K5" i="37"/>
  <c r="L5" i="37"/>
  <c r="M5" i="37"/>
  <c r="G6" i="37"/>
  <c r="J6" i="37"/>
  <c r="K6" i="37"/>
  <c r="L6" i="37"/>
  <c r="M6" i="37"/>
  <c r="G7" i="37"/>
  <c r="J7" i="37"/>
  <c r="K7" i="37"/>
  <c r="L7" i="37"/>
  <c r="M7" i="37"/>
  <c r="G8" i="37"/>
  <c r="J8" i="37"/>
  <c r="K8" i="37"/>
  <c r="L8" i="37"/>
  <c r="M8" i="37"/>
  <c r="G9" i="37"/>
  <c r="J9" i="37"/>
  <c r="K9" i="37"/>
  <c r="L9" i="37"/>
  <c r="M9" i="37"/>
  <c r="G10" i="37"/>
  <c r="J10" i="37"/>
  <c r="K10" i="37"/>
  <c r="L10" i="37"/>
  <c r="M10" i="37"/>
  <c r="G11" i="37"/>
  <c r="J11" i="37"/>
  <c r="K11" i="37"/>
  <c r="L11" i="37"/>
  <c r="M11" i="37"/>
  <c r="G12" i="37"/>
  <c r="J12" i="37"/>
  <c r="K12" i="37"/>
  <c r="L12" i="37"/>
  <c r="M12" i="37"/>
  <c r="G13" i="37"/>
  <c r="J13" i="37"/>
  <c r="K13" i="37"/>
  <c r="L13" i="37"/>
  <c r="M13" i="37"/>
  <c r="G14" i="37"/>
  <c r="J14" i="37"/>
  <c r="K14" i="37"/>
  <c r="L14" i="37"/>
  <c r="M14" i="37"/>
  <c r="G15" i="37"/>
  <c r="J15" i="37"/>
  <c r="K15" i="37"/>
  <c r="L15" i="37"/>
  <c r="M15" i="37"/>
  <c r="G16" i="37"/>
  <c r="J16" i="37"/>
  <c r="K16" i="37"/>
  <c r="L16" i="37"/>
  <c r="M16" i="37"/>
  <c r="G17" i="37"/>
  <c r="J17" i="37"/>
  <c r="K17" i="37"/>
  <c r="L17" i="37"/>
  <c r="M17" i="37"/>
  <c r="G18" i="37"/>
  <c r="J18" i="37"/>
  <c r="K18" i="37"/>
  <c r="L18" i="37"/>
  <c r="M18" i="37"/>
  <c r="G19" i="37"/>
  <c r="J19" i="37"/>
  <c r="K19" i="37"/>
  <c r="M19" i="37"/>
  <c r="G20" i="37"/>
  <c r="J20" i="37"/>
  <c r="K20" i="37"/>
  <c r="L20" i="37"/>
  <c r="M20" i="37"/>
  <c r="G21" i="37"/>
  <c r="J21" i="37"/>
  <c r="K21" i="37"/>
  <c r="M21" i="37"/>
  <c r="G22" i="37"/>
  <c r="J22" i="37"/>
  <c r="K22" i="37"/>
  <c r="L22" i="37"/>
  <c r="M22" i="37"/>
  <c r="G23" i="37"/>
  <c r="J23" i="37"/>
  <c r="K23" i="37"/>
  <c r="L23" i="37"/>
  <c r="M23" i="37"/>
  <c r="G24" i="37"/>
  <c r="J24" i="37"/>
  <c r="K24" i="37"/>
  <c r="M24" i="37"/>
  <c r="G25" i="37"/>
  <c r="J25" i="37"/>
  <c r="K25" i="37"/>
  <c r="L25" i="37"/>
  <c r="M25" i="37"/>
  <c r="G26" i="37"/>
  <c r="J26" i="37"/>
  <c r="K26" i="37"/>
  <c r="M26" i="37"/>
  <c r="G27" i="37"/>
  <c r="J27" i="37"/>
  <c r="K27" i="37"/>
  <c r="L27" i="37"/>
  <c r="M27" i="37"/>
  <c r="G28" i="37"/>
  <c r="J28" i="37"/>
  <c r="K28" i="37"/>
  <c r="M28" i="37"/>
  <c r="G29" i="37"/>
  <c r="J29" i="37"/>
  <c r="K29" i="37"/>
  <c r="L29" i="37"/>
  <c r="M29" i="37"/>
  <c r="G30" i="37"/>
  <c r="J30" i="37"/>
  <c r="K30" i="37"/>
  <c r="L30" i="37"/>
  <c r="M30" i="37"/>
  <c r="G31" i="37"/>
  <c r="J31" i="37"/>
  <c r="K31" i="37"/>
  <c r="M31" i="37"/>
  <c r="G32" i="37"/>
  <c r="J32" i="37"/>
  <c r="K32" i="37"/>
  <c r="L32" i="37"/>
  <c r="M32" i="37"/>
  <c r="G33" i="37"/>
  <c r="J33" i="37"/>
  <c r="K33" i="37"/>
  <c r="G4" i="37"/>
  <c r="G5" i="36"/>
  <c r="J5" i="36"/>
  <c r="K5" i="36"/>
  <c r="G6" i="36"/>
  <c r="J6" i="36"/>
  <c r="K6" i="36"/>
  <c r="L6" i="36" s="1"/>
  <c r="G7" i="36"/>
  <c r="J7" i="36"/>
  <c r="K7" i="36"/>
  <c r="L7" i="36" s="1"/>
  <c r="G8" i="36"/>
  <c r="J8" i="36"/>
  <c r="K8" i="36"/>
  <c r="G9" i="36"/>
  <c r="J9" i="36"/>
  <c r="K9" i="36"/>
  <c r="G10" i="36"/>
  <c r="J10" i="36"/>
  <c r="K10" i="36"/>
  <c r="L10" i="36" s="1"/>
  <c r="G11" i="36"/>
  <c r="J11" i="36"/>
  <c r="K11" i="36"/>
  <c r="G12" i="36"/>
  <c r="J12" i="36"/>
  <c r="K12" i="36"/>
  <c r="G13" i="36"/>
  <c r="J13" i="36"/>
  <c r="K13" i="36"/>
  <c r="L13" i="36" s="1"/>
  <c r="G14" i="36"/>
  <c r="J14" i="36"/>
  <c r="K14" i="36"/>
  <c r="L14" i="36" s="1"/>
  <c r="G15" i="36"/>
  <c r="J15" i="36"/>
  <c r="K15" i="36"/>
  <c r="G16" i="36"/>
  <c r="J16" i="36"/>
  <c r="K16" i="36"/>
  <c r="L16" i="36" s="1"/>
  <c r="G17" i="36"/>
  <c r="J17" i="36"/>
  <c r="K17" i="36"/>
  <c r="L17" i="36" s="1"/>
  <c r="G18" i="36"/>
  <c r="J18" i="36"/>
  <c r="K18" i="36"/>
  <c r="G19" i="36"/>
  <c r="J19" i="36"/>
  <c r="K19" i="36"/>
  <c r="G20" i="36"/>
  <c r="J20" i="36"/>
  <c r="K20" i="36"/>
  <c r="L20" i="36" s="1"/>
  <c r="G21" i="36"/>
  <c r="J21" i="36"/>
  <c r="K21" i="36"/>
  <c r="L21" i="36" s="1"/>
  <c r="G22" i="36"/>
  <c r="J22" i="36"/>
  <c r="K22" i="36"/>
  <c r="L22" i="36" s="1"/>
  <c r="G23" i="36"/>
  <c r="J23" i="36"/>
  <c r="K23" i="36"/>
  <c r="L23" i="36" s="1"/>
  <c r="G24" i="36"/>
  <c r="J24" i="36"/>
  <c r="K24" i="36"/>
  <c r="L24" i="36" s="1"/>
  <c r="G25" i="36"/>
  <c r="J25" i="36"/>
  <c r="K25" i="36"/>
  <c r="G26" i="36"/>
  <c r="J26" i="36"/>
  <c r="K26" i="36"/>
  <c r="G27" i="36"/>
  <c r="J27" i="36"/>
  <c r="K27" i="36"/>
  <c r="L27" i="36" s="1"/>
  <c r="G28" i="36"/>
  <c r="J28" i="36"/>
  <c r="K28" i="36"/>
  <c r="G29" i="36"/>
  <c r="J29" i="36"/>
  <c r="K29" i="36"/>
  <c r="G30" i="36"/>
  <c r="J30" i="36"/>
  <c r="K30" i="36"/>
  <c r="G31" i="36"/>
  <c r="J31" i="36"/>
  <c r="K31" i="36"/>
  <c r="L31" i="36" s="1"/>
  <c r="G32" i="36"/>
  <c r="J32" i="36"/>
  <c r="K32" i="36"/>
  <c r="L32" i="36" s="1"/>
  <c r="G33" i="36"/>
  <c r="J33" i="36"/>
  <c r="K33" i="36"/>
  <c r="L33" i="36" s="1"/>
  <c r="G34" i="36"/>
  <c r="J34" i="36"/>
  <c r="K34" i="36"/>
  <c r="M3" i="15"/>
  <c r="G5" i="15"/>
  <c r="J5" i="15"/>
  <c r="K5" i="15"/>
  <c r="G6" i="15"/>
  <c r="J6" i="15"/>
  <c r="K6" i="15"/>
  <c r="G7" i="15"/>
  <c r="J7" i="15"/>
  <c r="K7" i="15"/>
  <c r="G8" i="15"/>
  <c r="J8" i="15"/>
  <c r="K8" i="15"/>
  <c r="G9" i="15"/>
  <c r="J9" i="15"/>
  <c r="K9" i="15"/>
  <c r="G10" i="15"/>
  <c r="J10" i="15"/>
  <c r="K10" i="15"/>
  <c r="G11" i="15"/>
  <c r="J11" i="15"/>
  <c r="K11" i="15"/>
  <c r="G12" i="15"/>
  <c r="J12" i="15"/>
  <c r="K12" i="15"/>
  <c r="G13" i="15"/>
  <c r="J13" i="15"/>
  <c r="K13" i="15"/>
  <c r="G14" i="15"/>
  <c r="J14" i="15"/>
  <c r="K14" i="15"/>
  <c r="G15" i="15"/>
  <c r="J15" i="15"/>
  <c r="K15" i="15"/>
  <c r="G16" i="15"/>
  <c r="J16" i="15"/>
  <c r="K16" i="15"/>
  <c r="G17" i="15"/>
  <c r="J17" i="15"/>
  <c r="K17" i="15"/>
  <c r="G18" i="15"/>
  <c r="J18" i="15"/>
  <c r="K18" i="15"/>
  <c r="G19" i="15"/>
  <c r="J19" i="15"/>
  <c r="K19" i="15"/>
  <c r="G20" i="15"/>
  <c r="J20" i="15"/>
  <c r="K20" i="15"/>
  <c r="G21" i="15"/>
  <c r="J21" i="15"/>
  <c r="K21" i="15"/>
  <c r="G22" i="15"/>
  <c r="J22" i="15"/>
  <c r="K22" i="15"/>
  <c r="G23" i="15"/>
  <c r="J23" i="15"/>
  <c r="K23" i="15"/>
  <c r="G24" i="15"/>
  <c r="J24" i="15"/>
  <c r="K24" i="15"/>
  <c r="G25" i="15"/>
  <c r="J25" i="15"/>
  <c r="K25" i="15"/>
  <c r="G26" i="15"/>
  <c r="J26" i="15"/>
  <c r="K26" i="15"/>
  <c r="G27" i="15"/>
  <c r="J27" i="15"/>
  <c r="K27" i="15"/>
  <c r="G28" i="15"/>
  <c r="J28" i="15"/>
  <c r="K28" i="15"/>
  <c r="G29" i="15"/>
  <c r="J29" i="15"/>
  <c r="K29" i="15"/>
  <c r="G30" i="15"/>
  <c r="J30" i="15"/>
  <c r="K30" i="15"/>
  <c r="G31" i="15"/>
  <c r="J31" i="15"/>
  <c r="K31" i="15"/>
  <c r="G32" i="15"/>
  <c r="J32" i="15"/>
  <c r="K32" i="15"/>
  <c r="G33" i="15"/>
  <c r="J33" i="15"/>
  <c r="K33" i="15"/>
  <c r="G34" i="15"/>
  <c r="J34" i="15"/>
  <c r="K34" i="15"/>
  <c r="G5" i="14"/>
  <c r="J5" i="14"/>
  <c r="K5" i="14"/>
  <c r="G6" i="14"/>
  <c r="J6" i="14"/>
  <c r="K6" i="14"/>
  <c r="G7" i="14"/>
  <c r="J7" i="14"/>
  <c r="K7" i="14"/>
  <c r="G8" i="14"/>
  <c r="J8" i="14"/>
  <c r="K8" i="14"/>
  <c r="G9" i="14"/>
  <c r="J9" i="14"/>
  <c r="K9" i="14"/>
  <c r="G10" i="14"/>
  <c r="J10" i="14"/>
  <c r="K10" i="14"/>
  <c r="G11" i="14"/>
  <c r="J11" i="14"/>
  <c r="K11" i="14"/>
  <c r="G12" i="14"/>
  <c r="J12" i="14"/>
  <c r="K12" i="14"/>
  <c r="G13" i="14"/>
  <c r="J13" i="14"/>
  <c r="K13" i="14"/>
  <c r="G14" i="14"/>
  <c r="J14" i="14"/>
  <c r="K14" i="14"/>
  <c r="G15" i="14"/>
  <c r="J15" i="14"/>
  <c r="K15" i="14"/>
  <c r="G16" i="14"/>
  <c r="J16" i="14"/>
  <c r="K16" i="14"/>
  <c r="G17" i="14"/>
  <c r="J17" i="14"/>
  <c r="K17" i="14"/>
  <c r="G18" i="14"/>
  <c r="J18" i="14"/>
  <c r="K18" i="14"/>
  <c r="G19" i="14"/>
  <c r="J19" i="14"/>
  <c r="K19" i="14"/>
  <c r="G20" i="14"/>
  <c r="J20" i="14"/>
  <c r="K20" i="14"/>
  <c r="G21" i="14"/>
  <c r="J21" i="14"/>
  <c r="K21" i="14"/>
  <c r="G22" i="14"/>
  <c r="J22" i="14"/>
  <c r="K22" i="14"/>
  <c r="G23" i="14"/>
  <c r="J23" i="14"/>
  <c r="K23" i="14"/>
  <c r="G24" i="14"/>
  <c r="J24" i="14"/>
  <c r="G25" i="14"/>
  <c r="J25" i="14"/>
  <c r="K25" i="14"/>
  <c r="G26" i="14"/>
  <c r="J26" i="14"/>
  <c r="K26" i="14"/>
  <c r="G27" i="14"/>
  <c r="J27" i="14"/>
  <c r="K27" i="14"/>
  <c r="G28" i="14"/>
  <c r="J28" i="14"/>
  <c r="K28" i="14"/>
  <c r="G29" i="14"/>
  <c r="J29" i="14"/>
  <c r="K29" i="14"/>
  <c r="G30" i="14"/>
  <c r="J30" i="14"/>
  <c r="K30" i="14"/>
  <c r="G31" i="14"/>
  <c r="J31" i="14"/>
  <c r="K31" i="14"/>
  <c r="G32" i="14"/>
  <c r="J32" i="14"/>
  <c r="K32" i="14"/>
  <c r="G33" i="14"/>
  <c r="J33" i="14"/>
  <c r="K33" i="14"/>
  <c r="G34" i="14"/>
  <c r="J34" i="14"/>
  <c r="K34" i="14"/>
  <c r="G35" i="14"/>
  <c r="J35" i="14"/>
  <c r="K35" i="14"/>
  <c r="G5" i="22"/>
  <c r="J5" i="22"/>
  <c r="K5" i="22"/>
  <c r="G6" i="22"/>
  <c r="J6" i="22"/>
  <c r="K6" i="22"/>
  <c r="G7" i="22"/>
  <c r="J7" i="22"/>
  <c r="K7" i="22"/>
  <c r="G8" i="22"/>
  <c r="J8" i="22"/>
  <c r="K8" i="22"/>
  <c r="G10" i="22"/>
  <c r="J10" i="22"/>
  <c r="K10" i="22"/>
  <c r="M10" i="22" s="1"/>
  <c r="M11" i="22" s="1"/>
  <c r="G11" i="22"/>
  <c r="J11" i="22"/>
  <c r="K11" i="22"/>
  <c r="G12" i="22"/>
  <c r="J12" i="22"/>
  <c r="K12" i="22"/>
  <c r="G13" i="22"/>
  <c r="J13" i="22"/>
  <c r="K13" i="22"/>
  <c r="G14" i="22"/>
  <c r="J14" i="22"/>
  <c r="K14" i="22"/>
  <c r="G15" i="22"/>
  <c r="J15" i="22"/>
  <c r="K15" i="22"/>
  <c r="G16" i="22"/>
  <c r="J16" i="22"/>
  <c r="K16" i="22"/>
  <c r="G17" i="22"/>
  <c r="J17" i="22"/>
  <c r="K17" i="22"/>
  <c r="G18" i="22"/>
  <c r="J18" i="22"/>
  <c r="K18" i="22"/>
  <c r="G19" i="22"/>
  <c r="J19" i="22"/>
  <c r="K19" i="22"/>
  <c r="G20" i="22"/>
  <c r="J20" i="22"/>
  <c r="K20" i="22"/>
  <c r="G21" i="22"/>
  <c r="J21" i="22"/>
  <c r="K21" i="22"/>
  <c r="G22" i="22"/>
  <c r="J22" i="22"/>
  <c r="K22" i="22"/>
  <c r="G23" i="22"/>
  <c r="J23" i="22"/>
  <c r="K23" i="22"/>
  <c r="G24" i="22"/>
  <c r="J24" i="22"/>
  <c r="K24" i="22"/>
  <c r="G25" i="22"/>
  <c r="J25" i="22"/>
  <c r="K25" i="22"/>
  <c r="G26" i="22"/>
  <c r="J26" i="22"/>
  <c r="K26" i="22"/>
  <c r="G27" i="22"/>
  <c r="J27" i="22"/>
  <c r="K27" i="22"/>
  <c r="G28" i="22"/>
  <c r="J28" i="22"/>
  <c r="K28" i="22"/>
  <c r="G29" i="22"/>
  <c r="J29" i="22"/>
  <c r="K29" i="22"/>
  <c r="G30" i="22"/>
  <c r="J30" i="22"/>
  <c r="K30" i="22"/>
  <c r="G31" i="22"/>
  <c r="J31" i="22"/>
  <c r="K31" i="22"/>
  <c r="G32" i="22"/>
  <c r="J32" i="22"/>
  <c r="K32" i="22"/>
  <c r="G33" i="22"/>
  <c r="J33" i="22"/>
  <c r="K33" i="22"/>
  <c r="G34" i="22"/>
  <c r="J34" i="22"/>
  <c r="K34" i="22"/>
  <c r="G35" i="22"/>
  <c r="J35" i="22"/>
  <c r="K35" i="22"/>
  <c r="G36" i="22"/>
  <c r="J36" i="22"/>
  <c r="K36" i="22"/>
  <c r="G37" i="22"/>
  <c r="J37" i="22"/>
  <c r="K37" i="22"/>
  <c r="G38" i="22"/>
  <c r="J38" i="22"/>
  <c r="K38" i="22"/>
  <c r="G5" i="25"/>
  <c r="J5" i="25"/>
  <c r="K5" i="25"/>
  <c r="L5" i="25"/>
  <c r="G6" i="25"/>
  <c r="J6" i="25"/>
  <c r="K6" i="25"/>
  <c r="L6" i="25"/>
  <c r="G7" i="25"/>
  <c r="J7" i="25"/>
  <c r="K7" i="25"/>
  <c r="L7" i="25"/>
  <c r="G8" i="25"/>
  <c r="J8" i="25"/>
  <c r="K8" i="25"/>
  <c r="L8" i="25"/>
  <c r="G9" i="25"/>
  <c r="J9" i="25"/>
  <c r="K9" i="25"/>
  <c r="L9" i="25"/>
  <c r="G10" i="25"/>
  <c r="J10" i="25"/>
  <c r="K10" i="25"/>
  <c r="L10" i="25"/>
  <c r="G11" i="25"/>
  <c r="J11" i="25"/>
  <c r="K11" i="25"/>
  <c r="L11" i="25"/>
  <c r="G12" i="25"/>
  <c r="J12" i="25"/>
  <c r="K12" i="25"/>
  <c r="L12" i="25"/>
  <c r="G13" i="25"/>
  <c r="J13" i="25"/>
  <c r="K13" i="25"/>
  <c r="L13" i="25"/>
  <c r="G14" i="25"/>
  <c r="J14" i="25"/>
  <c r="K14" i="25"/>
  <c r="L14" i="25"/>
  <c r="G15" i="25"/>
  <c r="J15" i="25"/>
  <c r="K15" i="25"/>
  <c r="L15" i="25"/>
  <c r="G16" i="25"/>
  <c r="J16" i="25"/>
  <c r="K16" i="25"/>
  <c r="L16" i="25"/>
  <c r="G17" i="25"/>
  <c r="J17" i="25"/>
  <c r="K17" i="25"/>
  <c r="L17" i="25"/>
  <c r="G18" i="25"/>
  <c r="J18" i="25"/>
  <c r="K18" i="25"/>
  <c r="L18" i="25"/>
  <c r="G19" i="25"/>
  <c r="J19" i="25"/>
  <c r="K19" i="25"/>
  <c r="L19" i="25"/>
  <c r="G20" i="25"/>
  <c r="J20" i="25"/>
  <c r="K20" i="25"/>
  <c r="L20" i="25"/>
  <c r="G21" i="25"/>
  <c r="J21" i="25"/>
  <c r="K21" i="25"/>
  <c r="L21" i="25"/>
  <c r="G22" i="25"/>
  <c r="J22" i="25"/>
  <c r="K22" i="25"/>
  <c r="L22" i="25"/>
  <c r="G23" i="25"/>
  <c r="J23" i="25"/>
  <c r="K23" i="25"/>
  <c r="L23" i="25"/>
  <c r="G24" i="25"/>
  <c r="J24" i="25"/>
  <c r="K24" i="25"/>
  <c r="L24" i="25"/>
  <c r="G25" i="25"/>
  <c r="J25" i="25"/>
  <c r="K25" i="25"/>
  <c r="L25" i="25"/>
  <c r="G26" i="25"/>
  <c r="J26" i="25"/>
  <c r="K26" i="25"/>
  <c r="L26" i="25"/>
  <c r="G27" i="25"/>
  <c r="J27" i="25"/>
  <c r="K27" i="25"/>
  <c r="L27" i="25"/>
  <c r="G28" i="25"/>
  <c r="J28" i="25"/>
  <c r="K28" i="25"/>
  <c r="L28" i="25"/>
  <c r="G29" i="25"/>
  <c r="J29" i="25"/>
  <c r="K29" i="25"/>
  <c r="L29" i="25"/>
  <c r="G30" i="25"/>
  <c r="J30" i="25"/>
  <c r="K30" i="25"/>
  <c r="L30" i="25"/>
  <c r="G31" i="25"/>
  <c r="J31" i="25"/>
  <c r="K31" i="25"/>
  <c r="L31" i="25"/>
  <c r="G32" i="25"/>
  <c r="J32" i="25"/>
  <c r="K32" i="25"/>
  <c r="L32" i="25"/>
  <c r="G33" i="25"/>
  <c r="J33" i="25"/>
  <c r="K33" i="25"/>
  <c r="L33" i="25"/>
  <c r="G34" i="25"/>
  <c r="J34" i="25"/>
  <c r="K34" i="25"/>
  <c r="L34" i="25"/>
  <c r="G5" i="40"/>
  <c r="G6" i="40"/>
  <c r="G7" i="40"/>
  <c r="G8" i="40"/>
  <c r="G9" i="40"/>
  <c r="G10" i="40"/>
  <c r="G11" i="40"/>
  <c r="G12" i="40"/>
  <c r="G13" i="40"/>
  <c r="G14" i="40"/>
  <c r="G15" i="40"/>
  <c r="G16" i="40"/>
  <c r="G17" i="40"/>
  <c r="G18" i="40"/>
  <c r="G19" i="40"/>
  <c r="G20" i="40"/>
  <c r="G21" i="40"/>
  <c r="G22" i="40"/>
  <c r="G23" i="40"/>
  <c r="G24" i="40"/>
  <c r="G25" i="40"/>
  <c r="G26" i="40"/>
  <c r="G27" i="40"/>
  <c r="G28" i="40"/>
  <c r="G29" i="40"/>
  <c r="G30" i="40"/>
  <c r="G31" i="40"/>
  <c r="G32" i="40"/>
  <c r="G33" i="40"/>
  <c r="G5" i="11"/>
  <c r="J5" i="11"/>
  <c r="K5" i="11"/>
  <c r="G6" i="11"/>
  <c r="J6" i="11"/>
  <c r="K6" i="11"/>
  <c r="G7" i="11"/>
  <c r="J7" i="11"/>
  <c r="K7" i="11"/>
  <c r="G8" i="11"/>
  <c r="J8" i="11"/>
  <c r="K8" i="11"/>
  <c r="G9" i="11"/>
  <c r="J9" i="11"/>
  <c r="K9" i="11"/>
  <c r="G10" i="11"/>
  <c r="J10" i="11"/>
  <c r="K10" i="11"/>
  <c r="G11" i="11"/>
  <c r="J11" i="11"/>
  <c r="K11" i="11"/>
  <c r="G12" i="11"/>
  <c r="J12" i="11"/>
  <c r="K12" i="11"/>
  <c r="G13" i="11"/>
  <c r="J13" i="11"/>
  <c r="K13" i="11"/>
  <c r="G14" i="11"/>
  <c r="J14" i="11"/>
  <c r="K14" i="11"/>
  <c r="G15" i="11"/>
  <c r="J15" i="11"/>
  <c r="K15" i="11"/>
  <c r="G16" i="11"/>
  <c r="J16" i="11"/>
  <c r="K16" i="11"/>
  <c r="G17" i="11"/>
  <c r="J17" i="11"/>
  <c r="K17" i="11"/>
  <c r="G18" i="11"/>
  <c r="J18" i="11"/>
  <c r="K18" i="11"/>
  <c r="G19" i="11"/>
  <c r="J19" i="11"/>
  <c r="K19" i="11"/>
  <c r="G20" i="11"/>
  <c r="J20" i="11"/>
  <c r="K20" i="11"/>
  <c r="G21" i="11"/>
  <c r="J21" i="11"/>
  <c r="K21" i="11"/>
  <c r="G22" i="11"/>
  <c r="J22" i="11"/>
  <c r="K22" i="11"/>
  <c r="G23" i="11"/>
  <c r="J23" i="11"/>
  <c r="K23" i="11"/>
  <c r="G24" i="11"/>
  <c r="J24" i="11"/>
  <c r="K24" i="11"/>
  <c r="G25" i="11"/>
  <c r="J25" i="11"/>
  <c r="K25" i="11"/>
  <c r="G26" i="11"/>
  <c r="J26" i="11"/>
  <c r="K26" i="11"/>
  <c r="G27" i="11"/>
  <c r="J27" i="11"/>
  <c r="K27" i="11"/>
  <c r="G28" i="11"/>
  <c r="J28" i="11"/>
  <c r="K28" i="11"/>
  <c r="G29" i="11"/>
  <c r="J29" i="11"/>
  <c r="K29" i="11"/>
  <c r="G30" i="11"/>
  <c r="J30" i="11"/>
  <c r="K30" i="11"/>
  <c r="G31" i="11"/>
  <c r="J31" i="11"/>
  <c r="K31" i="11"/>
  <c r="G32" i="11"/>
  <c r="J32" i="11"/>
  <c r="K32" i="11"/>
  <c r="G33" i="11"/>
  <c r="J33" i="11"/>
  <c r="K33" i="11"/>
  <c r="G5" i="10"/>
  <c r="J5" i="10"/>
  <c r="K5" i="10"/>
  <c r="G6" i="10"/>
  <c r="J6" i="10"/>
  <c r="K6" i="10"/>
  <c r="G7" i="10"/>
  <c r="J7" i="10"/>
  <c r="K7" i="10"/>
  <c r="G8" i="10"/>
  <c r="J8" i="10"/>
  <c r="K8" i="10"/>
  <c r="G9" i="10"/>
  <c r="J9" i="10"/>
  <c r="K9" i="10"/>
  <c r="G10" i="10"/>
  <c r="J10" i="10"/>
  <c r="K10" i="10"/>
  <c r="G11" i="10"/>
  <c r="J11" i="10"/>
  <c r="K11" i="10"/>
  <c r="G12" i="10"/>
  <c r="J12" i="10"/>
  <c r="K12" i="10"/>
  <c r="G13" i="10"/>
  <c r="J13" i="10"/>
  <c r="K13" i="10"/>
  <c r="G14" i="10"/>
  <c r="J14" i="10"/>
  <c r="K14" i="10"/>
  <c r="G15" i="10"/>
  <c r="J15" i="10"/>
  <c r="K15" i="10"/>
  <c r="G16" i="10"/>
  <c r="J16" i="10"/>
  <c r="K16" i="10"/>
  <c r="G17" i="10"/>
  <c r="J17" i="10"/>
  <c r="K17" i="10"/>
  <c r="G18" i="10"/>
  <c r="J18" i="10"/>
  <c r="K18" i="10"/>
  <c r="G19" i="10"/>
  <c r="J19" i="10"/>
  <c r="K19" i="10"/>
  <c r="G20" i="10"/>
  <c r="J20" i="10"/>
  <c r="K20" i="10"/>
  <c r="G21" i="10"/>
  <c r="J21" i="10"/>
  <c r="K21" i="10"/>
  <c r="G22" i="10"/>
  <c r="J22" i="10"/>
  <c r="K22" i="10"/>
  <c r="G23" i="10"/>
  <c r="J23" i="10"/>
  <c r="K23" i="10"/>
  <c r="G24" i="10"/>
  <c r="J24" i="10"/>
  <c r="K24" i="10"/>
  <c r="G25" i="10"/>
  <c r="J25" i="10"/>
  <c r="K25" i="10"/>
  <c r="G26" i="10"/>
  <c r="J26" i="10"/>
  <c r="K26" i="10"/>
  <c r="G27" i="10"/>
  <c r="J27" i="10"/>
  <c r="K27" i="10"/>
  <c r="G28" i="10"/>
  <c r="J28" i="10"/>
  <c r="K28" i="10"/>
  <c r="G29" i="10"/>
  <c r="J29" i="10"/>
  <c r="K29" i="10"/>
  <c r="G30" i="10"/>
  <c r="J30" i="10"/>
  <c r="K30" i="10"/>
  <c r="G31" i="10"/>
  <c r="J31" i="10"/>
  <c r="K31" i="10"/>
  <c r="G32" i="10"/>
  <c r="J32" i="10"/>
  <c r="K32" i="10"/>
  <c r="G33" i="10"/>
  <c r="J33" i="10"/>
  <c r="K33" i="10"/>
  <c r="G34" i="10"/>
  <c r="J34" i="10"/>
  <c r="K34" i="10"/>
  <c r="G5" i="23"/>
  <c r="J5" i="23"/>
  <c r="K5" i="23"/>
  <c r="G6" i="23"/>
  <c r="J6" i="23"/>
  <c r="K6" i="23"/>
  <c r="G8" i="23"/>
  <c r="J8" i="23"/>
  <c r="K8" i="23"/>
  <c r="G9" i="23"/>
  <c r="J9" i="23"/>
  <c r="K9" i="23"/>
  <c r="G10" i="23"/>
  <c r="J10" i="23"/>
  <c r="K10" i="23"/>
  <c r="G11" i="23"/>
  <c r="J11" i="23"/>
  <c r="K11" i="23"/>
  <c r="G12" i="23"/>
  <c r="J12" i="23"/>
  <c r="K12" i="23"/>
  <c r="G13" i="23"/>
  <c r="J13" i="23"/>
  <c r="K13" i="23"/>
  <c r="G14" i="23"/>
  <c r="J14" i="23"/>
  <c r="K14" i="23"/>
  <c r="G15" i="23"/>
  <c r="J15" i="23"/>
  <c r="K15" i="23"/>
  <c r="G16" i="23"/>
  <c r="J16" i="23"/>
  <c r="K16" i="23"/>
  <c r="G17" i="23"/>
  <c r="K17" i="23" s="1"/>
  <c r="G18" i="23"/>
  <c r="J18" i="23"/>
  <c r="K18" i="23"/>
  <c r="G19" i="23"/>
  <c r="J19" i="23"/>
  <c r="K19" i="23"/>
  <c r="G20" i="23"/>
  <c r="J20" i="23"/>
  <c r="K20" i="23"/>
  <c r="G21" i="23"/>
  <c r="J21" i="23"/>
  <c r="K21" i="23"/>
  <c r="G22" i="23"/>
  <c r="J22" i="23"/>
  <c r="K22" i="23"/>
  <c r="G23" i="23"/>
  <c r="J23" i="23"/>
  <c r="K23" i="23"/>
  <c r="G24" i="23"/>
  <c r="J24" i="23"/>
  <c r="K24" i="23"/>
  <c r="G25" i="23"/>
  <c r="J25" i="23"/>
  <c r="K25" i="23"/>
  <c r="G26" i="23"/>
  <c r="J26" i="23"/>
  <c r="K26" i="23"/>
  <c r="G27" i="23"/>
  <c r="J27" i="23"/>
  <c r="K27" i="23"/>
  <c r="G28" i="23"/>
  <c r="J28" i="23"/>
  <c r="K28" i="23"/>
  <c r="G29" i="23"/>
  <c r="J29" i="23"/>
  <c r="K29" i="23"/>
  <c r="G30" i="23"/>
  <c r="J30" i="23"/>
  <c r="K30" i="23"/>
  <c r="G31" i="23"/>
  <c r="J31" i="23"/>
  <c r="K31" i="23"/>
  <c r="G32" i="23"/>
  <c r="J32" i="23"/>
  <c r="K32" i="23"/>
  <c r="G33" i="23"/>
  <c r="J33" i="23"/>
  <c r="K33" i="23"/>
  <c r="G34" i="23"/>
  <c r="J34" i="23"/>
  <c r="K34" i="23"/>
  <c r="G35" i="23"/>
  <c r="J35" i="23"/>
  <c r="K35" i="23"/>
  <c r="G5" i="24"/>
  <c r="J5" i="24"/>
  <c r="K5" i="24"/>
  <c r="L5" i="24"/>
  <c r="G6" i="24"/>
  <c r="J6" i="24"/>
  <c r="K6" i="24"/>
  <c r="L6" i="24"/>
  <c r="G7" i="24"/>
  <c r="J7" i="24"/>
  <c r="K7" i="24"/>
  <c r="L7" i="24"/>
  <c r="G8" i="24"/>
  <c r="J8" i="24"/>
  <c r="K8" i="24"/>
  <c r="L8" i="24"/>
  <c r="G9" i="24"/>
  <c r="J9" i="24"/>
  <c r="K9" i="24"/>
  <c r="L9" i="24"/>
  <c r="G10" i="24"/>
  <c r="J10" i="24"/>
  <c r="K10" i="24"/>
  <c r="L10" i="24"/>
  <c r="G11" i="24"/>
  <c r="J11" i="24"/>
  <c r="K11" i="24"/>
  <c r="L11" i="24"/>
  <c r="G12" i="24"/>
  <c r="J12" i="24"/>
  <c r="K12" i="24"/>
  <c r="L12" i="24"/>
  <c r="G13" i="24"/>
  <c r="J13" i="24"/>
  <c r="K13" i="24"/>
  <c r="L13" i="24"/>
  <c r="G14" i="24"/>
  <c r="J14" i="24"/>
  <c r="K14" i="24"/>
  <c r="L14" i="24"/>
  <c r="G15" i="24"/>
  <c r="J15" i="24"/>
  <c r="K15" i="24"/>
  <c r="L15" i="24"/>
  <c r="G16" i="24"/>
  <c r="J16" i="24"/>
  <c r="K16" i="24"/>
  <c r="L16" i="24"/>
  <c r="G17" i="24"/>
  <c r="J17" i="24"/>
  <c r="K17" i="24"/>
  <c r="L17" i="24"/>
  <c r="G18" i="24"/>
  <c r="J18" i="24"/>
  <c r="K18" i="24"/>
  <c r="L18" i="24"/>
  <c r="G19" i="24"/>
  <c r="J19" i="24"/>
  <c r="K19" i="24"/>
  <c r="L19" i="24"/>
  <c r="G20" i="24"/>
  <c r="J20" i="24"/>
  <c r="K20" i="24"/>
  <c r="L20" i="24"/>
  <c r="G21" i="24"/>
  <c r="J21" i="24"/>
  <c r="K21" i="24"/>
  <c r="L21" i="24"/>
  <c r="G22" i="24"/>
  <c r="J22" i="24"/>
  <c r="K22" i="24"/>
  <c r="L22" i="24"/>
  <c r="G23" i="24"/>
  <c r="J23" i="24"/>
  <c r="K23" i="24"/>
  <c r="L23" i="24"/>
  <c r="G24" i="24"/>
  <c r="J24" i="24"/>
  <c r="K24" i="24"/>
  <c r="L24" i="24"/>
  <c r="G25" i="24"/>
  <c r="J25" i="24"/>
  <c r="K25" i="24"/>
  <c r="L25" i="24"/>
  <c r="G26" i="24"/>
  <c r="J26" i="24"/>
  <c r="K26" i="24"/>
  <c r="L26" i="24"/>
  <c r="G27" i="24"/>
  <c r="K27" i="24"/>
  <c r="L27" i="24"/>
  <c r="G28" i="24"/>
  <c r="K28" i="24"/>
  <c r="L28" i="24"/>
  <c r="G29" i="24"/>
  <c r="J29" i="24"/>
  <c r="K29" i="24"/>
  <c r="L29" i="24"/>
  <c r="G30" i="24"/>
  <c r="J30" i="24"/>
  <c r="K30" i="24"/>
  <c r="L30" i="24"/>
  <c r="G31" i="24"/>
  <c r="J31" i="24"/>
  <c r="K31" i="24"/>
  <c r="L31" i="24"/>
  <c r="G32" i="24"/>
  <c r="J32" i="24"/>
  <c r="K32" i="24"/>
  <c r="L32" i="24"/>
  <c r="G33" i="24"/>
  <c r="J33" i="24"/>
  <c r="K33" i="24"/>
  <c r="L33" i="24"/>
  <c r="G5" i="20"/>
  <c r="J5" i="20"/>
  <c r="K5" i="20"/>
  <c r="L5" i="20"/>
  <c r="G6" i="20"/>
  <c r="J6" i="20"/>
  <c r="K6" i="20"/>
  <c r="L6" i="20"/>
  <c r="G7" i="20"/>
  <c r="J7" i="20"/>
  <c r="K7" i="20"/>
  <c r="L7" i="20"/>
  <c r="G8" i="20"/>
  <c r="J8" i="20"/>
  <c r="K8" i="20"/>
  <c r="L8" i="20"/>
  <c r="G9" i="20"/>
  <c r="J9" i="20"/>
  <c r="K9" i="20"/>
  <c r="L9" i="20"/>
  <c r="G10" i="20"/>
  <c r="J10" i="20"/>
  <c r="K10" i="20"/>
  <c r="L10" i="20"/>
  <c r="G11" i="20"/>
  <c r="J11" i="20"/>
  <c r="K11" i="20"/>
  <c r="L11" i="20"/>
  <c r="G12" i="20"/>
  <c r="J12" i="20"/>
  <c r="K12" i="20"/>
  <c r="L12" i="20"/>
  <c r="G13" i="20"/>
  <c r="J13" i="20"/>
  <c r="K13" i="20"/>
  <c r="L13" i="20"/>
  <c r="G14" i="20"/>
  <c r="J14" i="20"/>
  <c r="K14" i="20"/>
  <c r="L14" i="20"/>
  <c r="G15" i="20"/>
  <c r="J15" i="20"/>
  <c r="K15" i="20"/>
  <c r="L15" i="20"/>
  <c r="G16" i="20"/>
  <c r="J16" i="20"/>
  <c r="K16" i="20"/>
  <c r="L16" i="20"/>
  <c r="G17" i="20"/>
  <c r="J17" i="20"/>
  <c r="K17" i="20"/>
  <c r="L17" i="20"/>
  <c r="G18" i="20"/>
  <c r="J18" i="20"/>
  <c r="K18" i="20"/>
  <c r="L18" i="20"/>
  <c r="G19" i="20"/>
  <c r="J19" i="20"/>
  <c r="K19" i="20"/>
  <c r="L19" i="20"/>
  <c r="G20" i="20"/>
  <c r="J20" i="20"/>
  <c r="K20" i="20"/>
  <c r="L20" i="20"/>
  <c r="G21" i="20"/>
  <c r="J21" i="20"/>
  <c r="K21" i="20"/>
  <c r="L21" i="20"/>
  <c r="G22" i="20"/>
  <c r="J22" i="20"/>
  <c r="K22" i="20"/>
  <c r="L22" i="20"/>
  <c r="G23" i="20"/>
  <c r="J23" i="20"/>
  <c r="K23" i="20"/>
  <c r="L23" i="20"/>
  <c r="G24" i="20"/>
  <c r="J24" i="20"/>
  <c r="K24" i="20"/>
  <c r="L24" i="20"/>
  <c r="G25" i="20"/>
  <c r="J25" i="20"/>
  <c r="K25" i="20"/>
  <c r="L25" i="20"/>
  <c r="G26" i="20"/>
  <c r="J26" i="20"/>
  <c r="K26" i="20"/>
  <c r="L26" i="20"/>
  <c r="G27" i="20"/>
  <c r="J27" i="20"/>
  <c r="K27" i="20"/>
  <c r="L27" i="20"/>
  <c r="G28" i="20"/>
  <c r="J28" i="20"/>
  <c r="K28" i="20"/>
  <c r="L28" i="20"/>
  <c r="G29" i="20"/>
  <c r="J29" i="20"/>
  <c r="K29" i="20"/>
  <c r="L29" i="20"/>
  <c r="G30" i="20"/>
  <c r="J30" i="20"/>
  <c r="K30" i="20"/>
  <c r="L30" i="20"/>
  <c r="G31" i="20"/>
  <c r="J31" i="20"/>
  <c r="K31" i="20"/>
  <c r="L31" i="20"/>
  <c r="G32" i="20"/>
  <c r="J32" i="20"/>
  <c r="K32" i="20"/>
  <c r="L32" i="20"/>
  <c r="G33" i="20"/>
  <c r="J33" i="20"/>
  <c r="K33" i="20"/>
  <c r="L33" i="20"/>
  <c r="G5" i="16"/>
  <c r="J5" i="16"/>
  <c r="K5" i="16"/>
  <c r="G6" i="16"/>
  <c r="J6" i="16"/>
  <c r="K6" i="16"/>
  <c r="G7" i="16"/>
  <c r="J7" i="16"/>
  <c r="K7" i="16"/>
  <c r="G8" i="16"/>
  <c r="J8" i="16"/>
  <c r="K8" i="16"/>
  <c r="G9" i="16"/>
  <c r="J9" i="16"/>
  <c r="K9" i="16"/>
  <c r="G10" i="16"/>
  <c r="J10" i="16"/>
  <c r="K10" i="16"/>
  <c r="G11" i="16"/>
  <c r="J11" i="16"/>
  <c r="K11" i="16"/>
  <c r="G12" i="16"/>
  <c r="J12" i="16"/>
  <c r="K12" i="16"/>
  <c r="G13" i="16"/>
  <c r="J13" i="16"/>
  <c r="K13" i="16"/>
  <c r="G14" i="16"/>
  <c r="J14" i="16"/>
  <c r="K14" i="16"/>
  <c r="G15" i="16"/>
  <c r="J15" i="16"/>
  <c r="K15" i="16"/>
  <c r="G16" i="16"/>
  <c r="J16" i="16"/>
  <c r="K16" i="16"/>
  <c r="G17" i="16"/>
  <c r="J17" i="16"/>
  <c r="K17" i="16"/>
  <c r="G18" i="16"/>
  <c r="J18" i="16"/>
  <c r="K18" i="16"/>
  <c r="G19" i="16"/>
  <c r="J19" i="16"/>
  <c r="K19" i="16"/>
  <c r="G20" i="16"/>
  <c r="J20" i="16"/>
  <c r="K20" i="16"/>
  <c r="G21" i="16"/>
  <c r="J21" i="16"/>
  <c r="K21" i="16"/>
  <c r="G22" i="16"/>
  <c r="J22" i="16"/>
  <c r="K22" i="16"/>
  <c r="G23" i="16"/>
  <c r="J23" i="16"/>
  <c r="K23" i="16"/>
  <c r="G24" i="16"/>
  <c r="J24" i="16"/>
  <c r="K24" i="16"/>
  <c r="G25" i="16"/>
  <c r="J25" i="16"/>
  <c r="K25" i="16"/>
  <c r="G26" i="16"/>
  <c r="J26" i="16"/>
  <c r="K26" i="16"/>
  <c r="G27" i="16"/>
  <c r="J27" i="16"/>
  <c r="K27" i="16"/>
  <c r="G28" i="16"/>
  <c r="J28" i="16"/>
  <c r="K28" i="16"/>
  <c r="G29" i="16"/>
  <c r="J29" i="16"/>
  <c r="K29" i="16"/>
  <c r="G30" i="16"/>
  <c r="J30" i="16"/>
  <c r="K30" i="16"/>
  <c r="G31" i="16"/>
  <c r="J31" i="16"/>
  <c r="K31" i="16"/>
  <c r="G32" i="16"/>
  <c r="J32" i="16"/>
  <c r="K32" i="16"/>
  <c r="G33" i="16"/>
  <c r="J33" i="16"/>
  <c r="K33" i="16"/>
  <c r="G34" i="16"/>
  <c r="J34" i="16"/>
  <c r="K34" i="16"/>
  <c r="M3" i="16"/>
  <c r="M3" i="3"/>
  <c r="M4" i="3"/>
  <c r="G5" i="3"/>
  <c r="J5" i="3"/>
  <c r="K5" i="3"/>
  <c r="G6" i="3"/>
  <c r="J6" i="3"/>
  <c r="K6" i="3"/>
  <c r="G7" i="3"/>
  <c r="J7" i="3"/>
  <c r="K7" i="3"/>
  <c r="G8" i="3"/>
  <c r="J8" i="3"/>
  <c r="K8" i="3"/>
  <c r="G9" i="3"/>
  <c r="J9" i="3"/>
  <c r="K9" i="3"/>
  <c r="G10" i="3"/>
  <c r="J10" i="3"/>
  <c r="K10" i="3"/>
  <c r="G11" i="3"/>
  <c r="J11" i="3"/>
  <c r="K11" i="3"/>
  <c r="G12" i="3"/>
  <c r="J12" i="3"/>
  <c r="K12" i="3"/>
  <c r="G13" i="3"/>
  <c r="J13" i="3"/>
  <c r="K13" i="3"/>
  <c r="G14" i="3"/>
  <c r="J14" i="3"/>
  <c r="K14" i="3"/>
  <c r="G15" i="3"/>
  <c r="J15" i="3"/>
  <c r="K15" i="3"/>
  <c r="G16" i="3"/>
  <c r="J16" i="3"/>
  <c r="K16" i="3"/>
  <c r="G17" i="3"/>
  <c r="J17" i="3"/>
  <c r="K17" i="3"/>
  <c r="G18" i="3"/>
  <c r="J18" i="3"/>
  <c r="K18" i="3"/>
  <c r="G19" i="3"/>
  <c r="J19" i="3"/>
  <c r="K19" i="3"/>
  <c r="G20" i="3"/>
  <c r="J20" i="3"/>
  <c r="K20" i="3"/>
  <c r="G21" i="3"/>
  <c r="J21" i="3"/>
  <c r="K21" i="3"/>
  <c r="G22" i="3"/>
  <c r="J22" i="3"/>
  <c r="K22" i="3"/>
  <c r="G23" i="3"/>
  <c r="J23" i="3"/>
  <c r="K23" i="3"/>
  <c r="G24" i="3"/>
  <c r="J24" i="3"/>
  <c r="K24" i="3"/>
  <c r="G25" i="3"/>
  <c r="J25" i="3"/>
  <c r="K25" i="3"/>
  <c r="G26" i="3"/>
  <c r="J26" i="3"/>
  <c r="K26" i="3"/>
  <c r="G27" i="3"/>
  <c r="J27" i="3"/>
  <c r="K27" i="3"/>
  <c r="G28" i="3"/>
  <c r="J28" i="3"/>
  <c r="K28" i="3"/>
  <c r="G29" i="3"/>
  <c r="J29" i="3"/>
  <c r="K29" i="3"/>
  <c r="G30" i="3"/>
  <c r="J30" i="3"/>
  <c r="K30" i="3"/>
  <c r="G31" i="3"/>
  <c r="J31" i="3"/>
  <c r="K31" i="3"/>
  <c r="G32" i="3"/>
  <c r="J32" i="3"/>
  <c r="K32" i="3"/>
  <c r="G33" i="3"/>
  <c r="J33" i="3"/>
  <c r="K33" i="3"/>
  <c r="G34" i="3"/>
  <c r="J34" i="3"/>
  <c r="K34" i="3"/>
  <c r="G5" i="7"/>
  <c r="J5" i="7"/>
  <c r="G6" i="7"/>
  <c r="J6" i="7"/>
  <c r="G7" i="7"/>
  <c r="J7" i="7"/>
  <c r="G8" i="7"/>
  <c r="J8" i="7"/>
  <c r="G9" i="7"/>
  <c r="J9" i="7"/>
  <c r="G10" i="7"/>
  <c r="J10" i="7"/>
  <c r="G11" i="7"/>
  <c r="J11" i="7"/>
  <c r="G12" i="7"/>
  <c r="J12" i="7"/>
  <c r="G13" i="7"/>
  <c r="J13" i="7"/>
  <c r="G14" i="7"/>
  <c r="J14" i="7"/>
  <c r="G15" i="7"/>
  <c r="J15" i="7"/>
  <c r="G16" i="7"/>
  <c r="J16" i="7"/>
  <c r="G17" i="7"/>
  <c r="J17" i="7"/>
  <c r="G18" i="7"/>
  <c r="J18" i="7"/>
  <c r="G19" i="7"/>
  <c r="J19" i="7"/>
  <c r="G20" i="7"/>
  <c r="J20" i="7"/>
  <c r="G21" i="7"/>
  <c r="J21" i="7"/>
  <c r="G22" i="7"/>
  <c r="J22" i="7"/>
  <c r="G23" i="7"/>
  <c r="J23" i="7"/>
  <c r="G24" i="7"/>
  <c r="J24" i="7"/>
  <c r="G25" i="7"/>
  <c r="J25" i="7"/>
  <c r="G26" i="7"/>
  <c r="J26" i="7"/>
  <c r="G27" i="7"/>
  <c r="J27" i="7"/>
  <c r="G28" i="7"/>
  <c r="J28" i="7"/>
  <c r="G29" i="7"/>
  <c r="J29" i="7"/>
  <c r="G30" i="7"/>
  <c r="J30" i="7"/>
  <c r="G31" i="7"/>
  <c r="J31" i="7"/>
  <c r="G32" i="7"/>
  <c r="J32" i="7"/>
  <c r="G33" i="7"/>
  <c r="J33" i="7"/>
  <c r="J5" i="52"/>
  <c r="K5" i="52"/>
  <c r="J6" i="52"/>
  <c r="K6" i="52"/>
  <c r="J7" i="52"/>
  <c r="K7" i="52"/>
  <c r="J8" i="52"/>
  <c r="K8" i="52"/>
  <c r="J9" i="52"/>
  <c r="K9" i="52"/>
  <c r="J10" i="52"/>
  <c r="K10" i="52"/>
  <c r="J11" i="52"/>
  <c r="K11" i="52"/>
  <c r="J12" i="52"/>
  <c r="K12" i="52"/>
  <c r="J13" i="52"/>
  <c r="K13" i="52"/>
  <c r="J14" i="52"/>
  <c r="K14" i="52"/>
  <c r="J15" i="52"/>
  <c r="K15" i="52"/>
  <c r="J16" i="52"/>
  <c r="K16" i="52"/>
  <c r="J17" i="52"/>
  <c r="K17" i="52"/>
  <c r="J18" i="52"/>
  <c r="K18" i="52"/>
  <c r="J19" i="52"/>
  <c r="K19" i="52"/>
  <c r="J20" i="52"/>
  <c r="K20" i="52"/>
  <c r="J21" i="52"/>
  <c r="K21" i="52"/>
  <c r="J22" i="52"/>
  <c r="K22" i="52"/>
  <c r="J23" i="52"/>
  <c r="K23" i="52"/>
  <c r="J24" i="52"/>
  <c r="K24" i="52"/>
  <c r="J25" i="52"/>
  <c r="K25" i="52"/>
  <c r="J26" i="52"/>
  <c r="K26" i="52"/>
  <c r="J27" i="52"/>
  <c r="K27" i="52"/>
  <c r="J28" i="52"/>
  <c r="K28" i="52"/>
  <c r="J29" i="52"/>
  <c r="K29" i="52"/>
  <c r="J30" i="52"/>
  <c r="K30" i="52"/>
  <c r="J31" i="52"/>
  <c r="K31" i="52"/>
  <c r="J32" i="52"/>
  <c r="K32" i="52"/>
  <c r="J33" i="52"/>
  <c r="K33" i="52"/>
  <c r="J5" i="1"/>
  <c r="K5" i="1"/>
  <c r="J6" i="1"/>
  <c r="K6" i="1"/>
  <c r="J7" i="1"/>
  <c r="K7" i="1"/>
  <c r="J8" i="1"/>
  <c r="K8" i="1"/>
  <c r="J9" i="1"/>
  <c r="K9" i="1"/>
  <c r="J10" i="1"/>
  <c r="K10" i="1"/>
  <c r="J11" i="1"/>
  <c r="K11" i="1"/>
  <c r="J12" i="1"/>
  <c r="K12" i="1"/>
  <c r="J13" i="1"/>
  <c r="K13" i="1"/>
  <c r="J14" i="1"/>
  <c r="K14" i="1"/>
  <c r="J15" i="1"/>
  <c r="K15" i="1"/>
  <c r="J16" i="1"/>
  <c r="K16" i="1"/>
  <c r="J17" i="1"/>
  <c r="K17" i="1"/>
  <c r="J18" i="1"/>
  <c r="K18" i="1"/>
  <c r="J19" i="1"/>
  <c r="K19" i="1"/>
  <c r="J20" i="1"/>
  <c r="K20" i="1"/>
  <c r="J21" i="1"/>
  <c r="K21" i="1"/>
  <c r="J22" i="1"/>
  <c r="K22" i="1"/>
  <c r="J23" i="1"/>
  <c r="K23" i="1"/>
  <c r="J24" i="1"/>
  <c r="K24" i="1"/>
  <c r="J25" i="1"/>
  <c r="K25" i="1"/>
  <c r="J26" i="1"/>
  <c r="K26" i="1"/>
  <c r="J27" i="1"/>
  <c r="K27" i="1"/>
  <c r="J28" i="1"/>
  <c r="K28" i="1"/>
  <c r="J29" i="1"/>
  <c r="K29" i="1"/>
  <c r="J30" i="1"/>
  <c r="K30" i="1"/>
  <c r="J31" i="1"/>
  <c r="K31" i="1"/>
  <c r="J32" i="1"/>
  <c r="K32" i="1"/>
  <c r="J33" i="1"/>
  <c r="K33" i="1"/>
  <c r="J34" i="1"/>
  <c r="K34" i="1"/>
  <c r="G5" i="2"/>
  <c r="J5" i="2"/>
  <c r="K5" i="2"/>
  <c r="G6" i="2"/>
  <c r="J6" i="2"/>
  <c r="K6" i="2"/>
  <c r="G7" i="2"/>
  <c r="J7" i="2"/>
  <c r="K7" i="2"/>
  <c r="G8" i="2"/>
  <c r="J8" i="2"/>
  <c r="K8" i="2"/>
  <c r="G9" i="2"/>
  <c r="J9" i="2"/>
  <c r="K9" i="2"/>
  <c r="G10" i="2"/>
  <c r="J10" i="2"/>
  <c r="K10" i="2"/>
  <c r="G11" i="2"/>
  <c r="J11" i="2"/>
  <c r="K11" i="2"/>
  <c r="J12" i="2"/>
  <c r="K12" i="2"/>
  <c r="G13" i="2"/>
  <c r="J13" i="2"/>
  <c r="K13" i="2"/>
  <c r="G14" i="2"/>
  <c r="J14" i="2"/>
  <c r="K14" i="2"/>
  <c r="G15" i="2"/>
  <c r="J15" i="2"/>
  <c r="K15" i="2"/>
  <c r="G16" i="2"/>
  <c r="J16" i="2"/>
  <c r="K16" i="2"/>
  <c r="G17" i="2"/>
  <c r="J17" i="2"/>
  <c r="K17" i="2"/>
  <c r="G18" i="2"/>
  <c r="J18" i="2"/>
  <c r="K18" i="2"/>
  <c r="G19" i="2"/>
  <c r="J19" i="2"/>
  <c r="K19" i="2"/>
  <c r="G20" i="2"/>
  <c r="J20" i="2"/>
  <c r="K20" i="2"/>
  <c r="G21" i="2"/>
  <c r="J21" i="2"/>
  <c r="K21" i="2"/>
  <c r="G22" i="2"/>
  <c r="J22" i="2"/>
  <c r="K22" i="2"/>
  <c r="G23" i="2"/>
  <c r="J23" i="2"/>
  <c r="K23" i="2"/>
  <c r="G24" i="2"/>
  <c r="J24" i="2"/>
  <c r="K24" i="2"/>
  <c r="G25" i="2"/>
  <c r="J25" i="2"/>
  <c r="K25" i="2"/>
  <c r="G26" i="2"/>
  <c r="J26" i="2"/>
  <c r="K26" i="2"/>
  <c r="G27" i="2"/>
  <c r="J27" i="2"/>
  <c r="K27" i="2"/>
  <c r="G28" i="2"/>
  <c r="J28" i="2"/>
  <c r="K28" i="2"/>
  <c r="G29" i="2"/>
  <c r="J29" i="2"/>
  <c r="K29" i="2"/>
  <c r="G30" i="2"/>
  <c r="J30" i="2"/>
  <c r="K30" i="2"/>
  <c r="G31" i="2"/>
  <c r="J31" i="2"/>
  <c r="K31" i="2"/>
  <c r="G32" i="2"/>
  <c r="J32" i="2"/>
  <c r="K32" i="2"/>
  <c r="G33" i="2"/>
  <c r="J33" i="2"/>
  <c r="K33" i="2"/>
  <c r="G34" i="2"/>
  <c r="J34" i="2"/>
  <c r="K34" i="2"/>
  <c r="G35" i="2"/>
  <c r="J35" i="2"/>
  <c r="K35" i="2"/>
  <c r="G5" i="32"/>
  <c r="J5" i="32"/>
  <c r="K5" i="32"/>
  <c r="L5" i="32" s="1"/>
  <c r="G6" i="32"/>
  <c r="J6" i="32"/>
  <c r="K6" i="32"/>
  <c r="L6" i="32" s="1"/>
  <c r="G8" i="32"/>
  <c r="J8" i="32"/>
  <c r="K8" i="32"/>
  <c r="G9" i="32"/>
  <c r="J9" i="32"/>
  <c r="K9" i="32"/>
  <c r="G10" i="32"/>
  <c r="J10" i="32"/>
  <c r="K10" i="32"/>
  <c r="G11" i="32"/>
  <c r="J11" i="32"/>
  <c r="K11" i="32"/>
  <c r="G12" i="32"/>
  <c r="J12" i="32"/>
  <c r="K12" i="32"/>
  <c r="G13" i="32"/>
  <c r="J13" i="32"/>
  <c r="K13" i="32"/>
  <c r="G14" i="32"/>
  <c r="J14" i="32"/>
  <c r="K14" i="32"/>
  <c r="G15" i="32"/>
  <c r="J15" i="32"/>
  <c r="K15" i="32"/>
  <c r="G16" i="32"/>
  <c r="J16" i="32"/>
  <c r="K16" i="32"/>
  <c r="G17" i="32"/>
  <c r="J17" i="32"/>
  <c r="K17" i="32"/>
  <c r="G18" i="32"/>
  <c r="J18" i="32"/>
  <c r="K18" i="32"/>
  <c r="G19" i="32"/>
  <c r="J19" i="32"/>
  <c r="K19" i="32"/>
  <c r="G20" i="32"/>
  <c r="J20" i="32"/>
  <c r="K20" i="32"/>
  <c r="G21" i="32"/>
  <c r="J21" i="32"/>
  <c r="K21" i="32"/>
  <c r="G22" i="32"/>
  <c r="J22" i="32"/>
  <c r="K22" i="32"/>
  <c r="G23" i="32"/>
  <c r="J23" i="32"/>
  <c r="K23" i="32"/>
  <c r="G24" i="32"/>
  <c r="J24" i="32"/>
  <c r="K24" i="32"/>
  <c r="G25" i="32"/>
  <c r="J25" i="32"/>
  <c r="K25" i="32"/>
  <c r="G26" i="32"/>
  <c r="J26" i="32"/>
  <c r="K26" i="32"/>
  <c r="G27" i="32"/>
  <c r="J27" i="32"/>
  <c r="K27" i="32"/>
  <c r="G28" i="32"/>
  <c r="J28" i="32"/>
  <c r="K28" i="32"/>
  <c r="G29" i="32"/>
  <c r="J29" i="32"/>
  <c r="K29" i="32"/>
  <c r="G30" i="32"/>
  <c r="J30" i="32"/>
  <c r="K30" i="32"/>
  <c r="G31" i="32"/>
  <c r="J31" i="32"/>
  <c r="K31" i="32"/>
  <c r="G32" i="32"/>
  <c r="J32" i="32"/>
  <c r="K32" i="32"/>
  <c r="G33" i="32"/>
  <c r="J33" i="32"/>
  <c r="K33" i="32"/>
  <c r="G34" i="32"/>
  <c r="J34" i="32"/>
  <c r="K34" i="32"/>
  <c r="G35" i="32"/>
  <c r="J35" i="32"/>
  <c r="K35" i="32"/>
  <c r="G36" i="32"/>
  <c r="J36" i="32"/>
  <c r="K36" i="32"/>
  <c r="G37" i="32"/>
  <c r="J37" i="32"/>
  <c r="K37" i="32"/>
  <c r="G38" i="32"/>
  <c r="J38" i="32"/>
  <c r="K38" i="32"/>
  <c r="G39" i="32"/>
  <c r="J39" i="32"/>
  <c r="K39" i="32"/>
  <c r="G5" i="54"/>
  <c r="J5" i="54"/>
  <c r="K5" i="54"/>
  <c r="G6" i="54"/>
  <c r="J6" i="54"/>
  <c r="K6" i="54"/>
  <c r="G7" i="54"/>
  <c r="J7" i="54"/>
  <c r="K7" i="54"/>
  <c r="G8" i="54"/>
  <c r="J8" i="54"/>
  <c r="K8" i="54"/>
  <c r="G9" i="54"/>
  <c r="J9" i="54"/>
  <c r="K9" i="54"/>
  <c r="G10" i="54"/>
  <c r="J10" i="54"/>
  <c r="K10" i="54"/>
  <c r="G11" i="54"/>
  <c r="J11" i="54"/>
  <c r="K11" i="54"/>
  <c r="G12" i="54"/>
  <c r="J12" i="54"/>
  <c r="K12" i="54"/>
  <c r="G13" i="54"/>
  <c r="J13" i="54"/>
  <c r="K13" i="54"/>
  <c r="G14" i="54"/>
  <c r="J14" i="54"/>
  <c r="K14" i="54"/>
  <c r="G15" i="54"/>
  <c r="J15" i="54"/>
  <c r="K15" i="54"/>
  <c r="G16" i="54"/>
  <c r="J16" i="54"/>
  <c r="K16" i="54"/>
  <c r="G17" i="54"/>
  <c r="J17" i="54"/>
  <c r="K17" i="54"/>
  <c r="G18" i="54"/>
  <c r="J18" i="54"/>
  <c r="K18" i="54"/>
  <c r="G19" i="54"/>
  <c r="J19" i="54"/>
  <c r="K19" i="54"/>
  <c r="G20" i="54"/>
  <c r="J20" i="54"/>
  <c r="K20" i="54"/>
  <c r="G21" i="54"/>
  <c r="J21" i="54"/>
  <c r="K21" i="54"/>
  <c r="G22" i="54"/>
  <c r="J22" i="54"/>
  <c r="K22" i="54"/>
  <c r="G23" i="54"/>
  <c r="J23" i="54"/>
  <c r="K23" i="54"/>
  <c r="G24" i="54"/>
  <c r="J24" i="54"/>
  <c r="K24" i="54"/>
  <c r="G25" i="54"/>
  <c r="J25" i="54"/>
  <c r="K25" i="54"/>
  <c r="G26" i="54"/>
  <c r="J26" i="54"/>
  <c r="K26" i="54"/>
  <c r="G27" i="54"/>
  <c r="J27" i="54"/>
  <c r="K27" i="54"/>
  <c r="G28" i="54"/>
  <c r="J28" i="54"/>
  <c r="K28" i="54"/>
  <c r="G29" i="54"/>
  <c r="J29" i="54"/>
  <c r="K29" i="54"/>
  <c r="G30" i="54"/>
  <c r="J30" i="54"/>
  <c r="K30" i="54"/>
  <c r="G31" i="54"/>
  <c r="J31" i="54"/>
  <c r="K31" i="54"/>
  <c r="G32" i="54"/>
  <c r="J32" i="54"/>
  <c r="K32" i="54"/>
  <c r="G33" i="54"/>
  <c r="J33" i="54"/>
  <c r="K33" i="54"/>
  <c r="G34" i="54"/>
  <c r="J34" i="54"/>
  <c r="K34" i="54"/>
  <c r="J5" i="18"/>
  <c r="K5" i="18"/>
  <c r="J6" i="18"/>
  <c r="K6" i="18"/>
  <c r="J7" i="18"/>
  <c r="K7" i="18"/>
  <c r="J8" i="18"/>
  <c r="K8" i="18"/>
  <c r="J9" i="18"/>
  <c r="K9" i="18"/>
  <c r="J10" i="18"/>
  <c r="K10" i="18"/>
  <c r="J11" i="18"/>
  <c r="K11" i="18"/>
  <c r="J12" i="18"/>
  <c r="K12" i="18"/>
  <c r="J13" i="18"/>
  <c r="K13" i="18"/>
  <c r="M13" i="18" s="1"/>
  <c r="M14" i="18" s="1"/>
  <c r="M15" i="18" s="1"/>
  <c r="M16" i="18" s="1"/>
  <c r="M17" i="18" s="1"/>
  <c r="M18" i="18" s="1"/>
  <c r="M19" i="18" s="1"/>
  <c r="M20" i="18" s="1"/>
  <c r="J14" i="18"/>
  <c r="K14" i="18"/>
  <c r="J15" i="18"/>
  <c r="K15" i="18"/>
  <c r="J16" i="18"/>
  <c r="K16" i="18"/>
  <c r="J17" i="18"/>
  <c r="K17" i="18"/>
  <c r="J18" i="18"/>
  <c r="K18" i="18"/>
  <c r="J19" i="18"/>
  <c r="K19" i="18"/>
  <c r="J20" i="18"/>
  <c r="K20" i="18"/>
  <c r="J21" i="18"/>
  <c r="K21" i="18"/>
  <c r="M21" i="18" s="1"/>
  <c r="J22" i="18"/>
  <c r="K22" i="18"/>
  <c r="J23" i="18"/>
  <c r="K23" i="18"/>
  <c r="J24" i="18"/>
  <c r="K24" i="18"/>
  <c r="J25" i="18"/>
  <c r="K25" i="18"/>
  <c r="J26" i="18"/>
  <c r="K26" i="18"/>
  <c r="J27" i="18"/>
  <c r="K27" i="18"/>
  <c r="J28" i="18"/>
  <c r="K28" i="18"/>
  <c r="J29" i="18"/>
  <c r="K29" i="18"/>
  <c r="J30" i="18"/>
  <c r="K30" i="18"/>
  <c r="J31" i="18"/>
  <c r="K31" i="18"/>
  <c r="J32" i="18"/>
  <c r="K32" i="18"/>
  <c r="J33" i="18"/>
  <c r="K33" i="18"/>
  <c r="J34" i="18"/>
  <c r="K34" i="18"/>
  <c r="J35" i="18"/>
  <c r="K35" i="18"/>
  <c r="G5" i="47"/>
  <c r="K5" i="47"/>
  <c r="G6" i="47"/>
  <c r="K6" i="47"/>
  <c r="G7" i="47"/>
  <c r="K7" i="47"/>
  <c r="G8" i="47"/>
  <c r="K8" i="47"/>
  <c r="G9" i="47"/>
  <c r="K9" i="47"/>
  <c r="G10" i="47"/>
  <c r="G11" i="47"/>
  <c r="K11" i="47"/>
  <c r="G12" i="47"/>
  <c r="K12" i="47"/>
  <c r="G13" i="47"/>
  <c r="K13" i="47"/>
  <c r="G14" i="47"/>
  <c r="K14" i="47"/>
  <c r="G15" i="47"/>
  <c r="K15" i="47"/>
  <c r="G16" i="47"/>
  <c r="K16" i="47"/>
  <c r="G17" i="47"/>
  <c r="K17" i="47"/>
  <c r="G18" i="47"/>
  <c r="K18" i="47"/>
  <c r="G19" i="47"/>
  <c r="K19" i="47"/>
  <c r="G20" i="47"/>
  <c r="K20" i="47"/>
  <c r="G21" i="47"/>
  <c r="K21" i="47"/>
  <c r="G22" i="47"/>
  <c r="K22" i="47"/>
  <c r="G23" i="47"/>
  <c r="K23" i="47"/>
  <c r="G24" i="47"/>
  <c r="K24" i="47"/>
  <c r="G25" i="47"/>
  <c r="K25" i="47"/>
  <c r="G26" i="47"/>
  <c r="K26" i="47"/>
  <c r="G27" i="47"/>
  <c r="K27" i="47"/>
  <c r="G28" i="47"/>
  <c r="K28" i="47"/>
  <c r="G29" i="47"/>
  <c r="K29" i="47"/>
  <c r="G30" i="47"/>
  <c r="K30" i="47"/>
  <c r="G31" i="47"/>
  <c r="K31" i="47"/>
  <c r="G32" i="47"/>
  <c r="K32" i="47"/>
  <c r="G33" i="47"/>
  <c r="K33" i="47"/>
  <c r="G34" i="47"/>
  <c r="K34" i="47"/>
  <c r="G5" i="50"/>
  <c r="J5" i="50"/>
  <c r="K5" i="50"/>
  <c r="G6" i="50"/>
  <c r="J6" i="50"/>
  <c r="K6" i="50"/>
  <c r="G7" i="50"/>
  <c r="J7" i="50"/>
  <c r="K7" i="50"/>
  <c r="G8" i="50"/>
  <c r="J8" i="50"/>
  <c r="K8" i="50"/>
  <c r="G9" i="50"/>
  <c r="J9" i="50"/>
  <c r="K9" i="50"/>
  <c r="G10" i="50"/>
  <c r="J10" i="50"/>
  <c r="K10" i="50"/>
  <c r="G11" i="50"/>
  <c r="J11" i="50"/>
  <c r="K11" i="50"/>
  <c r="G12" i="50"/>
  <c r="J12" i="50"/>
  <c r="K12" i="50"/>
  <c r="G13" i="50"/>
  <c r="J13" i="50"/>
  <c r="K13" i="50"/>
  <c r="G14" i="50"/>
  <c r="J14" i="50"/>
  <c r="K14" i="50"/>
  <c r="G15" i="50"/>
  <c r="J15" i="50"/>
  <c r="K15" i="50"/>
  <c r="G16" i="50"/>
  <c r="J16" i="50"/>
  <c r="K16" i="50"/>
  <c r="G17" i="50"/>
  <c r="J17" i="50"/>
  <c r="K17" i="50"/>
  <c r="G18" i="50"/>
  <c r="J18" i="50"/>
  <c r="K18" i="50"/>
  <c r="G19" i="50"/>
  <c r="J19" i="50"/>
  <c r="K19" i="50"/>
  <c r="G20" i="50"/>
  <c r="J20" i="50"/>
  <c r="K20" i="50"/>
  <c r="G21" i="50"/>
  <c r="J21" i="50"/>
  <c r="K21" i="50"/>
  <c r="G22" i="50"/>
  <c r="J22" i="50"/>
  <c r="K22" i="50"/>
  <c r="G23" i="50"/>
  <c r="J23" i="50"/>
  <c r="K23" i="50"/>
  <c r="G24" i="50"/>
  <c r="J24" i="50"/>
  <c r="K24" i="50"/>
  <c r="G25" i="50"/>
  <c r="J25" i="50"/>
  <c r="K25" i="50"/>
  <c r="G26" i="50"/>
  <c r="J26" i="50"/>
  <c r="K26" i="50"/>
  <c r="G27" i="50"/>
  <c r="J27" i="50"/>
  <c r="K27" i="50"/>
  <c r="G28" i="50"/>
  <c r="J28" i="50"/>
  <c r="K28" i="50"/>
  <c r="G29" i="50"/>
  <c r="J29" i="50"/>
  <c r="K29" i="50"/>
  <c r="G30" i="50"/>
  <c r="J30" i="50"/>
  <c r="K30" i="50"/>
  <c r="G31" i="50"/>
  <c r="J31" i="50"/>
  <c r="K31" i="50"/>
  <c r="G32" i="50"/>
  <c r="J32" i="50"/>
  <c r="K32" i="50"/>
  <c r="G33" i="50"/>
  <c r="J33" i="50"/>
  <c r="K33" i="50"/>
  <c r="G34" i="50"/>
  <c r="J34" i="50"/>
  <c r="K34" i="50"/>
  <c r="G35" i="50"/>
  <c r="J35" i="50"/>
  <c r="K35" i="50"/>
  <c r="G4" i="50"/>
  <c r="J4" i="50"/>
  <c r="K4" i="50"/>
  <c r="G5" i="6"/>
  <c r="J5" i="6"/>
  <c r="K5" i="6"/>
  <c r="G6" i="6"/>
  <c r="J6" i="6"/>
  <c r="K6" i="6"/>
  <c r="G7" i="6"/>
  <c r="J7" i="6"/>
  <c r="K7" i="6"/>
  <c r="G8" i="6"/>
  <c r="J8" i="6"/>
  <c r="K8" i="6"/>
  <c r="G9" i="6"/>
  <c r="J9" i="6"/>
  <c r="K9" i="6"/>
  <c r="G10" i="6"/>
  <c r="J10" i="6"/>
  <c r="K10" i="6"/>
  <c r="G11" i="6"/>
  <c r="J11" i="6"/>
  <c r="K11" i="6"/>
  <c r="G12" i="6"/>
  <c r="J12" i="6"/>
  <c r="K12" i="6"/>
  <c r="G13" i="6"/>
  <c r="J13" i="6"/>
  <c r="K13" i="6"/>
  <c r="G14" i="6"/>
  <c r="J14" i="6"/>
  <c r="K14" i="6"/>
  <c r="G15" i="6"/>
  <c r="J15" i="6"/>
  <c r="K15" i="6"/>
  <c r="G16" i="6"/>
  <c r="J16" i="6"/>
  <c r="K16" i="6"/>
  <c r="G17" i="6"/>
  <c r="J17" i="6"/>
  <c r="K17" i="6"/>
  <c r="G18" i="6"/>
  <c r="J18" i="6"/>
  <c r="K18" i="6"/>
  <c r="G19" i="6"/>
  <c r="J19" i="6"/>
  <c r="K19" i="6"/>
  <c r="G20" i="6"/>
  <c r="J20" i="6"/>
  <c r="K20" i="6"/>
  <c r="G21" i="6"/>
  <c r="J21" i="6"/>
  <c r="K21" i="6"/>
  <c r="G22" i="6"/>
  <c r="J22" i="6"/>
  <c r="K22" i="6"/>
  <c r="G23" i="6"/>
  <c r="J23" i="6"/>
  <c r="K23" i="6"/>
  <c r="G24" i="6"/>
  <c r="J24" i="6"/>
  <c r="K24" i="6"/>
  <c r="G25" i="6"/>
  <c r="J25" i="6"/>
  <c r="K25" i="6"/>
  <c r="G26" i="6"/>
  <c r="J26" i="6"/>
  <c r="K26" i="6"/>
  <c r="G27" i="6"/>
  <c r="J27" i="6"/>
  <c r="K27" i="6"/>
  <c r="G28" i="6"/>
  <c r="J28" i="6"/>
  <c r="K28" i="6"/>
  <c r="G29" i="6"/>
  <c r="J29" i="6"/>
  <c r="K29" i="6"/>
  <c r="G30" i="6"/>
  <c r="J30" i="6"/>
  <c r="K30" i="6"/>
  <c r="G31" i="6"/>
  <c r="J31" i="6"/>
  <c r="K31" i="6"/>
  <c r="G32" i="6"/>
  <c r="J32" i="6"/>
  <c r="K32" i="6"/>
  <c r="G33" i="6"/>
  <c r="J33" i="6"/>
  <c r="K33" i="6"/>
  <c r="G34" i="6"/>
  <c r="J34" i="6"/>
  <c r="K34" i="6"/>
  <c r="G35" i="6"/>
  <c r="J35" i="6"/>
  <c r="K35" i="6"/>
  <c r="G35" i="16"/>
  <c r="J35" i="16"/>
  <c r="K35" i="16"/>
  <c r="H35" i="9"/>
  <c r="K5" i="58"/>
  <c r="L5" i="58"/>
  <c r="K6" i="58"/>
  <c r="L6" i="58"/>
  <c r="K7" i="58"/>
  <c r="L7" i="58"/>
  <c r="K8" i="58"/>
  <c r="L8" i="58"/>
  <c r="K9" i="58"/>
  <c r="L9" i="58"/>
  <c r="K10" i="58"/>
  <c r="L10" i="58"/>
  <c r="K11" i="58"/>
  <c r="L11" i="58"/>
  <c r="K12" i="58"/>
  <c r="L12" i="58"/>
  <c r="K13" i="58"/>
  <c r="L13" i="58"/>
  <c r="K14" i="58"/>
  <c r="L14" i="58"/>
  <c r="K15" i="58"/>
  <c r="L15" i="58"/>
  <c r="K16" i="58"/>
  <c r="L16" i="58"/>
  <c r="K17" i="58"/>
  <c r="L17" i="58"/>
  <c r="K18" i="58"/>
  <c r="L18" i="58"/>
  <c r="K19" i="58"/>
  <c r="L19" i="58"/>
  <c r="K20" i="58"/>
  <c r="L20" i="58"/>
  <c r="K21" i="58"/>
  <c r="L21" i="58"/>
  <c r="K22" i="58"/>
  <c r="L22" i="58"/>
  <c r="K23" i="58"/>
  <c r="L23" i="58"/>
  <c r="K24" i="58"/>
  <c r="L24" i="58"/>
  <c r="K25" i="58"/>
  <c r="L25" i="58"/>
  <c r="K26" i="58"/>
  <c r="L26" i="58"/>
  <c r="K27" i="58"/>
  <c r="L27" i="58"/>
  <c r="K28" i="58"/>
  <c r="L28" i="58"/>
  <c r="K29" i="58"/>
  <c r="L29" i="58"/>
  <c r="K30" i="58"/>
  <c r="L30" i="58"/>
  <c r="K31" i="58"/>
  <c r="L31" i="58"/>
  <c r="K32" i="58"/>
  <c r="L32" i="58"/>
  <c r="K33" i="58"/>
  <c r="L33" i="58"/>
  <c r="G34" i="58"/>
  <c r="J34" i="58"/>
  <c r="K34" i="58"/>
  <c r="L34" i="58"/>
  <c r="J4" i="58"/>
  <c r="G4" i="58"/>
  <c r="H35" i="58"/>
  <c r="F9" i="56" s="1"/>
  <c r="E35" i="58"/>
  <c r="D9" i="56" s="1"/>
  <c r="J35" i="58"/>
  <c r="G9" i="56" s="1"/>
  <c r="J35" i="36"/>
  <c r="H35" i="36"/>
  <c r="G35" i="36"/>
  <c r="E35" i="36"/>
  <c r="E27" i="56"/>
  <c r="D27" i="56"/>
  <c r="E40" i="22"/>
  <c r="H35" i="19"/>
  <c r="E35" i="19"/>
  <c r="J43" i="51"/>
  <c r="H43" i="51"/>
  <c r="E43" i="51"/>
  <c r="F39" i="56"/>
  <c r="D39" i="56"/>
  <c r="G38" i="56"/>
  <c r="F38" i="56"/>
  <c r="D38" i="56"/>
  <c r="E43" i="35"/>
  <c r="D37" i="56" s="1"/>
  <c r="E46" i="34"/>
  <c r="D36" i="56" s="1"/>
  <c r="E44" i="33"/>
  <c r="D35" i="56" s="1"/>
  <c r="F34" i="56"/>
  <c r="E35" i="9"/>
  <c r="D34" i="56" s="1"/>
  <c r="H45" i="26"/>
  <c r="F33" i="56" s="1"/>
  <c r="E45" i="26"/>
  <c r="D33" i="56" s="1"/>
  <c r="H35" i="57"/>
  <c r="F32" i="56" s="1"/>
  <c r="E35" i="57"/>
  <c r="D32" i="56" s="1"/>
  <c r="L35" i="57"/>
  <c r="J32" i="56" s="1"/>
  <c r="J4" i="57"/>
  <c r="J35" i="57" s="1"/>
  <c r="G32" i="56" s="1"/>
  <c r="G4" i="57"/>
  <c r="J31" i="56"/>
  <c r="F31" i="56"/>
  <c r="E38" i="41"/>
  <c r="D31" i="56" s="1"/>
  <c r="E35" i="12"/>
  <c r="H35" i="12"/>
  <c r="L35" i="12"/>
  <c r="J29" i="56"/>
  <c r="F29" i="56"/>
  <c r="D29" i="56"/>
  <c r="H40" i="22"/>
  <c r="F24" i="56"/>
  <c r="D24" i="56"/>
  <c r="E35" i="20"/>
  <c r="D17" i="56" s="1"/>
  <c r="I11" i="56"/>
  <c r="H46" i="34"/>
  <c r="F36" i="56" s="1"/>
  <c r="E35" i="37"/>
  <c r="D28" i="56" s="1"/>
  <c r="E35" i="15"/>
  <c r="D26" i="56" s="1"/>
  <c r="D25" i="56"/>
  <c r="E35" i="25"/>
  <c r="D23" i="56" s="1"/>
  <c r="E35" i="40"/>
  <c r="D22" i="56" s="1"/>
  <c r="E35" i="11"/>
  <c r="D21" i="56" s="1"/>
  <c r="L35" i="10"/>
  <c r="E35" i="10"/>
  <c r="D20" i="56" s="1"/>
  <c r="E35" i="24"/>
  <c r="D18" i="56" s="1"/>
  <c r="E35" i="3"/>
  <c r="D16" i="56" s="1"/>
  <c r="E35" i="7"/>
  <c r="D15" i="56" s="1"/>
  <c r="E36" i="16"/>
  <c r="L36" i="16"/>
  <c r="E38" i="16"/>
  <c r="D14" i="56" s="1"/>
  <c r="E35" i="52"/>
  <c r="D13" i="56" s="1"/>
  <c r="E35" i="1"/>
  <c r="D12" i="56" s="1"/>
  <c r="E36" i="2"/>
  <c r="D11" i="56" s="1"/>
  <c r="E35" i="54"/>
  <c r="D7" i="56" s="1"/>
  <c r="L35" i="9"/>
  <c r="J34" i="56" s="1"/>
  <c r="L35" i="8"/>
  <c r="J30" i="56" s="1"/>
  <c r="H35" i="37"/>
  <c r="F28" i="56" s="1"/>
  <c r="F27" i="56"/>
  <c r="L35" i="11"/>
  <c r="J21" i="56" s="1"/>
  <c r="H35" i="11"/>
  <c r="F21" i="56" s="1"/>
  <c r="H35" i="10"/>
  <c r="F20" i="56" s="1"/>
  <c r="G35" i="3"/>
  <c r="E16" i="56" s="1"/>
  <c r="H35" i="3"/>
  <c r="F16" i="56" s="1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L35" i="3"/>
  <c r="J16" i="56" s="1"/>
  <c r="H35" i="7"/>
  <c r="F15" i="56" s="1"/>
  <c r="F38" i="16"/>
  <c r="I38" i="16"/>
  <c r="L36" i="2"/>
  <c r="J11" i="56" s="1"/>
  <c r="H6" i="56"/>
  <c r="K6" i="56"/>
  <c r="H40" i="32"/>
  <c r="F8" i="56" s="1"/>
  <c r="I5" i="56"/>
  <c r="H36" i="18"/>
  <c r="F5" i="56" s="1"/>
  <c r="I4" i="56"/>
  <c r="I3" i="56"/>
  <c r="L37" i="50"/>
  <c r="J3" i="56" s="1"/>
  <c r="H37" i="50"/>
  <c r="F3" i="56" s="1"/>
  <c r="E37" i="50"/>
  <c r="D3" i="56" s="1"/>
  <c r="I40" i="56"/>
  <c r="E36" i="6"/>
  <c r="D2" i="56"/>
  <c r="J43" i="55"/>
  <c r="I43" i="55"/>
  <c r="H43" i="55"/>
  <c r="G43" i="55"/>
  <c r="F43" i="55"/>
  <c r="E43" i="55"/>
  <c r="D43" i="55"/>
  <c r="K38" i="55"/>
  <c r="H38" i="55"/>
  <c r="H42" i="55"/>
  <c r="K42" i="55" s="1"/>
  <c r="H41" i="55"/>
  <c r="K41" i="55" s="1"/>
  <c r="H40" i="55"/>
  <c r="K40" i="55" s="1"/>
  <c r="H43" i="35"/>
  <c r="F37" i="56" s="1"/>
  <c r="H39" i="55"/>
  <c r="K39" i="55" s="1"/>
  <c r="H28" i="55"/>
  <c r="H29" i="55"/>
  <c r="H30" i="55"/>
  <c r="H31" i="55"/>
  <c r="H35" i="55"/>
  <c r="H36" i="55"/>
  <c r="H37" i="55"/>
  <c r="K37" i="55" s="1"/>
  <c r="H33" i="55"/>
  <c r="H34" i="55"/>
  <c r="K36" i="55"/>
  <c r="K34" i="55"/>
  <c r="H32" i="55"/>
  <c r="K33" i="55"/>
  <c r="K35" i="55"/>
  <c r="K32" i="55"/>
  <c r="K29" i="55"/>
  <c r="K31" i="55"/>
  <c r="K43" i="55" s="1"/>
  <c r="K30" i="55"/>
  <c r="K28" i="55"/>
  <c r="L35" i="15"/>
  <c r="J26" i="56" s="1"/>
  <c r="H35" i="15"/>
  <c r="F26" i="56" s="1"/>
  <c r="L36" i="14"/>
  <c r="J25" i="56" s="1"/>
  <c r="H27" i="55"/>
  <c r="K27" i="55" s="1"/>
  <c r="H36" i="14"/>
  <c r="F25" i="56" s="1"/>
  <c r="H26" i="55"/>
  <c r="K26" i="55" s="1"/>
  <c r="H25" i="55"/>
  <c r="K25" i="55" s="1"/>
  <c r="H35" i="25"/>
  <c r="F23" i="56" s="1"/>
  <c r="H24" i="55"/>
  <c r="K24" i="55" s="1"/>
  <c r="J35" i="40"/>
  <c r="G22" i="56" s="1"/>
  <c r="H35" i="40"/>
  <c r="F22" i="56" s="1"/>
  <c r="H23" i="55"/>
  <c r="K23" i="55" s="1"/>
  <c r="H22" i="55"/>
  <c r="K22" i="55" s="1"/>
  <c r="H21" i="55"/>
  <c r="K21" i="55" s="1"/>
  <c r="F19" i="56"/>
  <c r="H20" i="55"/>
  <c r="K20" i="55" s="1"/>
  <c r="H35" i="24"/>
  <c r="F18" i="56" s="1"/>
  <c r="H19" i="55"/>
  <c r="K19" i="55" s="1"/>
  <c r="H35" i="20"/>
  <c r="F17" i="56" s="1"/>
  <c r="H18" i="55"/>
  <c r="K18" i="55" s="1"/>
  <c r="H17" i="55"/>
  <c r="K17" i="55" s="1"/>
  <c r="H16" i="55"/>
  <c r="K16" i="55" s="1"/>
  <c r="K37" i="16"/>
  <c r="H15" i="55"/>
  <c r="K15" i="55" s="1"/>
  <c r="L35" i="52"/>
  <c r="J13" i="56" s="1"/>
  <c r="H35" i="52"/>
  <c r="F13" i="56" s="1"/>
  <c r="H14" i="55"/>
  <c r="K14" i="55" s="1"/>
  <c r="H35" i="1"/>
  <c r="F12" i="56" s="1"/>
  <c r="G35" i="1"/>
  <c r="E12" i="56" s="1"/>
  <c r="L35" i="1"/>
  <c r="J12" i="56" s="1"/>
  <c r="H13" i="55"/>
  <c r="K13" i="55" s="1"/>
  <c r="F11" i="56"/>
  <c r="H12" i="55"/>
  <c r="K12" i="55" s="1"/>
  <c r="H11" i="55"/>
  <c r="K11" i="55" s="1"/>
  <c r="H10" i="55"/>
  <c r="K10" i="55" s="1"/>
  <c r="D49" i="55"/>
  <c r="H9" i="55"/>
  <c r="H8" i="55"/>
  <c r="K8" i="55" s="1"/>
  <c r="H7" i="55"/>
  <c r="K7" i="55" s="1"/>
  <c r="H6" i="55"/>
  <c r="K6" i="55" s="1"/>
  <c r="H5" i="55"/>
  <c r="K5" i="55" s="1"/>
  <c r="H4" i="55"/>
  <c r="K4" i="55" s="1"/>
  <c r="E35" i="47"/>
  <c r="D4" i="56" s="1"/>
  <c r="L35" i="47"/>
  <c r="J4" i="56" s="1"/>
  <c r="H35" i="47"/>
  <c r="F4" i="56" s="1"/>
  <c r="H3" i="55"/>
  <c r="K3" i="55" s="1"/>
  <c r="L36" i="6"/>
  <c r="J2" i="56" s="1"/>
  <c r="H2" i="55"/>
  <c r="K2" i="55" s="1"/>
  <c r="H36" i="6"/>
  <c r="F2" i="56" s="1"/>
  <c r="N100" i="43"/>
  <c r="N101" i="43"/>
  <c r="N102" i="43"/>
  <c r="K102" i="43"/>
  <c r="L102" i="43"/>
  <c r="H102" i="43"/>
  <c r="K100" i="43"/>
  <c r="L100" i="43"/>
  <c r="K101" i="43"/>
  <c r="L101" i="43"/>
  <c r="H101" i="43"/>
  <c r="H99" i="43"/>
  <c r="H100" i="43"/>
  <c r="L99" i="43"/>
  <c r="K95" i="43"/>
  <c r="K96" i="43"/>
  <c r="K97" i="43"/>
  <c r="K98" i="43"/>
  <c r="K99" i="43"/>
  <c r="L98" i="43"/>
  <c r="H98" i="43"/>
  <c r="M4" i="51"/>
  <c r="M5" i="51" s="1"/>
  <c r="M6" i="51" s="1"/>
  <c r="M7" i="51" s="1"/>
  <c r="M8" i="51" s="1"/>
  <c r="M9" i="51" s="1"/>
  <c r="M10" i="51" s="1"/>
  <c r="M11" i="51" s="1"/>
  <c r="M12" i="51" s="1"/>
  <c r="M13" i="51" s="1"/>
  <c r="M14" i="51" s="1"/>
  <c r="M15" i="51" s="1"/>
  <c r="L97" i="43"/>
  <c r="H97" i="43"/>
  <c r="L96" i="43"/>
  <c r="H96" i="43"/>
  <c r="L95" i="43"/>
  <c r="H95" i="43"/>
  <c r="L94" i="43"/>
  <c r="K94" i="43"/>
  <c r="H93" i="43"/>
  <c r="H94" i="43"/>
  <c r="L93" i="43"/>
  <c r="K93" i="43"/>
  <c r="L92" i="43"/>
  <c r="K92" i="43"/>
  <c r="H91" i="43"/>
  <c r="H92" i="43"/>
  <c r="L91" i="43"/>
  <c r="K87" i="43"/>
  <c r="L87" i="43" s="1"/>
  <c r="K88" i="43"/>
  <c r="L88" i="43" s="1"/>
  <c r="K89" i="43"/>
  <c r="L89" i="43" s="1"/>
  <c r="K90" i="43"/>
  <c r="L90" i="43" s="1"/>
  <c r="K91" i="43"/>
  <c r="H90" i="43"/>
  <c r="H89" i="43"/>
  <c r="H88" i="43"/>
  <c r="H86" i="43"/>
  <c r="H87" i="43"/>
  <c r="K86" i="43"/>
  <c r="L86" i="43" s="1"/>
  <c r="N86" i="43" s="1"/>
  <c r="N87" i="43" s="1"/>
  <c r="N88" i="43" s="1"/>
  <c r="N89" i="43" s="1"/>
  <c r="N90" i="43" s="1"/>
  <c r="N91" i="43" s="1"/>
  <c r="N92" i="43" s="1"/>
  <c r="N93" i="43" s="1"/>
  <c r="N94" i="43" s="1"/>
  <c r="N95" i="43" s="1"/>
  <c r="N96" i="43" s="1"/>
  <c r="N97" i="43" s="1"/>
  <c r="N98" i="43" s="1"/>
  <c r="N99" i="43" s="1"/>
  <c r="N77" i="43"/>
  <c r="N78" i="43"/>
  <c r="N79" i="43"/>
  <c r="N80" i="43"/>
  <c r="N81" i="43"/>
  <c r="N82" i="43"/>
  <c r="N83" i="43"/>
  <c r="N84" i="43"/>
  <c r="N85" i="43"/>
  <c r="L77" i="43"/>
  <c r="L78" i="43"/>
  <c r="L79" i="43"/>
  <c r="L80" i="43"/>
  <c r="L81" i="43"/>
  <c r="L82" i="43"/>
  <c r="L83" i="43"/>
  <c r="L84" i="43"/>
  <c r="L85" i="43"/>
  <c r="K85" i="43"/>
  <c r="H85" i="43"/>
  <c r="K83" i="43"/>
  <c r="K84" i="43"/>
  <c r="H84" i="43"/>
  <c r="H83" i="43"/>
  <c r="K82" i="43"/>
  <c r="H80" i="43"/>
  <c r="H81" i="43"/>
  <c r="H82" i="43"/>
  <c r="K81" i="43"/>
  <c r="K79" i="43"/>
  <c r="K80" i="43"/>
  <c r="H78" i="43"/>
  <c r="H79" i="43"/>
  <c r="K76" i="43"/>
  <c r="K77" i="43"/>
  <c r="K78" i="43"/>
  <c r="H77" i="43"/>
  <c r="N70" i="43"/>
  <c r="N71" i="43"/>
  <c r="N72" i="43"/>
  <c r="N73" i="43"/>
  <c r="N74" i="43"/>
  <c r="N75" i="43"/>
  <c r="L70" i="43"/>
  <c r="L71" i="43"/>
  <c r="L72" i="43"/>
  <c r="L73" i="43"/>
  <c r="L74" i="43"/>
  <c r="L75" i="43"/>
  <c r="L76" i="43"/>
  <c r="N76" i="43" s="1"/>
  <c r="H76" i="43"/>
  <c r="K71" i="43"/>
  <c r="K72" i="43"/>
  <c r="K73" i="43"/>
  <c r="K74" i="43"/>
  <c r="K75" i="43"/>
  <c r="H75" i="43"/>
  <c r="H74" i="43"/>
  <c r="H73" i="43"/>
  <c r="H70" i="43"/>
  <c r="H71" i="43"/>
  <c r="H72" i="43"/>
  <c r="K70" i="43"/>
  <c r="N62" i="43"/>
  <c r="N63" i="43"/>
  <c r="N64" i="43"/>
  <c r="N65" i="43"/>
  <c r="N66" i="43"/>
  <c r="N67" i="43"/>
  <c r="N68" i="43"/>
  <c r="N69" i="43"/>
  <c r="K65" i="43"/>
  <c r="K66" i="43"/>
  <c r="K67" i="43"/>
  <c r="K68" i="43"/>
  <c r="K69" i="43"/>
  <c r="L65" i="43"/>
  <c r="L66" i="43"/>
  <c r="L67" i="43"/>
  <c r="L68" i="43"/>
  <c r="L69" i="43"/>
  <c r="H69" i="43"/>
  <c r="H68" i="43"/>
  <c r="H67" i="43"/>
  <c r="H66" i="43"/>
  <c r="H65" i="43"/>
  <c r="L62" i="43"/>
  <c r="L63" i="43"/>
  <c r="L64" i="43"/>
  <c r="K59" i="43"/>
  <c r="K60" i="43"/>
  <c r="K61" i="43"/>
  <c r="K62" i="43"/>
  <c r="K63" i="43"/>
  <c r="K64" i="43"/>
  <c r="H62" i="43"/>
  <c r="H63" i="43"/>
  <c r="H64" i="43"/>
  <c r="L35" i="54"/>
  <c r="J7" i="56" s="1"/>
  <c r="H35" i="54"/>
  <c r="J4" i="54"/>
  <c r="J35" i="54" s="1"/>
  <c r="G4" i="54"/>
  <c r="M3" i="54"/>
  <c r="N52" i="43"/>
  <c r="N53" i="43"/>
  <c r="N54" i="43"/>
  <c r="N55" i="43"/>
  <c r="N56" i="43"/>
  <c r="N57" i="43"/>
  <c r="N58" i="43"/>
  <c r="L60" i="43"/>
  <c r="L61" i="43"/>
  <c r="H61" i="43"/>
  <c r="H60" i="43"/>
  <c r="L59" i="43"/>
  <c r="N59" i="43" s="1"/>
  <c r="N60" i="43" s="1"/>
  <c r="N61" i="43" s="1"/>
  <c r="H58" i="43"/>
  <c r="H59" i="43"/>
  <c r="K56" i="43"/>
  <c r="K57" i="43"/>
  <c r="K58" i="43"/>
  <c r="L58" i="43"/>
  <c r="L56" i="43"/>
  <c r="L57" i="43"/>
  <c r="H57" i="43"/>
  <c r="H56" i="43"/>
  <c r="L55" i="43"/>
  <c r="K55" i="43"/>
  <c r="H55" i="43"/>
  <c r="L54" i="43"/>
  <c r="K54" i="43"/>
  <c r="H54" i="43"/>
  <c r="K51" i="43"/>
  <c r="L51" i="43"/>
  <c r="K52" i="43"/>
  <c r="L52" i="43"/>
  <c r="K53" i="43"/>
  <c r="L53" i="43"/>
  <c r="H53" i="43"/>
  <c r="H52" i="43"/>
  <c r="K13" i="40"/>
  <c r="N46" i="43"/>
  <c r="N47" i="43"/>
  <c r="N48" i="43"/>
  <c r="N49" i="43"/>
  <c r="N50" i="43"/>
  <c r="N51" i="43"/>
  <c r="H51" i="43"/>
  <c r="L50" i="43"/>
  <c r="K50" i="43"/>
  <c r="H48" i="43"/>
  <c r="H49" i="43"/>
  <c r="H50" i="43"/>
  <c r="L49" i="43"/>
  <c r="K49" i="43"/>
  <c r="L48" i="43"/>
  <c r="K48" i="43"/>
  <c r="L47" i="43"/>
  <c r="K47" i="43"/>
  <c r="H47" i="43"/>
  <c r="L46" i="43"/>
  <c r="K46" i="43"/>
  <c r="H46" i="43"/>
  <c r="L45" i="43"/>
  <c r="K44" i="43"/>
  <c r="L44" i="43" s="1"/>
  <c r="K45" i="43"/>
  <c r="H45" i="43"/>
  <c r="H44" i="43"/>
  <c r="L43" i="43"/>
  <c r="K39" i="43"/>
  <c r="K40" i="43"/>
  <c r="K41" i="43"/>
  <c r="K42" i="43"/>
  <c r="L42" i="43" s="1"/>
  <c r="K43" i="43"/>
  <c r="H43" i="43"/>
  <c r="H42" i="43"/>
  <c r="L39" i="43"/>
  <c r="L40" i="43"/>
  <c r="L41" i="43"/>
  <c r="H40" i="43"/>
  <c r="H41" i="43"/>
  <c r="H32" i="43"/>
  <c r="H33" i="43"/>
  <c r="H34" i="43"/>
  <c r="H35" i="43"/>
  <c r="H36" i="43"/>
  <c r="H37" i="43"/>
  <c r="H38" i="43"/>
  <c r="H39" i="43"/>
  <c r="K31" i="43"/>
  <c r="L31" i="43"/>
  <c r="N31" i="43"/>
  <c r="K32" i="43"/>
  <c r="L32" i="43"/>
  <c r="N32" i="43"/>
  <c r="K33" i="43"/>
  <c r="L33" i="43"/>
  <c r="N33" i="43"/>
  <c r="K34" i="43"/>
  <c r="L34" i="43"/>
  <c r="N34" i="43"/>
  <c r="K35" i="43"/>
  <c r="L35" i="43"/>
  <c r="N35" i="43"/>
  <c r="K36" i="43"/>
  <c r="L36" i="43"/>
  <c r="N36" i="43"/>
  <c r="K37" i="43"/>
  <c r="L37" i="43"/>
  <c r="N37" i="43"/>
  <c r="K38" i="43"/>
  <c r="L38" i="43"/>
  <c r="N38" i="43"/>
  <c r="N39" i="43" s="1"/>
  <c r="N40" i="43" s="1"/>
  <c r="N41" i="43" s="1"/>
  <c r="N42" i="43" s="1"/>
  <c r="N43" i="43" s="1"/>
  <c r="N44" i="43" s="1"/>
  <c r="N45" i="43" s="1"/>
  <c r="N30" i="43"/>
  <c r="H31" i="43"/>
  <c r="L30" i="43"/>
  <c r="K30" i="43"/>
  <c r="H30" i="43"/>
  <c r="K28" i="43"/>
  <c r="K29" i="43"/>
  <c r="N24" i="43"/>
  <c r="N25" i="43"/>
  <c r="L29" i="43"/>
  <c r="H29" i="43"/>
  <c r="L28" i="43"/>
  <c r="H28" i="43"/>
  <c r="L27" i="43"/>
  <c r="K26" i="43"/>
  <c r="K27" i="43"/>
  <c r="H27" i="43"/>
  <c r="L26" i="43"/>
  <c r="N26" i="43" s="1"/>
  <c r="N27" i="43" s="1"/>
  <c r="H26" i="43"/>
  <c r="L25" i="43"/>
  <c r="K25" i="43"/>
  <c r="H25" i="43"/>
  <c r="K24" i="43"/>
  <c r="L24" i="43"/>
  <c r="H21" i="43"/>
  <c r="H22" i="43"/>
  <c r="H23" i="43"/>
  <c r="H24" i="43"/>
  <c r="L23" i="43"/>
  <c r="K23" i="43"/>
  <c r="L22" i="43"/>
  <c r="K22" i="43"/>
  <c r="L21" i="43"/>
  <c r="K21" i="43"/>
  <c r="L20" i="43"/>
  <c r="H20" i="43"/>
  <c r="K18" i="43"/>
  <c r="K19" i="43"/>
  <c r="K20" i="43"/>
  <c r="L18" i="43"/>
  <c r="L19" i="43"/>
  <c r="H19" i="43"/>
  <c r="H18" i="43"/>
  <c r="H7" i="43"/>
  <c r="N6" i="43"/>
  <c r="N5" i="43"/>
  <c r="L7" i="43"/>
  <c r="N7" i="43" s="1"/>
  <c r="N8" i="43" s="1"/>
  <c r="N9" i="43" s="1"/>
  <c r="K7" i="43"/>
  <c r="G4" i="15"/>
  <c r="G35" i="15" s="1"/>
  <c r="E26" i="56" s="1"/>
  <c r="J4" i="44"/>
  <c r="G4" i="44"/>
  <c r="K4" i="44" s="1"/>
  <c r="M4" i="44" s="1"/>
  <c r="N4" i="43"/>
  <c r="H5" i="43"/>
  <c r="K5" i="43"/>
  <c r="L5" i="43"/>
  <c r="H6" i="43"/>
  <c r="K6" i="43"/>
  <c r="L6" i="43"/>
  <c r="H8" i="43"/>
  <c r="K8" i="43"/>
  <c r="L8" i="43"/>
  <c r="H9" i="43"/>
  <c r="K9" i="43"/>
  <c r="L9" i="43"/>
  <c r="H10" i="43"/>
  <c r="K10" i="43"/>
  <c r="L10" i="43"/>
  <c r="H11" i="43"/>
  <c r="K11" i="43"/>
  <c r="L11" i="43"/>
  <c r="K12" i="43"/>
  <c r="L12" i="43"/>
  <c r="H13" i="43"/>
  <c r="K13" i="43"/>
  <c r="L13" i="43"/>
  <c r="H14" i="43"/>
  <c r="K14" i="43"/>
  <c r="L14" i="43"/>
  <c r="H15" i="43"/>
  <c r="K15" i="43"/>
  <c r="L15" i="43"/>
  <c r="H16" i="43"/>
  <c r="K16" i="43"/>
  <c r="L16" i="43"/>
  <c r="H17" i="43"/>
  <c r="K17" i="43"/>
  <c r="L17" i="43"/>
  <c r="G4" i="32"/>
  <c r="G40" i="32" s="1"/>
  <c r="E8" i="56" s="1"/>
  <c r="G57" i="44"/>
  <c r="J57" i="44"/>
  <c r="K57" i="44"/>
  <c r="G58" i="44"/>
  <c r="J58" i="44"/>
  <c r="K58" i="44"/>
  <c r="G59" i="44"/>
  <c r="J59" i="44"/>
  <c r="K59" i="44"/>
  <c r="G60" i="44"/>
  <c r="J60" i="44"/>
  <c r="K60" i="44"/>
  <c r="G61" i="44"/>
  <c r="J61" i="44"/>
  <c r="K61" i="44"/>
  <c r="G62" i="44"/>
  <c r="J62" i="44"/>
  <c r="K62" i="44"/>
  <c r="G63" i="44"/>
  <c r="J63" i="44"/>
  <c r="K63" i="44"/>
  <c r="G64" i="44"/>
  <c r="J64" i="44"/>
  <c r="K64" i="44"/>
  <c r="G65" i="44"/>
  <c r="J65" i="44"/>
  <c r="K65" i="44"/>
  <c r="G66" i="44"/>
  <c r="J66" i="44"/>
  <c r="K66" i="44"/>
  <c r="G67" i="44"/>
  <c r="J67" i="44"/>
  <c r="K67" i="44"/>
  <c r="G68" i="44"/>
  <c r="J68" i="44"/>
  <c r="K68" i="44"/>
  <c r="G69" i="44"/>
  <c r="J69" i="44"/>
  <c r="K69" i="44"/>
  <c r="G70" i="44"/>
  <c r="J70" i="44"/>
  <c r="K70" i="44"/>
  <c r="G71" i="44"/>
  <c r="J71" i="44"/>
  <c r="K71" i="44"/>
  <c r="G72" i="44"/>
  <c r="J72" i="44"/>
  <c r="K72" i="44"/>
  <c r="G73" i="44"/>
  <c r="J73" i="44"/>
  <c r="K73" i="44"/>
  <c r="G74" i="44"/>
  <c r="J74" i="44"/>
  <c r="K74" i="44"/>
  <c r="G75" i="44"/>
  <c r="J75" i="44"/>
  <c r="K75" i="44"/>
  <c r="G76" i="44"/>
  <c r="J76" i="44"/>
  <c r="K76" i="44"/>
  <c r="G77" i="44"/>
  <c r="J77" i="44"/>
  <c r="K77" i="44"/>
  <c r="G78" i="44"/>
  <c r="J78" i="44"/>
  <c r="K78" i="44"/>
  <c r="G79" i="44"/>
  <c r="J79" i="44"/>
  <c r="K79" i="44"/>
  <c r="H4" i="43"/>
  <c r="G34" i="51"/>
  <c r="J34" i="51"/>
  <c r="K34" i="51"/>
  <c r="L43" i="51"/>
  <c r="J38" i="56" s="1"/>
  <c r="G35" i="51"/>
  <c r="J35" i="51"/>
  <c r="K35" i="51"/>
  <c r="L35" i="51"/>
  <c r="G36" i="51"/>
  <c r="J36" i="51"/>
  <c r="K36" i="51"/>
  <c r="L36" i="51"/>
  <c r="G37" i="51"/>
  <c r="J37" i="51"/>
  <c r="K37" i="51"/>
  <c r="L37" i="51"/>
  <c r="G38" i="51"/>
  <c r="J38" i="51"/>
  <c r="K38" i="51"/>
  <c r="L38" i="51"/>
  <c r="G39" i="51"/>
  <c r="J39" i="51"/>
  <c r="K39" i="51"/>
  <c r="L39" i="51"/>
  <c r="G40" i="51"/>
  <c r="J40" i="51"/>
  <c r="K40" i="51"/>
  <c r="L40" i="51"/>
  <c r="G4" i="51"/>
  <c r="G39" i="35"/>
  <c r="J39" i="35"/>
  <c r="K39" i="35"/>
  <c r="G40" i="35"/>
  <c r="J40" i="35"/>
  <c r="K40" i="35"/>
  <c r="G41" i="35"/>
  <c r="J41" i="35"/>
  <c r="K41" i="35"/>
  <c r="G37" i="34"/>
  <c r="J37" i="34"/>
  <c r="K37" i="34"/>
  <c r="L37" i="34"/>
  <c r="G5" i="8"/>
  <c r="J5" i="8"/>
  <c r="K5" i="8"/>
  <c r="G6" i="8"/>
  <c r="J6" i="8"/>
  <c r="K6" i="8"/>
  <c r="G7" i="8"/>
  <c r="J7" i="8"/>
  <c r="K7" i="8"/>
  <c r="G8" i="8"/>
  <c r="J8" i="8"/>
  <c r="K8" i="8"/>
  <c r="G9" i="8"/>
  <c r="J9" i="8"/>
  <c r="K9" i="8"/>
  <c r="G10" i="8"/>
  <c r="J10" i="8"/>
  <c r="K10" i="8"/>
  <c r="G11" i="8"/>
  <c r="J11" i="8"/>
  <c r="K11" i="8"/>
  <c r="G12" i="8"/>
  <c r="J12" i="8"/>
  <c r="K12" i="8"/>
  <c r="G13" i="8"/>
  <c r="J13" i="8"/>
  <c r="K13" i="8"/>
  <c r="G14" i="8"/>
  <c r="J14" i="8"/>
  <c r="K14" i="8"/>
  <c r="G15" i="8"/>
  <c r="J15" i="8"/>
  <c r="K15" i="8"/>
  <c r="G16" i="8"/>
  <c r="J16" i="8"/>
  <c r="K16" i="8"/>
  <c r="G17" i="8"/>
  <c r="J17" i="8"/>
  <c r="K17" i="8"/>
  <c r="G18" i="8"/>
  <c r="J18" i="8"/>
  <c r="K18" i="8"/>
  <c r="G19" i="8"/>
  <c r="J19" i="8"/>
  <c r="K19" i="8"/>
  <c r="G20" i="8"/>
  <c r="J20" i="8"/>
  <c r="K20" i="8"/>
  <c r="G21" i="8"/>
  <c r="J21" i="8"/>
  <c r="K21" i="8"/>
  <c r="G22" i="8"/>
  <c r="J22" i="8"/>
  <c r="K22" i="8"/>
  <c r="G23" i="8"/>
  <c r="J23" i="8"/>
  <c r="K23" i="8"/>
  <c r="G24" i="8"/>
  <c r="J24" i="8"/>
  <c r="K24" i="8"/>
  <c r="G25" i="8"/>
  <c r="J25" i="8"/>
  <c r="K25" i="8"/>
  <c r="G26" i="8"/>
  <c r="J26" i="8"/>
  <c r="K26" i="8"/>
  <c r="G27" i="8"/>
  <c r="J27" i="8"/>
  <c r="K27" i="8"/>
  <c r="G28" i="8"/>
  <c r="J28" i="8"/>
  <c r="K28" i="8"/>
  <c r="G29" i="8"/>
  <c r="J29" i="8"/>
  <c r="K29" i="8"/>
  <c r="G30" i="8"/>
  <c r="J30" i="8"/>
  <c r="K30" i="8"/>
  <c r="G31" i="8"/>
  <c r="J31" i="8"/>
  <c r="K31" i="8"/>
  <c r="G32" i="8"/>
  <c r="J32" i="8"/>
  <c r="K32" i="8"/>
  <c r="G33" i="8"/>
  <c r="J33" i="8"/>
  <c r="K33" i="8"/>
  <c r="G4" i="22"/>
  <c r="G34" i="40"/>
  <c r="J35" i="11"/>
  <c r="G21" i="56" s="1"/>
  <c r="J35" i="3"/>
  <c r="G16" i="56" s="1"/>
  <c r="H16" i="56" s="1"/>
  <c r="K16" i="56" s="1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J35" i="7"/>
  <c r="G15" i="56" s="1"/>
  <c r="K32" i="7"/>
  <c r="K33" i="7"/>
  <c r="G5" i="39"/>
  <c r="J5" i="39"/>
  <c r="K5" i="39"/>
  <c r="G6" i="39"/>
  <c r="J6" i="39"/>
  <c r="K6" i="39"/>
  <c r="G7" i="39"/>
  <c r="J7" i="39"/>
  <c r="K7" i="39"/>
  <c r="G8" i="39"/>
  <c r="J8" i="39"/>
  <c r="K8" i="39"/>
  <c r="G9" i="39"/>
  <c r="J9" i="39"/>
  <c r="K9" i="39"/>
  <c r="G10" i="39"/>
  <c r="J10" i="39"/>
  <c r="K10" i="39"/>
  <c r="G11" i="39"/>
  <c r="J11" i="39"/>
  <c r="K11" i="39"/>
  <c r="G12" i="39"/>
  <c r="J12" i="39"/>
  <c r="K12" i="39"/>
  <c r="G13" i="39"/>
  <c r="J13" i="39"/>
  <c r="K13" i="39"/>
  <c r="G14" i="39"/>
  <c r="J14" i="39"/>
  <c r="K14" i="39"/>
  <c r="G15" i="39"/>
  <c r="J15" i="39"/>
  <c r="K15" i="39"/>
  <c r="G16" i="39"/>
  <c r="J16" i="39"/>
  <c r="K16" i="39"/>
  <c r="G17" i="39"/>
  <c r="J17" i="39"/>
  <c r="K17" i="39"/>
  <c r="G18" i="39"/>
  <c r="J18" i="39"/>
  <c r="K18" i="39"/>
  <c r="G19" i="39"/>
  <c r="J19" i="39"/>
  <c r="K19" i="39"/>
  <c r="G20" i="39"/>
  <c r="J20" i="39"/>
  <c r="K20" i="39"/>
  <c r="G21" i="39"/>
  <c r="J21" i="39"/>
  <c r="K21" i="39"/>
  <c r="G22" i="39"/>
  <c r="J22" i="39"/>
  <c r="K22" i="39"/>
  <c r="G23" i="39"/>
  <c r="J23" i="39"/>
  <c r="K23" i="39"/>
  <c r="G24" i="39"/>
  <c r="J24" i="39"/>
  <c r="K24" i="39"/>
  <c r="G25" i="39"/>
  <c r="J25" i="39"/>
  <c r="K25" i="39"/>
  <c r="G26" i="39"/>
  <c r="J26" i="39"/>
  <c r="K26" i="39"/>
  <c r="G27" i="39"/>
  <c r="J27" i="39"/>
  <c r="K27" i="39"/>
  <c r="G28" i="39"/>
  <c r="J28" i="39"/>
  <c r="K28" i="39"/>
  <c r="G29" i="39"/>
  <c r="J29" i="39"/>
  <c r="K29" i="39"/>
  <c r="G30" i="39"/>
  <c r="J30" i="39"/>
  <c r="K30" i="39"/>
  <c r="G31" i="39"/>
  <c r="J31" i="39"/>
  <c r="K31" i="39"/>
  <c r="G32" i="39"/>
  <c r="J32" i="39"/>
  <c r="K32" i="39"/>
  <c r="G33" i="39"/>
  <c r="J33" i="39"/>
  <c r="K33" i="39"/>
  <c r="G34" i="39"/>
  <c r="J34" i="39"/>
  <c r="K34" i="39"/>
  <c r="M3" i="52"/>
  <c r="J4" i="52"/>
  <c r="K4" i="52"/>
  <c r="M4" i="52"/>
  <c r="M5" i="52"/>
  <c r="M6" i="52"/>
  <c r="M7" i="52"/>
  <c r="M8" i="52"/>
  <c r="M9" i="52"/>
  <c r="M10" i="52"/>
  <c r="M11" i="52"/>
  <c r="M12" i="52"/>
  <c r="M13" i="52"/>
  <c r="M14" i="52"/>
  <c r="M15" i="52"/>
  <c r="M16" i="52"/>
  <c r="M17" i="52"/>
  <c r="M18" i="52"/>
  <c r="M19" i="52"/>
  <c r="M20" i="52"/>
  <c r="M21" i="52"/>
  <c r="M22" i="52"/>
  <c r="M23" i="52"/>
  <c r="M24" i="52"/>
  <c r="M25" i="52"/>
  <c r="M26" i="52"/>
  <c r="M27" i="52"/>
  <c r="M28" i="52"/>
  <c r="M29" i="52"/>
  <c r="M30" i="52"/>
  <c r="M31" i="52"/>
  <c r="J38" i="26"/>
  <c r="J39" i="26"/>
  <c r="J40" i="26"/>
  <c r="J41" i="26"/>
  <c r="J42" i="26"/>
  <c r="J43" i="26"/>
  <c r="J44" i="26"/>
  <c r="R82" i="43"/>
  <c r="J4" i="41"/>
  <c r="J42" i="51"/>
  <c r="G42" i="51"/>
  <c r="K42" i="51" s="1"/>
  <c r="L42" i="51" s="1"/>
  <c r="J41" i="51"/>
  <c r="G41" i="51"/>
  <c r="K41" i="51" s="1"/>
  <c r="L41" i="51" s="1"/>
  <c r="J4" i="51"/>
  <c r="L39" i="35"/>
  <c r="L40" i="35"/>
  <c r="L41" i="35"/>
  <c r="G38" i="34"/>
  <c r="J38" i="34"/>
  <c r="K38" i="34"/>
  <c r="L38" i="34"/>
  <c r="G39" i="34"/>
  <c r="J39" i="34"/>
  <c r="K39" i="34"/>
  <c r="L39" i="34"/>
  <c r="G40" i="34"/>
  <c r="J40" i="34"/>
  <c r="K40" i="34"/>
  <c r="L40" i="34"/>
  <c r="G41" i="34"/>
  <c r="J41" i="34"/>
  <c r="K41" i="34"/>
  <c r="L41" i="34"/>
  <c r="G42" i="34"/>
  <c r="J42" i="34"/>
  <c r="K42" i="34"/>
  <c r="L42" i="34"/>
  <c r="G4" i="34"/>
  <c r="G43" i="33"/>
  <c r="J43" i="33"/>
  <c r="K43" i="33"/>
  <c r="L43" i="33"/>
  <c r="G38" i="26"/>
  <c r="K38" i="26"/>
  <c r="G39" i="26"/>
  <c r="K39" i="26"/>
  <c r="G40" i="26"/>
  <c r="K40" i="26"/>
  <c r="L40" i="26"/>
  <c r="G41" i="26"/>
  <c r="K41" i="26"/>
  <c r="L41" i="26"/>
  <c r="G42" i="26"/>
  <c r="K42" i="26"/>
  <c r="L42" i="26"/>
  <c r="G43" i="26"/>
  <c r="K43" i="26"/>
  <c r="L43" i="26"/>
  <c r="G44" i="26"/>
  <c r="K44" i="26"/>
  <c r="L44" i="26"/>
  <c r="G39" i="22"/>
  <c r="J39" i="22"/>
  <c r="G34" i="11"/>
  <c r="J34" i="11"/>
  <c r="K34" i="11"/>
  <c r="M5" i="24"/>
  <c r="M7" i="24"/>
  <c r="M8" i="24"/>
  <c r="M9" i="24"/>
  <c r="M10" i="24"/>
  <c r="M11" i="24"/>
  <c r="M12" i="24"/>
  <c r="M13" i="24"/>
  <c r="M14" i="24"/>
  <c r="M15" i="24"/>
  <c r="M16" i="24"/>
  <c r="M17" i="24"/>
  <c r="M18" i="24"/>
  <c r="M19" i="24"/>
  <c r="M20" i="24"/>
  <c r="M21" i="24"/>
  <c r="M22" i="24"/>
  <c r="M23" i="24"/>
  <c r="M24" i="24"/>
  <c r="M25" i="24"/>
  <c r="M26" i="24"/>
  <c r="M27" i="24"/>
  <c r="M28" i="24"/>
  <c r="M29" i="24"/>
  <c r="M30" i="24"/>
  <c r="M31" i="24"/>
  <c r="M32" i="24"/>
  <c r="M33" i="24"/>
  <c r="G34" i="7"/>
  <c r="J34" i="7"/>
  <c r="K34" i="7"/>
  <c r="G4" i="47"/>
  <c r="N210" i="43"/>
  <c r="M3" i="50"/>
  <c r="Q33" i="15"/>
  <c r="K31" i="40"/>
  <c r="L31" i="40"/>
  <c r="K32" i="40"/>
  <c r="L32" i="40"/>
  <c r="K33" i="40"/>
  <c r="L33" i="40"/>
  <c r="K30" i="40"/>
  <c r="L30" i="40"/>
  <c r="K29" i="40"/>
  <c r="L29" i="40" s="1"/>
  <c r="K27" i="40"/>
  <c r="L27" i="40"/>
  <c r="K28" i="40"/>
  <c r="L28" i="40"/>
  <c r="L35" i="36"/>
  <c r="J27" i="56" s="1"/>
  <c r="K25" i="40"/>
  <c r="L25" i="40"/>
  <c r="K26" i="40"/>
  <c r="L26" i="40"/>
  <c r="K22" i="40"/>
  <c r="L22" i="40"/>
  <c r="K23" i="40"/>
  <c r="L23" i="40"/>
  <c r="K24" i="40"/>
  <c r="L24" i="40"/>
  <c r="K21" i="40"/>
  <c r="L21" i="40" s="1"/>
  <c r="P24" i="18"/>
  <c r="P30" i="39"/>
  <c r="X16" i="1"/>
  <c r="K18" i="40"/>
  <c r="L18" i="40"/>
  <c r="K19" i="40"/>
  <c r="L19" i="40"/>
  <c r="K20" i="40"/>
  <c r="L20" i="40"/>
  <c r="V21" i="16"/>
  <c r="V20" i="16"/>
  <c r="K14" i="40"/>
  <c r="K15" i="40"/>
  <c r="K16" i="40"/>
  <c r="K17" i="40"/>
  <c r="L14" i="40"/>
  <c r="L15" i="40"/>
  <c r="L16" i="40"/>
  <c r="L17" i="40"/>
  <c r="K12" i="40"/>
  <c r="L12" i="40" s="1"/>
  <c r="L13" i="40"/>
  <c r="K11" i="40"/>
  <c r="L11" i="40" s="1"/>
  <c r="M3" i="47"/>
  <c r="K10" i="40"/>
  <c r="L10" i="40" s="1"/>
  <c r="K9" i="40"/>
  <c r="L9" i="40" s="1"/>
  <c r="K6" i="40"/>
  <c r="L6" i="40" s="1"/>
  <c r="K7" i="40"/>
  <c r="L7" i="40" s="1"/>
  <c r="K8" i="40"/>
  <c r="L8" i="40" s="1"/>
  <c r="G4" i="40"/>
  <c r="M5" i="44"/>
  <c r="M6" i="44" s="1"/>
  <c r="M7" i="44" s="1"/>
  <c r="J4" i="25"/>
  <c r="G4" i="25"/>
  <c r="K5" i="40"/>
  <c r="L5" i="40" s="1"/>
  <c r="J4" i="24"/>
  <c r="J35" i="24" s="1"/>
  <c r="G18" i="56" s="1"/>
  <c r="G35" i="19"/>
  <c r="E39" i="56" s="1"/>
  <c r="M3" i="41"/>
  <c r="G34" i="8"/>
  <c r="J34" i="8"/>
  <c r="K34" i="8"/>
  <c r="G4" i="12"/>
  <c r="G35" i="12" s="1"/>
  <c r="E29" i="56" s="1"/>
  <c r="H36" i="16"/>
  <c r="H38" i="16" s="1"/>
  <c r="F14" i="56" s="1"/>
  <c r="J4" i="32"/>
  <c r="J40" i="32" s="1"/>
  <c r="G8" i="56" s="1"/>
  <c r="M3" i="32"/>
  <c r="E35" i="39"/>
  <c r="L35" i="39"/>
  <c r="H35" i="39"/>
  <c r="M3" i="39"/>
  <c r="L36" i="18"/>
  <c r="J5" i="56" s="1"/>
  <c r="E41" i="6"/>
  <c r="M3" i="40"/>
  <c r="J4" i="39"/>
  <c r="J35" i="39" s="1"/>
  <c r="G4" i="39"/>
  <c r="K4" i="39" s="1"/>
  <c r="M4" i="39" s="1"/>
  <c r="I38" i="37"/>
  <c r="J4" i="37"/>
  <c r="M3" i="37"/>
  <c r="I38" i="36"/>
  <c r="J4" i="36"/>
  <c r="G4" i="36"/>
  <c r="M3" i="36"/>
  <c r="J42" i="35"/>
  <c r="G42" i="35"/>
  <c r="K42" i="35" s="1"/>
  <c r="L42" i="35" s="1"/>
  <c r="J4" i="35"/>
  <c r="J45" i="34"/>
  <c r="G45" i="34"/>
  <c r="K45" i="34" s="1"/>
  <c r="L45" i="34" s="1"/>
  <c r="J44" i="34"/>
  <c r="G44" i="34"/>
  <c r="K44" i="34" s="1"/>
  <c r="L44" i="34" s="1"/>
  <c r="J43" i="34"/>
  <c r="G43" i="34"/>
  <c r="K43" i="34" s="1"/>
  <c r="L43" i="34" s="1"/>
  <c r="J4" i="34"/>
  <c r="H44" i="33"/>
  <c r="F35" i="56" s="1"/>
  <c r="J4" i="33"/>
  <c r="J44" i="33" s="1"/>
  <c r="G35" i="56" s="1"/>
  <c r="G4" i="33"/>
  <c r="P12" i="24"/>
  <c r="J4" i="10"/>
  <c r="M3" i="9"/>
  <c r="M3" i="14"/>
  <c r="J4" i="22"/>
  <c r="J40" i="22" s="1"/>
  <c r="G24" i="56" s="1"/>
  <c r="L35" i="7"/>
  <c r="M3" i="1"/>
  <c r="M3" i="18"/>
  <c r="J4" i="18"/>
  <c r="M3" i="6"/>
  <c r="J4" i="6"/>
  <c r="J36" i="6" s="1"/>
  <c r="G2" i="56" s="1"/>
  <c r="G4" i="6"/>
  <c r="E35" i="8"/>
  <c r="D30" i="56" s="1"/>
  <c r="H35" i="8"/>
  <c r="F30" i="56" s="1"/>
  <c r="I38" i="15"/>
  <c r="M3" i="24"/>
  <c r="J4" i="26"/>
  <c r="G4" i="26"/>
  <c r="J4" i="9"/>
  <c r="J4" i="15"/>
  <c r="M3" i="11"/>
  <c r="M3" i="8"/>
  <c r="M3" i="20"/>
  <c r="M3" i="22"/>
  <c r="M3" i="25"/>
  <c r="G4" i="7"/>
  <c r="M3" i="7"/>
  <c r="M3" i="23"/>
  <c r="M3" i="2"/>
  <c r="K4" i="6"/>
  <c r="G4" i="24"/>
  <c r="G4" i="23"/>
  <c r="J4" i="23"/>
  <c r="J4" i="20"/>
  <c r="G4" i="20"/>
  <c r="G4" i="19"/>
  <c r="J4" i="19"/>
  <c r="K4" i="19"/>
  <c r="J4" i="16"/>
  <c r="J36" i="16" s="1"/>
  <c r="J38" i="16" s="1"/>
  <c r="G14" i="56" s="1"/>
  <c r="G4" i="16"/>
  <c r="J4" i="14"/>
  <c r="G4" i="14"/>
  <c r="K4" i="14"/>
  <c r="J4" i="7"/>
  <c r="J4" i="12"/>
  <c r="G4" i="11"/>
  <c r="J4" i="11"/>
  <c r="K4" i="11"/>
  <c r="G4" i="10"/>
  <c r="J4" i="3"/>
  <c r="G4" i="3"/>
  <c r="J4" i="8"/>
  <c r="J35" i="8" s="1"/>
  <c r="G30" i="56" s="1"/>
  <c r="G4" i="8"/>
  <c r="G35" i="8" s="1"/>
  <c r="E30" i="56" s="1"/>
  <c r="H30" i="56" s="1"/>
  <c r="J4" i="2"/>
  <c r="J36" i="2" s="1"/>
  <c r="G11" i="56" s="1"/>
  <c r="G4" i="2"/>
  <c r="G36" i="2" s="1"/>
  <c r="E11" i="56" s="1"/>
  <c r="J4" i="1"/>
  <c r="J35" i="1" s="1"/>
  <c r="G12" i="56" s="1"/>
  <c r="K4" i="1"/>
  <c r="K35" i="1" s="1"/>
  <c r="M22" i="18" l="1"/>
  <c r="M23" i="18" s="1"/>
  <c r="M24" i="18" s="1"/>
  <c r="M25" i="18" s="1"/>
  <c r="M26" i="18" s="1"/>
  <c r="M27" i="18" s="1"/>
  <c r="M28" i="18" s="1"/>
  <c r="M29" i="18" s="1"/>
  <c r="M30" i="18" s="1"/>
  <c r="M31" i="18" s="1"/>
  <c r="M32" i="18" s="1"/>
  <c r="M33" i="18" s="1"/>
  <c r="M34" i="18" s="1"/>
  <c r="M35" i="18" s="1"/>
  <c r="U28" i="18" s="1"/>
  <c r="D5" i="56"/>
  <c r="E39" i="18"/>
  <c r="M10" i="33"/>
  <c r="M11" i="33" s="1"/>
  <c r="M12" i="33" s="1"/>
  <c r="M13" i="33" s="1"/>
  <c r="M14" i="33" s="1"/>
  <c r="M15" i="33" s="1"/>
  <c r="M16" i="33" s="1"/>
  <c r="M17" i="33" s="1"/>
  <c r="M18" i="33" s="1"/>
  <c r="M19" i="33" s="1"/>
  <c r="M20" i="33" s="1"/>
  <c r="M33" i="37"/>
  <c r="G46" i="34"/>
  <c r="E36" i="56" s="1"/>
  <c r="K18" i="34"/>
  <c r="M39" i="44"/>
  <c r="M40" i="44" s="1"/>
  <c r="M41" i="44" s="1"/>
  <c r="M42" i="44" s="1"/>
  <c r="M43" i="44" s="1"/>
  <c r="M44" i="44" s="1"/>
  <c r="M45" i="44" s="1"/>
  <c r="M46" i="44" s="1"/>
  <c r="M47" i="44" s="1"/>
  <c r="M48" i="44" s="1"/>
  <c r="M49" i="44" s="1"/>
  <c r="M50" i="44" s="1"/>
  <c r="M51" i="44" s="1"/>
  <c r="M52" i="44" s="1"/>
  <c r="M53" i="44" s="1"/>
  <c r="M54" i="44" s="1"/>
  <c r="M55" i="44" s="1"/>
  <c r="M56" i="44" s="1"/>
  <c r="M57" i="44" s="1"/>
  <c r="M58" i="44" s="1"/>
  <c r="M59" i="44" s="1"/>
  <c r="M60" i="44" s="1"/>
  <c r="M61" i="44" s="1"/>
  <c r="M62" i="44" s="1"/>
  <c r="M63" i="44" s="1"/>
  <c r="M64" i="44" s="1"/>
  <c r="M65" i="44" s="1"/>
  <c r="M66" i="44" s="1"/>
  <c r="M67" i="44" s="1"/>
  <c r="M68" i="44" s="1"/>
  <c r="M69" i="44" s="1"/>
  <c r="M70" i="44" s="1"/>
  <c r="M71" i="44" s="1"/>
  <c r="M72" i="44" s="1"/>
  <c r="M73" i="44" s="1"/>
  <c r="M74" i="44" s="1"/>
  <c r="M75" i="44" s="1"/>
  <c r="M76" i="44" s="1"/>
  <c r="M77" i="44" s="1"/>
  <c r="M78" i="44" s="1"/>
  <c r="M79" i="44" s="1"/>
  <c r="M10" i="35"/>
  <c r="M11" i="35" s="1"/>
  <c r="M12" i="35" s="1"/>
  <c r="M13" i="35" s="1"/>
  <c r="M14" i="35" s="1"/>
  <c r="M15" i="35" s="1"/>
  <c r="M16" i="35" s="1"/>
  <c r="M17" i="35" s="1"/>
  <c r="M18" i="35" s="1"/>
  <c r="M19" i="35" s="1"/>
  <c r="M20" i="35" s="1"/>
  <c r="M21" i="35" s="1"/>
  <c r="M22" i="35" s="1"/>
  <c r="M23" i="35" s="1"/>
  <c r="M24" i="35" s="1"/>
  <c r="M25" i="35" s="1"/>
  <c r="M26" i="35" s="1"/>
  <c r="M27" i="35" s="1"/>
  <c r="M28" i="35" s="1"/>
  <c r="M29" i="35" s="1"/>
  <c r="M30" i="35" s="1"/>
  <c r="M31" i="35" s="1"/>
  <c r="M32" i="35" s="1"/>
  <c r="M33" i="35" s="1"/>
  <c r="M34" i="35" s="1"/>
  <c r="M35" i="35" s="1"/>
  <c r="M36" i="35" s="1"/>
  <c r="M37" i="35" s="1"/>
  <c r="M38" i="35" s="1"/>
  <c r="M39" i="35" s="1"/>
  <c r="M40" i="35" s="1"/>
  <c r="M41" i="35" s="1"/>
  <c r="M42" i="35" s="1"/>
  <c r="M21" i="33"/>
  <c r="M22" i="33" s="1"/>
  <c r="M23" i="33" s="1"/>
  <c r="M24" i="33" s="1"/>
  <c r="M25" i="33" s="1"/>
  <c r="M26" i="33" s="1"/>
  <c r="M27" i="33" s="1"/>
  <c r="M28" i="33" s="1"/>
  <c r="M29" i="33" s="1"/>
  <c r="M30" i="33" s="1"/>
  <c r="M31" i="33" s="1"/>
  <c r="M32" i="33" s="1"/>
  <c r="M33" i="33" s="1"/>
  <c r="M34" i="33" s="1"/>
  <c r="M35" i="33" s="1"/>
  <c r="M36" i="33" s="1"/>
  <c r="M37" i="33" s="1"/>
  <c r="M38" i="33" s="1"/>
  <c r="M39" i="33" s="1"/>
  <c r="M40" i="33" s="1"/>
  <c r="M41" i="33" s="1"/>
  <c r="M42" i="33" s="1"/>
  <c r="M43" i="33" s="1"/>
  <c r="L38" i="16"/>
  <c r="J14" i="56"/>
  <c r="M44" i="33"/>
  <c r="G35" i="59"/>
  <c r="E10" i="56" s="1"/>
  <c r="H10" i="56" s="1"/>
  <c r="K4" i="59"/>
  <c r="M19" i="51"/>
  <c r="M20" i="51" s="1"/>
  <c r="M21" i="51" s="1"/>
  <c r="M22" i="51" s="1"/>
  <c r="H8" i="56"/>
  <c r="J36" i="23"/>
  <c r="K35" i="10"/>
  <c r="G36" i="23"/>
  <c r="M12" i="22"/>
  <c r="M13" i="22" s="1"/>
  <c r="M14" i="22" s="1"/>
  <c r="M15" i="22" s="1"/>
  <c r="M16" i="22" s="1"/>
  <c r="M17" i="22" s="1"/>
  <c r="M18" i="22" s="1"/>
  <c r="M19" i="22" s="1"/>
  <c r="M20" i="22" s="1"/>
  <c r="M21" i="22" s="1"/>
  <c r="M22" i="22" s="1"/>
  <c r="M23" i="22" s="1"/>
  <c r="M24" i="22" s="1"/>
  <c r="M25" i="22" s="1"/>
  <c r="M26" i="22" s="1"/>
  <c r="M27" i="22" s="1"/>
  <c r="M28" i="22" s="1"/>
  <c r="M29" i="22" s="1"/>
  <c r="M30" i="22" s="1"/>
  <c r="M31" i="22" s="1"/>
  <c r="M32" i="22" s="1"/>
  <c r="M33" i="22" s="1"/>
  <c r="M34" i="22" s="1"/>
  <c r="M35" i="22" s="1"/>
  <c r="M36" i="22" s="1"/>
  <c r="M37" i="22" s="1"/>
  <c r="M38" i="22" s="1"/>
  <c r="M39" i="22" s="1"/>
  <c r="G36" i="18"/>
  <c r="K30" i="56"/>
  <c r="M8" i="32"/>
  <c r="M9" i="32" s="1"/>
  <c r="M10" i="32" s="1"/>
  <c r="M11" i="32" s="1"/>
  <c r="M12" i="32" s="1"/>
  <c r="M13" i="32" s="1"/>
  <c r="M14" i="32" s="1"/>
  <c r="M15" i="32" s="1"/>
  <c r="M16" i="32" s="1"/>
  <c r="M17" i="32" s="1"/>
  <c r="M18" i="32" s="1"/>
  <c r="M19" i="32" s="1"/>
  <c r="M20" i="32" s="1"/>
  <c r="M21" i="32" s="1"/>
  <c r="M22" i="32" s="1"/>
  <c r="M23" i="32" s="1"/>
  <c r="M24" i="32" s="1"/>
  <c r="M25" i="32" s="1"/>
  <c r="M26" i="32" s="1"/>
  <c r="M27" i="32" s="1"/>
  <c r="M28" i="32" s="1"/>
  <c r="M29" i="32" s="1"/>
  <c r="M30" i="32" s="1"/>
  <c r="M31" i="32" s="1"/>
  <c r="M32" i="32" s="1"/>
  <c r="M33" i="32" s="1"/>
  <c r="M34" i="32" s="1"/>
  <c r="M35" i="32" s="1"/>
  <c r="M36" i="32" s="1"/>
  <c r="M37" i="32" s="1"/>
  <c r="M38" i="32" s="1"/>
  <c r="M39" i="32" s="1"/>
  <c r="K4" i="12"/>
  <c r="K35" i="12" s="1"/>
  <c r="J35" i="12"/>
  <c r="G29" i="56" s="1"/>
  <c r="H29" i="56"/>
  <c r="K29" i="56" s="1"/>
  <c r="H12" i="56"/>
  <c r="K12" i="56" s="1"/>
  <c r="J46" i="34"/>
  <c r="G36" i="56" s="1"/>
  <c r="H36" i="56" s="1"/>
  <c r="G44" i="33"/>
  <c r="E35" i="56" s="1"/>
  <c r="H35" i="56" s="1"/>
  <c r="J35" i="9"/>
  <c r="G34" i="56" s="1"/>
  <c r="J45" i="26"/>
  <c r="G33" i="56" s="1"/>
  <c r="G40" i="22"/>
  <c r="E24" i="56" s="1"/>
  <c r="H24" i="56" s="1"/>
  <c r="K4" i="40"/>
  <c r="L4" i="40" s="1"/>
  <c r="G35" i="40"/>
  <c r="E22" i="56" s="1"/>
  <c r="H22" i="56" s="1"/>
  <c r="L35" i="40"/>
  <c r="J22" i="56" s="1"/>
  <c r="K35" i="40"/>
  <c r="M35" i="24"/>
  <c r="J18" i="56" s="1"/>
  <c r="J35" i="52"/>
  <c r="G13" i="56" s="1"/>
  <c r="K35" i="52"/>
  <c r="H13" i="56" s="1"/>
  <c r="G35" i="52"/>
  <c r="H11" i="56"/>
  <c r="K11" i="56" s="1"/>
  <c r="K36" i="6"/>
  <c r="G36" i="6"/>
  <c r="E2" i="56" s="1"/>
  <c r="J38" i="41"/>
  <c r="G31" i="56" s="1"/>
  <c r="K35" i="36"/>
  <c r="J35" i="15"/>
  <c r="G26" i="56" s="1"/>
  <c r="G35" i="11"/>
  <c r="E21" i="56" s="1"/>
  <c r="G43" i="35"/>
  <c r="E37" i="56" s="1"/>
  <c r="G43" i="51"/>
  <c r="E38" i="56" s="1"/>
  <c r="H38" i="56" s="1"/>
  <c r="L45" i="26"/>
  <c r="J33" i="56" s="1"/>
  <c r="G45" i="26"/>
  <c r="E33" i="56" s="1"/>
  <c r="E5" i="56"/>
  <c r="J35" i="19"/>
  <c r="G39" i="56" s="1"/>
  <c r="H39" i="56" s="1"/>
  <c r="H33" i="56"/>
  <c r="K33" i="56" s="1"/>
  <c r="K38" i="56"/>
  <c r="J43" i="35"/>
  <c r="G37" i="56" s="1"/>
  <c r="H37" i="56" s="1"/>
  <c r="G35" i="9"/>
  <c r="E34" i="56" s="1"/>
  <c r="H34" i="56" s="1"/>
  <c r="K34" i="56" s="1"/>
  <c r="G38" i="41"/>
  <c r="E31" i="56" s="1"/>
  <c r="H31" i="56" s="1"/>
  <c r="K31" i="56" s="1"/>
  <c r="K35" i="3"/>
  <c r="M33" i="3"/>
  <c r="M34" i="3" s="1"/>
  <c r="H26" i="56"/>
  <c r="K26" i="56" s="1"/>
  <c r="G35" i="58"/>
  <c r="E9" i="56" s="1"/>
  <c r="H9" i="56" s="1"/>
  <c r="K4" i="58"/>
  <c r="G35" i="57"/>
  <c r="E32" i="56" s="1"/>
  <c r="H32" i="56" s="1"/>
  <c r="K32" i="56" s="1"/>
  <c r="K4" i="57"/>
  <c r="H21" i="56"/>
  <c r="K21" i="56" s="1"/>
  <c r="K35" i="7"/>
  <c r="G35" i="7"/>
  <c r="E15" i="56" s="1"/>
  <c r="H15" i="56" s="1"/>
  <c r="K15" i="56" s="1"/>
  <c r="J35" i="47"/>
  <c r="G4" i="56" s="1"/>
  <c r="J35" i="10"/>
  <c r="G20" i="56" s="1"/>
  <c r="J35" i="37"/>
  <c r="G28" i="56" s="1"/>
  <c r="J36" i="14"/>
  <c r="G25" i="56" s="1"/>
  <c r="G36" i="14"/>
  <c r="E25" i="56" s="1"/>
  <c r="K25" i="56" s="1"/>
  <c r="J35" i="20"/>
  <c r="G17" i="56" s="1"/>
  <c r="F40" i="56"/>
  <c r="G35" i="47"/>
  <c r="E4" i="56" s="1"/>
  <c r="H4" i="56" s="1"/>
  <c r="K4" i="56" s="1"/>
  <c r="L35" i="19"/>
  <c r="J39" i="56" s="1"/>
  <c r="K35" i="19"/>
  <c r="L35" i="20"/>
  <c r="J17" i="56" s="1"/>
  <c r="K35" i="20"/>
  <c r="G35" i="20"/>
  <c r="E17" i="56" s="1"/>
  <c r="H17" i="56" s="1"/>
  <c r="K17" i="56" s="1"/>
  <c r="H2" i="56"/>
  <c r="L40" i="32"/>
  <c r="J8" i="56" s="1"/>
  <c r="J36" i="18"/>
  <c r="G5" i="56" s="1"/>
  <c r="H5" i="56" s="1"/>
  <c r="K5" i="56" s="1"/>
  <c r="M7" i="56" s="1"/>
  <c r="J37" i="50"/>
  <c r="G3" i="56" s="1"/>
  <c r="G37" i="50"/>
  <c r="E3" i="56" s="1"/>
  <c r="G27" i="56"/>
  <c r="G35" i="25"/>
  <c r="E23" i="56" s="1"/>
  <c r="J35" i="25"/>
  <c r="G23" i="56" s="1"/>
  <c r="H23" i="56" s="1"/>
  <c r="K35" i="11"/>
  <c r="G35" i="10"/>
  <c r="E20" i="56" s="1"/>
  <c r="H3" i="56"/>
  <c r="G35" i="54"/>
  <c r="E7" i="56" s="1"/>
  <c r="H7" i="56" s="1"/>
  <c r="K7" i="56" s="1"/>
  <c r="G35" i="24"/>
  <c r="E18" i="56" s="1"/>
  <c r="H18" i="56" s="1"/>
  <c r="K18" i="56" s="1"/>
  <c r="G35" i="37"/>
  <c r="E28" i="56" s="1"/>
  <c r="H28" i="56" s="1"/>
  <c r="K43" i="51"/>
  <c r="M23" i="51"/>
  <c r="M24" i="51" s="1"/>
  <c r="M25" i="51" s="1"/>
  <c r="M26" i="51" s="1"/>
  <c r="M27" i="51" s="1"/>
  <c r="M28" i="51" s="1"/>
  <c r="M29" i="51" s="1"/>
  <c r="M30" i="51" s="1"/>
  <c r="M31" i="51" s="1"/>
  <c r="M32" i="51" s="1"/>
  <c r="M33" i="51" s="1"/>
  <c r="K4" i="54"/>
  <c r="N28" i="43"/>
  <c r="N29" i="43" s="1"/>
  <c r="N10" i="43"/>
  <c r="N11" i="43" s="1"/>
  <c r="N12" i="43" s="1"/>
  <c r="N13" i="43" s="1"/>
  <c r="N14" i="43" s="1"/>
  <c r="N15" i="43" s="1"/>
  <c r="N16" i="43" s="1"/>
  <c r="N17" i="43" s="1"/>
  <c r="N18" i="43" s="1"/>
  <c r="N19" i="43" s="1"/>
  <c r="N20" i="43" s="1"/>
  <c r="N21" i="43" s="1"/>
  <c r="N22" i="43" s="1"/>
  <c r="N23" i="43" s="1"/>
  <c r="K4" i="41"/>
  <c r="K4" i="22"/>
  <c r="M4" i="22" s="1"/>
  <c r="M5" i="22" s="1"/>
  <c r="K39" i="22"/>
  <c r="L39" i="22" s="1"/>
  <c r="M8" i="44"/>
  <c r="M9" i="44" s="1"/>
  <c r="M10" i="44" s="1"/>
  <c r="K4" i="51"/>
  <c r="K4" i="24"/>
  <c r="K35" i="24" s="1"/>
  <c r="M11" i="44"/>
  <c r="M12" i="44" s="1"/>
  <c r="M13" i="44" s="1"/>
  <c r="M14" i="44" s="1"/>
  <c r="M15" i="44" s="1"/>
  <c r="M16" i="44" s="1"/>
  <c r="M17" i="44" s="1"/>
  <c r="M18" i="44" s="1"/>
  <c r="M19" i="44" s="1"/>
  <c r="M20" i="44" s="1"/>
  <c r="M21" i="44" s="1"/>
  <c r="M22" i="44" s="1"/>
  <c r="O22" i="44" s="1"/>
  <c r="K37" i="50"/>
  <c r="K4" i="47"/>
  <c r="K35" i="47" s="1"/>
  <c r="M4" i="47"/>
  <c r="G36" i="16"/>
  <c r="G38" i="16" s="1"/>
  <c r="E14" i="56" s="1"/>
  <c r="H14" i="56" s="1"/>
  <c r="K14" i="56" s="1"/>
  <c r="M5" i="47"/>
  <c r="M6" i="47" s="1"/>
  <c r="M7" i="47" s="1"/>
  <c r="M8" i="47" s="1"/>
  <c r="M9" i="47" s="1"/>
  <c r="M10" i="47" s="1"/>
  <c r="M11" i="47" s="1"/>
  <c r="M12" i="47" s="1"/>
  <c r="M13" i="47" s="1"/>
  <c r="M14" i="47" s="1"/>
  <c r="M15" i="47" s="1"/>
  <c r="M16" i="47" s="1"/>
  <c r="M17" i="47" s="1"/>
  <c r="M18" i="47" s="1"/>
  <c r="M19" i="47" s="1"/>
  <c r="M20" i="47" s="1"/>
  <c r="M21" i="47" s="1"/>
  <c r="M22" i="47" s="1"/>
  <c r="M23" i="47" s="1"/>
  <c r="M24" i="47" s="1"/>
  <c r="M25" i="47" s="1"/>
  <c r="M26" i="47" s="1"/>
  <c r="M27" i="47" s="1"/>
  <c r="M28" i="47" s="1"/>
  <c r="M29" i="47" s="1"/>
  <c r="M30" i="47" s="1"/>
  <c r="M31" i="47" s="1"/>
  <c r="M32" i="47" s="1"/>
  <c r="M33" i="47" s="1"/>
  <c r="M34" i="47" s="1"/>
  <c r="M4" i="12"/>
  <c r="K4" i="18"/>
  <c r="K36" i="18" s="1"/>
  <c r="K4" i="32"/>
  <c r="K40" i="32" s="1"/>
  <c r="G35" i="39"/>
  <c r="M4" i="18"/>
  <c r="M4" i="6"/>
  <c r="K4" i="37"/>
  <c r="K4" i="36"/>
  <c r="K4" i="35"/>
  <c r="K4" i="34"/>
  <c r="K4" i="33"/>
  <c r="K44" i="33" s="1"/>
  <c r="L4" i="19"/>
  <c r="K4" i="7"/>
  <c r="M4" i="11"/>
  <c r="M4" i="14"/>
  <c r="M5" i="14" s="1"/>
  <c r="M6" i="14" s="1"/>
  <c r="M7" i="14" s="1"/>
  <c r="M8" i="14" s="1"/>
  <c r="M9" i="14" s="1"/>
  <c r="M10" i="14" s="1"/>
  <c r="K4" i="16"/>
  <c r="K4" i="9"/>
  <c r="K35" i="9" s="1"/>
  <c r="K4" i="10"/>
  <c r="K4" i="8"/>
  <c r="K35" i="8" s="1"/>
  <c r="K4" i="2"/>
  <c r="K36" i="2" s="1"/>
  <c r="K4" i="26"/>
  <c r="K45" i="26" s="1"/>
  <c r="M11" i="14"/>
  <c r="M12" i="14" s="1"/>
  <c r="M13" i="14" s="1"/>
  <c r="M14" i="14" s="1"/>
  <c r="M15" i="14" s="1"/>
  <c r="M4" i="8"/>
  <c r="M5" i="8" s="1"/>
  <c r="M6" i="8" s="1"/>
  <c r="M7" i="8" s="1"/>
  <c r="M8" i="8" s="1"/>
  <c r="M9" i="8" s="1"/>
  <c r="M10" i="8" s="1"/>
  <c r="M11" i="8" s="1"/>
  <c r="M12" i="8" s="1"/>
  <c r="M13" i="8" s="1"/>
  <c r="M14" i="8" s="1"/>
  <c r="M15" i="8" s="1"/>
  <c r="M16" i="8" s="1"/>
  <c r="M17" i="8" s="1"/>
  <c r="M18" i="8" s="1"/>
  <c r="M19" i="8" s="1"/>
  <c r="M20" i="8" s="1"/>
  <c r="M21" i="8" s="1"/>
  <c r="M22" i="8" s="1"/>
  <c r="M23" i="8" s="1"/>
  <c r="M24" i="8" s="1"/>
  <c r="M25" i="8" s="1"/>
  <c r="M26" i="8" s="1"/>
  <c r="M27" i="8" s="1"/>
  <c r="M28" i="8" s="1"/>
  <c r="M5" i="11"/>
  <c r="M6" i="11" s="1"/>
  <c r="M7" i="11" s="1"/>
  <c r="M8" i="11" s="1"/>
  <c r="M9" i="11" s="1"/>
  <c r="M5" i="12"/>
  <c r="M6" i="12" s="1"/>
  <c r="M7" i="12" s="1"/>
  <c r="M8" i="12" s="1"/>
  <c r="M9" i="12" s="1"/>
  <c r="M10" i="12" s="1"/>
  <c r="M11" i="12" s="1"/>
  <c r="M12" i="12" s="1"/>
  <c r="M13" i="12" s="1"/>
  <c r="M14" i="12" s="1"/>
  <c r="M15" i="12" s="1"/>
  <c r="M4" i="1"/>
  <c r="M5" i="1" s="1"/>
  <c r="M6" i="1" s="1"/>
  <c r="M7" i="1" s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4" i="2"/>
  <c r="M5" i="2" s="1"/>
  <c r="M6" i="2" s="1"/>
  <c r="M7" i="2" s="1"/>
  <c r="M8" i="2" s="1"/>
  <c r="M9" i="2" s="1"/>
  <c r="M10" i="2" s="1"/>
  <c r="M11" i="2" s="1"/>
  <c r="M12" i="2" s="1"/>
  <c r="M13" i="2" s="1"/>
  <c r="M14" i="2" s="1"/>
  <c r="M15" i="2" s="1"/>
  <c r="M16" i="2" s="1"/>
  <c r="M17" i="2" s="1"/>
  <c r="M18" i="2" s="1"/>
  <c r="M19" i="2" s="1"/>
  <c r="M20" i="2" s="1"/>
  <c r="M21" i="2" s="1"/>
  <c r="M22" i="2" s="1"/>
  <c r="M23" i="2" s="1"/>
  <c r="M24" i="2" s="1"/>
  <c r="M25" i="2" s="1"/>
  <c r="M26" i="2" s="1"/>
  <c r="M27" i="2" s="1"/>
  <c r="M28" i="2" s="1"/>
  <c r="M29" i="2" s="1"/>
  <c r="M30" i="2" s="1"/>
  <c r="M31" i="2" s="1"/>
  <c r="M32" i="2" s="1"/>
  <c r="M33" i="2" s="1"/>
  <c r="M34" i="2" s="1"/>
  <c r="M35" i="2" s="1"/>
  <c r="K4" i="20"/>
  <c r="K4" i="25"/>
  <c r="K35" i="25" s="1"/>
  <c r="M5" i="6"/>
  <c r="M6" i="6" s="1"/>
  <c r="M7" i="6" s="1"/>
  <c r="M8" i="6" s="1"/>
  <c r="K4" i="23"/>
  <c r="K36" i="23" s="1"/>
  <c r="K4" i="15"/>
  <c r="K35" i="15" s="1"/>
  <c r="K4" i="3"/>
  <c r="M16" i="14" l="1"/>
  <c r="M17" i="14" s="1"/>
  <c r="M18" i="14" s="1"/>
  <c r="M19" i="14" s="1"/>
  <c r="M20" i="14" s="1"/>
  <c r="M21" i="14" s="1"/>
  <c r="M22" i="14" s="1"/>
  <c r="M23" i="14" s="1"/>
  <c r="M24" i="14" s="1"/>
  <c r="M25" i="14" s="1"/>
  <c r="M26" i="14" s="1"/>
  <c r="M27" i="14" s="1"/>
  <c r="M28" i="14" s="1"/>
  <c r="K46" i="34"/>
  <c r="K13" i="56"/>
  <c r="E13" i="56"/>
  <c r="K8" i="56"/>
  <c r="K35" i="59"/>
  <c r="L4" i="59"/>
  <c r="L35" i="59" s="1"/>
  <c r="J10" i="56" s="1"/>
  <c r="K10" i="56" s="1"/>
  <c r="M16" i="12"/>
  <c r="M17" i="12" s="1"/>
  <c r="M18" i="12" s="1"/>
  <c r="M19" i="12" s="1"/>
  <c r="M20" i="12" s="1"/>
  <c r="M21" i="12" s="1"/>
  <c r="M22" i="12" s="1"/>
  <c r="M23" i="12" s="1"/>
  <c r="M24" i="12" s="1"/>
  <c r="M25" i="12" s="1"/>
  <c r="M26" i="12" s="1"/>
  <c r="M27" i="12" s="1"/>
  <c r="M28" i="12" s="1"/>
  <c r="M29" i="12" s="1"/>
  <c r="M30" i="12" s="1"/>
  <c r="M31" i="12" s="1"/>
  <c r="M32" i="12" s="1"/>
  <c r="M33" i="12" s="1"/>
  <c r="M34" i="12" s="1"/>
  <c r="K2" i="56"/>
  <c r="L4" i="37"/>
  <c r="L35" i="37" s="1"/>
  <c r="J28" i="56" s="1"/>
  <c r="K35" i="37"/>
  <c r="K28" i="56"/>
  <c r="M6" i="22"/>
  <c r="M7" i="22" s="1"/>
  <c r="M8" i="22" s="1"/>
  <c r="K22" i="56"/>
  <c r="H20" i="56"/>
  <c r="K20" i="56" s="1"/>
  <c r="M4" i="23"/>
  <c r="M5" i="23" s="1"/>
  <c r="M6" i="23" s="1"/>
  <c r="M7" i="23" s="1"/>
  <c r="M8" i="23" s="1"/>
  <c r="M9" i="23" s="1"/>
  <c r="M10" i="23" s="1"/>
  <c r="M11" i="23" s="1"/>
  <c r="M12" i="23" s="1"/>
  <c r="M13" i="23" s="1"/>
  <c r="M14" i="23" s="1"/>
  <c r="M15" i="23" s="1"/>
  <c r="M16" i="23" s="1"/>
  <c r="M17" i="23" s="1"/>
  <c r="M18" i="23" s="1"/>
  <c r="M19" i="23" s="1"/>
  <c r="M20" i="23" s="1"/>
  <c r="M21" i="23" s="1"/>
  <c r="M22" i="23" s="1"/>
  <c r="M23" i="23" s="1"/>
  <c r="M24" i="23" s="1"/>
  <c r="M25" i="23" s="1"/>
  <c r="M26" i="23" s="1"/>
  <c r="M27" i="23" s="1"/>
  <c r="M28" i="23" s="1"/>
  <c r="M29" i="23" s="1"/>
  <c r="M30" i="23" s="1"/>
  <c r="M31" i="23" s="1"/>
  <c r="M32" i="23" s="1"/>
  <c r="M33" i="23" s="1"/>
  <c r="M34" i="23" s="1"/>
  <c r="M35" i="23" s="1"/>
  <c r="M4" i="41"/>
  <c r="M5" i="41" s="1"/>
  <c r="K38" i="41"/>
  <c r="M4" i="16"/>
  <c r="K36" i="16"/>
  <c r="K38" i="16" s="1"/>
  <c r="K39" i="56"/>
  <c r="K35" i="58"/>
  <c r="L4" i="58"/>
  <c r="L35" i="58" s="1"/>
  <c r="J9" i="56" s="1"/>
  <c r="H27" i="56"/>
  <c r="K35" i="57"/>
  <c r="M4" i="57"/>
  <c r="M5" i="57" s="1"/>
  <c r="M6" i="57" s="1"/>
  <c r="M7" i="57" s="1"/>
  <c r="M8" i="57" s="1"/>
  <c r="M9" i="57" s="1"/>
  <c r="M10" i="57" s="1"/>
  <c r="M11" i="57" s="1"/>
  <c r="M12" i="57" s="1"/>
  <c r="M13" i="57" s="1"/>
  <c r="M14" i="57" s="1"/>
  <c r="M15" i="57" s="1"/>
  <c r="M16" i="57" s="1"/>
  <c r="M17" i="57" s="1"/>
  <c r="M18" i="57" s="1"/>
  <c r="M19" i="57" s="1"/>
  <c r="M20" i="57" s="1"/>
  <c r="M21" i="57" s="1"/>
  <c r="M22" i="57" s="1"/>
  <c r="M23" i="57" s="1"/>
  <c r="M24" i="57" s="1"/>
  <c r="M25" i="57" s="1"/>
  <c r="M26" i="57" s="1"/>
  <c r="M27" i="57" s="1"/>
  <c r="M28" i="57" s="1"/>
  <c r="M29" i="57" s="1"/>
  <c r="M30" i="57" s="1"/>
  <c r="M31" i="57" s="1"/>
  <c r="M32" i="57" s="1"/>
  <c r="M33" i="57" s="1"/>
  <c r="M34" i="57" s="1"/>
  <c r="K40" i="22"/>
  <c r="K27" i="56"/>
  <c r="K3" i="56"/>
  <c r="M23" i="44"/>
  <c r="M24" i="44" s="1"/>
  <c r="M25" i="44" s="1"/>
  <c r="M26" i="44" s="1"/>
  <c r="M27" i="44" s="1"/>
  <c r="M28" i="44" s="1"/>
  <c r="M29" i="44" s="1"/>
  <c r="M30" i="44" s="1"/>
  <c r="M31" i="44" s="1"/>
  <c r="M32" i="44" s="1"/>
  <c r="M33" i="44" s="1"/>
  <c r="M34" i="44" s="1"/>
  <c r="K35" i="54"/>
  <c r="M4" i="54"/>
  <c r="M5" i="54" s="1"/>
  <c r="M6" i="54" s="1"/>
  <c r="M7" i="54" s="1"/>
  <c r="M8" i="54" s="1"/>
  <c r="M9" i="54" s="1"/>
  <c r="M10" i="54" s="1"/>
  <c r="M11" i="54" s="1"/>
  <c r="M12" i="54" s="1"/>
  <c r="M13" i="54" s="1"/>
  <c r="M14" i="54" s="1"/>
  <c r="M15" i="54" s="1"/>
  <c r="M16" i="54" s="1"/>
  <c r="M17" i="54" s="1"/>
  <c r="M18" i="54" s="1"/>
  <c r="M19" i="54" s="1"/>
  <c r="M20" i="54" s="1"/>
  <c r="M21" i="54" s="1"/>
  <c r="M22" i="54" s="1"/>
  <c r="M23" i="54" s="1"/>
  <c r="M24" i="54" s="1"/>
  <c r="M25" i="54" s="1"/>
  <c r="M26" i="54" s="1"/>
  <c r="M27" i="54" s="1"/>
  <c r="M28" i="54" s="1"/>
  <c r="M29" i="54" s="1"/>
  <c r="M30" i="54" s="1"/>
  <c r="M31" i="54" s="1"/>
  <c r="M32" i="54" s="1"/>
  <c r="M33" i="54" s="1"/>
  <c r="M34" i="54" s="1"/>
  <c r="M6" i="41"/>
  <c r="M7" i="41" s="1"/>
  <c r="M8" i="41" s="1"/>
  <c r="M9" i="41" s="1"/>
  <c r="M10" i="41" s="1"/>
  <c r="M11" i="41" s="1"/>
  <c r="M12" i="41" s="1"/>
  <c r="M13" i="41" s="1"/>
  <c r="M14" i="41" s="1"/>
  <c r="M15" i="41" s="1"/>
  <c r="M16" i="41" s="1"/>
  <c r="M17" i="41" s="1"/>
  <c r="M18" i="41" s="1"/>
  <c r="M19" i="41" s="1"/>
  <c r="M20" i="41" s="1"/>
  <c r="M21" i="41" s="1"/>
  <c r="M22" i="41" s="1"/>
  <c r="M23" i="41" s="1"/>
  <c r="M24" i="41" s="1"/>
  <c r="M25" i="41" s="1"/>
  <c r="M26" i="41" s="1"/>
  <c r="M27" i="41" s="1"/>
  <c r="M28" i="41" s="1"/>
  <c r="M29" i="41" s="1"/>
  <c r="M30" i="41" s="1"/>
  <c r="M31" i="41" s="1"/>
  <c r="M32" i="41" s="1"/>
  <c r="M33" i="41" s="1"/>
  <c r="M34" i="41" s="1"/>
  <c r="M35" i="41" s="1"/>
  <c r="M36" i="41" s="1"/>
  <c r="M37" i="41" s="1"/>
  <c r="M5" i="26"/>
  <c r="M6" i="26" s="1"/>
  <c r="M7" i="26" s="1"/>
  <c r="M8" i="26" s="1"/>
  <c r="M9" i="26" s="1"/>
  <c r="M10" i="26" s="1"/>
  <c r="M11" i="26" s="1"/>
  <c r="M12" i="26" s="1"/>
  <c r="M13" i="26" s="1"/>
  <c r="M14" i="26" s="1"/>
  <c r="M15" i="26" s="1"/>
  <c r="M16" i="26" s="1"/>
  <c r="M17" i="26" s="1"/>
  <c r="M18" i="26" s="1"/>
  <c r="M19" i="26" s="1"/>
  <c r="M20" i="26" s="1"/>
  <c r="M21" i="26" s="1"/>
  <c r="M22" i="26" s="1"/>
  <c r="M23" i="26" s="1"/>
  <c r="M24" i="26" s="1"/>
  <c r="M25" i="26" s="1"/>
  <c r="M26" i="26" s="1"/>
  <c r="M27" i="26" s="1"/>
  <c r="M28" i="26" s="1"/>
  <c r="M29" i="26" s="1"/>
  <c r="M30" i="26" s="1"/>
  <c r="M31" i="26" s="1"/>
  <c r="L4" i="24"/>
  <c r="M4" i="24" s="1"/>
  <c r="M4" i="50"/>
  <c r="L4" i="51"/>
  <c r="L4" i="25"/>
  <c r="L35" i="25" s="1"/>
  <c r="J23" i="56" s="1"/>
  <c r="K23" i="56" s="1"/>
  <c r="M4" i="25"/>
  <c r="M5" i="16"/>
  <c r="M6" i="16" s="1"/>
  <c r="M7" i="16"/>
  <c r="M8" i="16" s="1"/>
  <c r="M9" i="16" s="1"/>
  <c r="M10" i="16" s="1"/>
  <c r="M11" i="16" s="1"/>
  <c r="M12" i="16" s="1"/>
  <c r="M13" i="16" s="1"/>
  <c r="M14" i="16" s="1"/>
  <c r="M15" i="16" s="1"/>
  <c r="M16" i="16" s="1"/>
  <c r="M17" i="16" s="1"/>
  <c r="M18" i="16" s="1"/>
  <c r="M19" i="16" s="1"/>
  <c r="M20" i="16" s="1"/>
  <c r="M21" i="16" s="1"/>
  <c r="M22" i="16" s="1"/>
  <c r="M23" i="16" s="1"/>
  <c r="M24" i="16" s="1"/>
  <c r="M25" i="16" s="1"/>
  <c r="M26" i="16" s="1"/>
  <c r="M27" i="16" s="1"/>
  <c r="M28" i="16" s="1"/>
  <c r="M29" i="16" s="1"/>
  <c r="M30" i="16" s="1"/>
  <c r="M31" i="16" s="1"/>
  <c r="M32" i="16" s="1"/>
  <c r="M33" i="16" s="1"/>
  <c r="M34" i="16" s="1"/>
  <c r="M35" i="16" s="1"/>
  <c r="M4" i="32"/>
  <c r="M5" i="32" s="1"/>
  <c r="K35" i="39"/>
  <c r="M5" i="39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M16" i="39" s="1"/>
  <c r="M17" i="39" s="1"/>
  <c r="M18" i="39" s="1"/>
  <c r="M19" i="39" s="1"/>
  <c r="M20" i="39" s="1"/>
  <c r="M21" i="39" s="1"/>
  <c r="M22" i="39" s="1"/>
  <c r="M23" i="39" s="1"/>
  <c r="M24" i="39" s="1"/>
  <c r="M25" i="39" s="1"/>
  <c r="M26" i="39" s="1"/>
  <c r="M27" i="39" s="1"/>
  <c r="M28" i="39" s="1"/>
  <c r="M29" i="39" s="1"/>
  <c r="M30" i="39" s="1"/>
  <c r="M31" i="39" s="1"/>
  <c r="M29" i="8"/>
  <c r="M30" i="8" s="1"/>
  <c r="M31" i="8" s="1"/>
  <c r="M32" i="8" s="1"/>
  <c r="M33" i="8" s="1"/>
  <c r="M34" i="8" s="1"/>
  <c r="M4" i="37"/>
  <c r="M4" i="36"/>
  <c r="M5" i="36" s="1"/>
  <c r="M6" i="36" s="1"/>
  <c r="M7" i="36" s="1"/>
  <c r="M8" i="36" s="1"/>
  <c r="M9" i="36" s="1"/>
  <c r="M10" i="36" s="1"/>
  <c r="M11" i="36" s="1"/>
  <c r="M12" i="36" s="1"/>
  <c r="M13" i="36" s="1"/>
  <c r="M14" i="36" s="1"/>
  <c r="M15" i="36" s="1"/>
  <c r="M16" i="36" s="1"/>
  <c r="M17" i="36" s="1"/>
  <c r="M18" i="36" s="1"/>
  <c r="M19" i="36" s="1"/>
  <c r="M20" i="36" s="1"/>
  <c r="M21" i="36" s="1"/>
  <c r="M22" i="36" s="1"/>
  <c r="M23" i="36" s="1"/>
  <c r="M24" i="36" s="1"/>
  <c r="M25" i="36" s="1"/>
  <c r="M26" i="36" s="1"/>
  <c r="M27" i="36" s="1"/>
  <c r="M28" i="36" s="1"/>
  <c r="M29" i="36" s="1"/>
  <c r="M30" i="36" s="1"/>
  <c r="M31" i="36" s="1"/>
  <c r="M32" i="36" s="1"/>
  <c r="M33" i="36" s="1"/>
  <c r="K43" i="35"/>
  <c r="L4" i="35"/>
  <c r="L43" i="35" s="1"/>
  <c r="J37" i="56" s="1"/>
  <c r="K37" i="56" s="1"/>
  <c r="L4" i="34"/>
  <c r="L4" i="33"/>
  <c r="J35" i="56" s="1"/>
  <c r="K35" i="56" s="1"/>
  <c r="M9" i="6"/>
  <c r="M4" i="7"/>
  <c r="M5" i="7" s="1"/>
  <c r="M6" i="7" s="1"/>
  <c r="M7" i="7" s="1"/>
  <c r="M8" i="7" s="1"/>
  <c r="M9" i="7" s="1"/>
  <c r="M10" i="7" s="1"/>
  <c r="M11" i="7" s="1"/>
  <c r="M12" i="7" s="1"/>
  <c r="M13" i="7" s="1"/>
  <c r="M14" i="7" s="1"/>
  <c r="M15" i="7" s="1"/>
  <c r="M16" i="7" s="1"/>
  <c r="M17" i="7" s="1"/>
  <c r="M18" i="7" s="1"/>
  <c r="M19" i="7" s="1"/>
  <c r="M20" i="7" s="1"/>
  <c r="M21" i="7" s="1"/>
  <c r="M22" i="7" s="1"/>
  <c r="M23" i="7" s="1"/>
  <c r="M24" i="7" s="1"/>
  <c r="M25" i="7" s="1"/>
  <c r="M26" i="7" s="1"/>
  <c r="M27" i="7" s="1"/>
  <c r="M28" i="7" s="1"/>
  <c r="M29" i="7" s="1"/>
  <c r="M30" i="7" s="1"/>
  <c r="M31" i="7" s="1"/>
  <c r="M32" i="7" s="1"/>
  <c r="M33" i="7" s="1"/>
  <c r="M10" i="11"/>
  <c r="M11" i="11" s="1"/>
  <c r="M12" i="11" s="1"/>
  <c r="M13" i="11" s="1"/>
  <c r="M14" i="11" s="1"/>
  <c r="M15" i="11" s="1"/>
  <c r="M16" i="11" s="1"/>
  <c r="M17" i="11" s="1"/>
  <c r="M18" i="11" s="1"/>
  <c r="M19" i="11" s="1"/>
  <c r="M20" i="11" s="1"/>
  <c r="M21" i="11" s="1"/>
  <c r="M22" i="11" s="1"/>
  <c r="M23" i="11" s="1"/>
  <c r="M24" i="11" s="1"/>
  <c r="M25" i="11" s="1"/>
  <c r="M26" i="11" s="1"/>
  <c r="M27" i="11" s="1"/>
  <c r="M28" i="11" s="1"/>
  <c r="M29" i="11" s="1"/>
  <c r="M30" i="11" s="1"/>
  <c r="M31" i="11" s="1"/>
  <c r="M32" i="11" s="1"/>
  <c r="M33" i="11" s="1"/>
  <c r="M34" i="11" s="1"/>
  <c r="M5" i="25"/>
  <c r="M6" i="25" s="1"/>
  <c r="M7" i="25" s="1"/>
  <c r="M8" i="25" s="1"/>
  <c r="M9" i="25" s="1"/>
  <c r="M10" i="25" s="1"/>
  <c r="M11" i="25" s="1"/>
  <c r="M12" i="25" s="1"/>
  <c r="M13" i="25" s="1"/>
  <c r="M14" i="25" s="1"/>
  <c r="M15" i="25" s="1"/>
  <c r="M16" i="25" s="1"/>
  <c r="M17" i="25" s="1"/>
  <c r="M18" i="25" s="1"/>
  <c r="M19" i="25" s="1"/>
  <c r="M20" i="25" s="1"/>
  <c r="M21" i="25" s="1"/>
  <c r="M22" i="25" s="1"/>
  <c r="M23" i="25" s="1"/>
  <c r="M24" i="25" s="1"/>
  <c r="M25" i="25" s="1"/>
  <c r="M26" i="25" s="1"/>
  <c r="M27" i="25" s="1"/>
  <c r="M28" i="25" s="1"/>
  <c r="M29" i="25" s="1"/>
  <c r="M30" i="25" s="1"/>
  <c r="M31" i="25" s="1"/>
  <c r="M32" i="25" s="1"/>
  <c r="M33" i="25" s="1"/>
  <c r="M34" i="25" s="1"/>
  <c r="M5" i="9"/>
  <c r="M6" i="9" s="1"/>
  <c r="M7" i="9" s="1"/>
  <c r="M8" i="9" s="1"/>
  <c r="M9" i="9" s="1"/>
  <c r="M10" i="9" s="1"/>
  <c r="M11" i="9" s="1"/>
  <c r="M12" i="9" s="1"/>
  <c r="M7" i="10"/>
  <c r="M8" i="10" s="1"/>
  <c r="M9" i="10" s="1"/>
  <c r="M10" i="10" s="1"/>
  <c r="M11" i="10" s="1"/>
  <c r="M12" i="10" s="1"/>
  <c r="M13" i="10" s="1"/>
  <c r="M14" i="10" s="1"/>
  <c r="M15" i="10" s="1"/>
  <c r="M16" i="10" s="1"/>
  <c r="M17" i="10" s="1"/>
  <c r="M18" i="10" s="1"/>
  <c r="M19" i="10" s="1"/>
  <c r="M20" i="10" s="1"/>
  <c r="M21" i="10" s="1"/>
  <c r="M22" i="10" s="1"/>
  <c r="M23" i="10" s="1"/>
  <c r="M24" i="10" s="1"/>
  <c r="M25" i="10" s="1"/>
  <c r="M26" i="10" s="1"/>
  <c r="M27" i="10" s="1"/>
  <c r="M28" i="10" s="1"/>
  <c r="M29" i="10" s="1"/>
  <c r="M30" i="10" s="1"/>
  <c r="M31" i="10" s="1"/>
  <c r="M32" i="10" s="1"/>
  <c r="M33" i="10" s="1"/>
  <c r="M34" i="10" s="1"/>
  <c r="M4" i="15"/>
  <c r="M5" i="15" s="1"/>
  <c r="M6" i="15" s="1"/>
  <c r="M7" i="15" s="1"/>
  <c r="M8" i="15" s="1"/>
  <c r="M9" i="15" s="1"/>
  <c r="M10" i="15" s="1"/>
  <c r="M11" i="15" s="1"/>
  <c r="M12" i="15" s="1"/>
  <c r="M13" i="15" s="1"/>
  <c r="M14" i="15" s="1"/>
  <c r="M15" i="15" s="1"/>
  <c r="L4" i="20"/>
  <c r="M29" i="14" l="1"/>
  <c r="M30" i="14" s="1"/>
  <c r="M31" i="14" s="1"/>
  <c r="M32" i="14" s="1"/>
  <c r="M33" i="14" s="1"/>
  <c r="M34" i="14" s="1"/>
  <c r="M35" i="14" s="1"/>
  <c r="L46" i="34"/>
  <c r="J36" i="56" s="1"/>
  <c r="K36" i="56" s="1"/>
  <c r="M4" i="34"/>
  <c r="M5" i="34" s="1"/>
  <c r="M6" i="34" s="1"/>
  <c r="M7" i="34" s="1"/>
  <c r="M8" i="34" s="1"/>
  <c r="M9" i="34" s="1"/>
  <c r="M10" i="34" s="1"/>
  <c r="M11" i="34" s="1"/>
  <c r="M12" i="34" s="1"/>
  <c r="M13" i="34" s="1"/>
  <c r="M14" i="34" s="1"/>
  <c r="M15" i="34" s="1"/>
  <c r="M16" i="34" s="1"/>
  <c r="M17" i="34" s="1"/>
  <c r="M18" i="34" s="1"/>
  <c r="M19" i="34" s="1"/>
  <c r="M20" i="34" s="1"/>
  <c r="M21" i="34" s="1"/>
  <c r="M22" i="34" s="1"/>
  <c r="M23" i="34" s="1"/>
  <c r="M24" i="34" s="1"/>
  <c r="M25" i="34" s="1"/>
  <c r="M26" i="34" s="1"/>
  <c r="M27" i="34" s="1"/>
  <c r="M28" i="34" s="1"/>
  <c r="M29" i="34" s="1"/>
  <c r="M30" i="34" s="1"/>
  <c r="M31" i="34" s="1"/>
  <c r="M32" i="34" s="1"/>
  <c r="M33" i="34" s="1"/>
  <c r="M34" i="34" s="1"/>
  <c r="M35" i="34" s="1"/>
  <c r="M36" i="34" s="1"/>
  <c r="M37" i="34" s="1"/>
  <c r="M38" i="34" s="1"/>
  <c r="M39" i="34" s="1"/>
  <c r="M40" i="34" s="1"/>
  <c r="M41" i="34" s="1"/>
  <c r="M42" i="34" s="1"/>
  <c r="M43" i="34" s="1"/>
  <c r="M44" i="34" s="1"/>
  <c r="M45" i="34" s="1"/>
  <c r="K9" i="56"/>
  <c r="L40" i="22"/>
  <c r="J24" i="56" s="1"/>
  <c r="M5" i="50"/>
  <c r="M6" i="50" s="1"/>
  <c r="M7" i="50" s="1"/>
  <c r="M8" i="50" s="1"/>
  <c r="M9" i="50" s="1"/>
  <c r="M10" i="50" s="1"/>
  <c r="M11" i="50" s="1"/>
  <c r="M12" i="50" s="1"/>
  <c r="M13" i="50" s="1"/>
  <c r="M13" i="9"/>
  <c r="M14" i="9" s="1"/>
  <c r="M15" i="9" s="1"/>
  <c r="M16" i="9" s="1"/>
  <c r="M17" i="9" s="1"/>
  <c r="M18" i="9" s="1"/>
  <c r="M19" i="9" s="1"/>
  <c r="M20" i="9" s="1"/>
  <c r="M21" i="9" s="1"/>
  <c r="M22" i="9" s="1"/>
  <c r="M23" i="9" s="1"/>
  <c r="M24" i="9" s="1"/>
  <c r="M25" i="9" s="1"/>
  <c r="M26" i="9" s="1"/>
  <c r="M27" i="9" s="1"/>
  <c r="M28" i="9" s="1"/>
  <c r="M29" i="9" s="1"/>
  <c r="M30" i="9" s="1"/>
  <c r="M31" i="9" s="1"/>
  <c r="M32" i="9" s="1"/>
  <c r="M33" i="9" s="1"/>
  <c r="M34" i="9" s="1"/>
  <c r="M34" i="51"/>
  <c r="M35" i="51" s="1"/>
  <c r="M36" i="51" s="1"/>
  <c r="M37" i="51" s="1"/>
  <c r="M38" i="51" s="1"/>
  <c r="M39" i="51" s="1"/>
  <c r="L47" i="35"/>
  <c r="M4" i="35"/>
  <c r="M6" i="35" s="1"/>
  <c r="M16" i="15"/>
  <c r="M17" i="15" s="1"/>
  <c r="M18" i="15" s="1"/>
  <c r="M19" i="15" s="1"/>
  <c r="M20" i="15" s="1"/>
  <c r="M21" i="15"/>
  <c r="M22" i="15" s="1"/>
  <c r="M23" i="15" s="1"/>
  <c r="M24" i="15" s="1"/>
  <c r="M25" i="15" s="1"/>
  <c r="M26" i="15" s="1"/>
  <c r="M27" i="15" s="1"/>
  <c r="M28" i="15" s="1"/>
  <c r="M29" i="15" s="1"/>
  <c r="M30" i="15" s="1"/>
  <c r="M31" i="15" s="1"/>
  <c r="M32" i="15" s="1"/>
  <c r="M33" i="15" s="1"/>
  <c r="M34" i="15" s="1"/>
  <c r="M10" i="6"/>
  <c r="M11" i="6" s="1"/>
  <c r="M12" i="6" s="1"/>
  <c r="M13" i="6" s="1"/>
  <c r="M14" i="6" s="1"/>
  <c r="M15" i="6" s="1"/>
  <c r="M16" i="6" s="1"/>
  <c r="M17" i="6" s="1"/>
  <c r="M18" i="6" s="1"/>
  <c r="M19" i="6" s="1"/>
  <c r="M20" i="6" s="1"/>
  <c r="M21" i="6" s="1"/>
  <c r="M22" i="6" s="1"/>
  <c r="M23" i="6" s="1"/>
  <c r="M24" i="6" s="1"/>
  <c r="M25" i="6" s="1"/>
  <c r="M26" i="6" s="1"/>
  <c r="M27" i="6" s="1"/>
  <c r="M28" i="6" s="1"/>
  <c r="M29" i="6" s="1"/>
  <c r="M30" i="6" s="1"/>
  <c r="M31" i="6" s="1"/>
  <c r="M32" i="6" s="1"/>
  <c r="M33" i="6" s="1"/>
  <c r="M34" i="6" s="1"/>
  <c r="M4" i="20"/>
  <c r="K24" i="56" l="1"/>
  <c r="J40" i="56"/>
  <c r="M14" i="50"/>
  <c r="M15" i="50" s="1"/>
  <c r="M16" i="50" s="1"/>
  <c r="M17" i="50" s="1"/>
  <c r="M18" i="50" s="1"/>
  <c r="M19" i="50" s="1"/>
  <c r="M20" i="50" s="1"/>
  <c r="M21" i="50" s="1"/>
  <c r="M22" i="50" s="1"/>
  <c r="M23" i="50" s="1"/>
  <c r="M24" i="50" s="1"/>
  <c r="M25" i="50" s="1"/>
  <c r="M26" i="50" s="1"/>
  <c r="M27" i="50" s="1"/>
  <c r="M28" i="50" s="1"/>
  <c r="M29" i="50" s="1"/>
  <c r="M30" i="50" s="1"/>
  <c r="M31" i="50" s="1"/>
  <c r="M32" i="50" s="1"/>
  <c r="M33" i="50" s="1"/>
  <c r="M34" i="50" s="1"/>
  <c r="M5" i="20"/>
  <c r="M6" i="20" s="1"/>
  <c r="M7" i="20" s="1"/>
  <c r="M8" i="20" s="1"/>
  <c r="M9" i="20" s="1"/>
  <c r="M10" i="20" s="1"/>
  <c r="M11" i="20" s="1"/>
  <c r="M12" i="20" s="1"/>
  <c r="M13" i="20" s="1"/>
  <c r="M14" i="20" s="1"/>
  <c r="M15" i="20" s="1"/>
  <c r="M16" i="20" s="1"/>
  <c r="M17" i="20" s="1"/>
  <c r="M18" i="20" s="1"/>
  <c r="M19" i="20" s="1"/>
  <c r="M20" i="20" s="1"/>
  <c r="M21" i="20" s="1"/>
  <c r="M22" i="20" s="1"/>
  <c r="M23" i="20" s="1"/>
  <c r="M24" i="20" s="1"/>
  <c r="M25" i="20" s="1"/>
  <c r="M26" i="20" s="1"/>
  <c r="M27" i="20" s="1"/>
  <c r="D19" i="56"/>
  <c r="D40" i="56" s="1"/>
  <c r="E19" i="56"/>
  <c r="E40" i="56"/>
  <c r="G19" i="56"/>
  <c r="H19" i="56" s="1"/>
  <c r="H40" i="56" s="1"/>
  <c r="G40" i="56"/>
  <c r="K40" i="56" l="1"/>
  <c r="K19" i="5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MIS</author>
  </authors>
  <commentList>
    <comment ref="E13" authorId="0" shapeId="0" xr:uid="{8C101FBA-2D44-4104-8528-AEF2007982B3}">
      <text>
        <r>
          <rPr>
            <sz val="11"/>
            <color theme="1"/>
            <rFont val="Calibri"/>
            <family val="2"/>
            <scheme val="minor"/>
          </rPr>
          <t>MIS:
Previous reading was 1490L</t>
        </r>
      </text>
    </comment>
    <comment ref="E22" authorId="0" shapeId="0" xr:uid="{A8DD90DD-E5E9-4A21-AA3D-6072AE24024D}">
      <text>
        <r>
          <rPr>
            <sz val="11"/>
            <color theme="1"/>
            <rFont val="Calibri"/>
            <family val="2"/>
            <scheme val="minor"/>
          </rPr>
          <t>MIS:
Previous reading was 2060L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tc={FA6C6D60-763F-4D25-8E11-827FD02A0C8B}</author>
  </authors>
  <commentList>
    <comment ref="L18" authorId="0" shapeId="0" xr:uid="{FA6C6D60-763F-4D25-8E11-827FD02A0C8B}">
      <text>
        <t>[Threaded comment]
Your version of Excel allows you to read this threaded comment; however, any edits to it will get removed if the file is opened in a newer version of Excel. Learn more: https://go.microsoft.com/fwlink/?linkid=870924
Comment:
    Amount Paid 25.06.2025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tc={2D764306-D178-476A-8312-6CBB4B698B68}</author>
  </authors>
  <commentList>
    <comment ref="L35" authorId="0" shapeId="0" xr:uid="{2D764306-D178-476A-8312-6CBB4B698B68}">
      <text>
        <t>[Threaded comment]
Your version of Excel allows you to read this threaded comment; however, any edits to it will get removed if the file is opened in a newer version of Excel. Learn more: https://go.microsoft.com/fwlink/?linkid=870924
Comment:
    Rewards Earned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tc={FEC406FB-7617-421C-B1D7-B36B6262D76B}</author>
    <author>tc={F8A1D0F7-2BD3-458D-9CB2-7AEBE76D1E89}</author>
  </authors>
  <commentList>
    <comment ref="L9" authorId="0" shapeId="0" xr:uid="{FEC406FB-7617-421C-B1D7-B36B6262D76B}">
      <text>
        <t>[Threaded comment]
Your version of Excel allows you to read this threaded comment; however, any edits to it will get removed if the file is opened in a newer version of Excel. Learn more: https://go.microsoft.com/fwlink/?linkid=870924
Comment:
    Redeem cash</t>
      </text>
    </comment>
    <comment ref="L10" authorId="1" shapeId="0" xr:uid="{F8A1D0F7-2BD3-458D-9CB2-7AEBE76D1E89}">
      <text>
        <t>[Threaded comment]
Your version of Excel allows you to read this threaded comment; however, any edits to it will get removed if the file is opened in a newer version of Excel. Learn more: https://go.microsoft.com/fwlink/?linkid=870924
Comment:
    Redeem cash</t>
      </text>
    </comment>
  </commentList>
</comments>
</file>

<file path=xl/sharedStrings.xml><?xml version="1.0" encoding="utf-8"?>
<sst xmlns="http://schemas.openxmlformats.org/spreadsheetml/2006/main" count="1666" uniqueCount="332">
  <si>
    <t>S.no</t>
  </si>
  <si>
    <t>Site Name</t>
  </si>
  <si>
    <t xml:space="preserve">Bunk Name </t>
  </si>
  <si>
    <t>Diesel(Liters)</t>
  </si>
  <si>
    <t>Diesel Amount</t>
  </si>
  <si>
    <t>Petrol(Liters)</t>
  </si>
  <si>
    <t>Petrol Amount</t>
  </si>
  <si>
    <t>Total Amount</t>
  </si>
  <si>
    <t>Opening Blance</t>
  </si>
  <si>
    <t>Amount Paid</t>
  </si>
  <si>
    <t>Closing Balances</t>
  </si>
  <si>
    <t>Khammam-1</t>
  </si>
  <si>
    <t>Sri Ramakotaiah Fuel Point</t>
  </si>
  <si>
    <t>Khammam-2</t>
  </si>
  <si>
    <t xml:space="preserve">Divya laxmi ganapathi </t>
  </si>
  <si>
    <t>Khammam-3</t>
  </si>
  <si>
    <t>Jayasai union bunk</t>
  </si>
  <si>
    <t>Jadcherla-1</t>
  </si>
  <si>
    <t>Sai Baba Fuel Station</t>
  </si>
  <si>
    <t>Jadcherla-2</t>
  </si>
  <si>
    <t xml:space="preserve">Uttara Enterprises </t>
  </si>
  <si>
    <t>Jadcherla-3</t>
  </si>
  <si>
    <t>Bhavani  KSK Fuel Station-Nawabpet</t>
  </si>
  <si>
    <t>Jadcherla-4</t>
  </si>
  <si>
    <t xml:space="preserve">ADHOC FILLING STATION STATION </t>
  </si>
  <si>
    <t>Sangareddy-1</t>
  </si>
  <si>
    <t>Shree lakshmi ganapathi F/S</t>
  </si>
  <si>
    <t>Sangareddy-2</t>
  </si>
  <si>
    <t>Sri Durgabhavani Filling Station</t>
  </si>
  <si>
    <t>Sangareddy-3</t>
  </si>
  <si>
    <t>Laxmi Narasimha Enterprises F/S</t>
  </si>
  <si>
    <t>Sangareddy-4</t>
  </si>
  <si>
    <t>Sree Shiva Parvathi Filling Station</t>
  </si>
  <si>
    <t>YG Gudda</t>
  </si>
  <si>
    <t>Pallavi Petrolium</t>
  </si>
  <si>
    <t>Hosadurga-1</t>
  </si>
  <si>
    <t>Merchant Petroliums</t>
  </si>
  <si>
    <t>Hosadurga-2</t>
  </si>
  <si>
    <t>Shree Veeraprathap Fuel</t>
  </si>
  <si>
    <t>Malebennuru(KUWSDB)</t>
  </si>
  <si>
    <t>Sri Ramanjuneya Service Station</t>
  </si>
  <si>
    <t>kadur</t>
  </si>
  <si>
    <t>Vishal Service Station</t>
  </si>
  <si>
    <t>Hiriyur(VJNL)</t>
  </si>
  <si>
    <t>Sri Balaji Agencies</t>
  </si>
  <si>
    <t>Chellakere(KUWSDB)</t>
  </si>
  <si>
    <t>Sri Vishnu Baba Petroleum</t>
  </si>
  <si>
    <t>Khanapur(PKG-3)</t>
  </si>
  <si>
    <t>J K Makavi</t>
  </si>
  <si>
    <t>Munavalli(PKG-3)</t>
  </si>
  <si>
    <t>Shahapur Petroleum</t>
  </si>
  <si>
    <t>Borgaon(PKG-3)</t>
  </si>
  <si>
    <t>Aadisagar Petrolium</t>
  </si>
  <si>
    <t>Ugar,Kudichi(PKG-3)</t>
  </si>
  <si>
    <t>Shiri Bhrhmanath Petrolium</t>
  </si>
  <si>
    <t>Kabbur(PKG-3)</t>
  </si>
  <si>
    <t>Shri Jai Hanuman Petrolium</t>
  </si>
  <si>
    <t>Kumta (PKG-1)</t>
  </si>
  <si>
    <t>Krishma fuel station</t>
  </si>
  <si>
    <t>Jalgaon</t>
  </si>
  <si>
    <t>Sri Sai Petrol Pump</t>
  </si>
  <si>
    <t>MKBD</t>
  </si>
  <si>
    <t>Shree Sai Samarth Petroleum</t>
  </si>
  <si>
    <t>Haveri</t>
  </si>
  <si>
    <t>Shivalingeshwar Petroleum</t>
  </si>
  <si>
    <t>Guttal</t>
  </si>
  <si>
    <t>Taware filling station</t>
  </si>
  <si>
    <t>Rattihali</t>
  </si>
  <si>
    <t xml:space="preserve">  Shree Siri Gowari petroliam</t>
  </si>
  <si>
    <t>Gajendragada</t>
  </si>
  <si>
    <t>Vanasri Petrol Pump</t>
  </si>
  <si>
    <t>Ghattaprabha(PKG-3)</t>
  </si>
  <si>
    <t>Vivek Petrol Pump</t>
  </si>
  <si>
    <t xml:space="preserve"> Gokak(PKG-3)</t>
  </si>
  <si>
    <t>AJ Petrolinks</t>
  </si>
  <si>
    <t>Ghattaprabha-2(PKG-3)</t>
  </si>
  <si>
    <t>Manikeri Petroleums</t>
  </si>
  <si>
    <t>Ankalgi(PKG-3)</t>
  </si>
  <si>
    <t>Nirwani Petroleums</t>
  </si>
  <si>
    <t>Talikote(PKG-1)</t>
  </si>
  <si>
    <t>Raykar Oil Agencies</t>
  </si>
  <si>
    <t>Chadchan(PKG-1)</t>
  </si>
  <si>
    <t>Khavekar Petrolium</t>
  </si>
  <si>
    <t>Sindagi</t>
  </si>
  <si>
    <t>G.P.PORWAL</t>
  </si>
  <si>
    <t>Muddebihal(PKG-1)</t>
  </si>
  <si>
    <t xml:space="preserve"> Bhosle Service Station</t>
  </si>
  <si>
    <t>Almela(PKG-1)</t>
  </si>
  <si>
    <t>Shiddeshwar Petroleums</t>
  </si>
  <si>
    <t>Srirangapatna</t>
  </si>
  <si>
    <t>Sri Chakra Fuel Station</t>
  </si>
  <si>
    <t>Nalatwad(PKG-1)</t>
  </si>
  <si>
    <t>Shri Pawad Basaweshwar Petroleums</t>
  </si>
  <si>
    <t>Total</t>
  </si>
  <si>
    <t>Dindi</t>
  </si>
  <si>
    <t>Akarapu Balakistamma Fillling</t>
  </si>
  <si>
    <t>Devarkhadra</t>
  </si>
  <si>
    <t>Kurumurthy Swami  F/S</t>
  </si>
  <si>
    <t>Krishna fuel station</t>
  </si>
  <si>
    <t xml:space="preserve"> Shree Siri Gowari petroliam</t>
  </si>
  <si>
    <t>ShankeshWAR</t>
  </si>
  <si>
    <t>SR Patil</t>
  </si>
  <si>
    <t>S.No</t>
  </si>
  <si>
    <t>Date</t>
  </si>
  <si>
    <t>GRN No</t>
  </si>
  <si>
    <t>Ind No/Bill No</t>
  </si>
  <si>
    <t>Diesel (Lts)</t>
  </si>
  <si>
    <t>Price</t>
  </si>
  <si>
    <t xml:space="preserve">Amount </t>
  </si>
  <si>
    <t>Petrol (Lts)</t>
  </si>
  <si>
    <t xml:space="preserve">Total amount </t>
  </si>
  <si>
    <t>Amount paid</t>
  </si>
  <si>
    <t>As 0n Date</t>
  </si>
  <si>
    <t>Remarks</t>
  </si>
  <si>
    <t>Opening Balance</t>
  </si>
  <si>
    <t>.</t>
  </si>
  <si>
    <t>1055/517</t>
  </si>
  <si>
    <t>1119/1125/1129</t>
  </si>
  <si>
    <t>1134/1139</t>
  </si>
  <si>
    <t>1158/1161</t>
  </si>
  <si>
    <t>1172/1166</t>
  </si>
  <si>
    <t>1196/1192/1199/1197</t>
  </si>
  <si>
    <t>1221/1222/1226/1228</t>
  </si>
  <si>
    <t>1216/1236/1244</t>
  </si>
  <si>
    <t>1245/1246/1257/12591264/1263</t>
  </si>
  <si>
    <t>1280/1278/1290/1291/1296</t>
  </si>
  <si>
    <t>1300/1306/1320/1309</t>
  </si>
  <si>
    <t>1329/1340/1334</t>
  </si>
  <si>
    <t>1333/1357/1346/1344</t>
  </si>
  <si>
    <t>1351/1352/1374/1370</t>
  </si>
  <si>
    <t>1412/1440</t>
  </si>
  <si>
    <t>1473/1487/1504</t>
  </si>
  <si>
    <t>2558/2557</t>
  </si>
  <si>
    <t>2591/2590</t>
  </si>
  <si>
    <t>2601/2610</t>
  </si>
  <si>
    <t>2628/2630/2634/2636/2640</t>
  </si>
  <si>
    <t>2657/2663/2664</t>
  </si>
  <si>
    <t>2670/2674/2676/2679</t>
  </si>
  <si>
    <t>2686/2689/2692/2695</t>
  </si>
  <si>
    <t>2706/2710/2714/2716</t>
  </si>
  <si>
    <t>x</t>
  </si>
  <si>
    <t>2731/2726/2739/2740</t>
  </si>
  <si>
    <t>2755/2757/2763</t>
  </si>
  <si>
    <t>2763/2770/2772/2774</t>
  </si>
  <si>
    <t>2782/2787</t>
  </si>
  <si>
    <t>2791/2798/2802/2806</t>
  </si>
  <si>
    <t>2808/2814/1816/1819</t>
  </si>
  <si>
    <t>2822/2824/2827</t>
  </si>
  <si>
    <t>As on date</t>
  </si>
  <si>
    <t>As on Date</t>
  </si>
  <si>
    <t>Ind no/Bill No</t>
  </si>
  <si>
    <t xml:space="preserve"> Fuel bills </t>
  </si>
  <si>
    <t> </t>
  </si>
  <si>
    <t>1605/1606</t>
  </si>
  <si>
    <t>F0827/JUN-852956,F0132</t>
  </si>
  <si>
    <t>1610/1611</t>
  </si>
  <si>
    <t>F4543/JUN853029,JUN-853028</t>
  </si>
  <si>
    <t>F0295</t>
  </si>
  <si>
    <t>raja bhakshi</t>
  </si>
  <si>
    <t>Talikote</t>
  </si>
  <si>
    <t>02.06.2025</t>
  </si>
  <si>
    <t>IOCL Card</t>
  </si>
  <si>
    <t>03.06.2025</t>
  </si>
  <si>
    <t>04.06.2025</t>
  </si>
  <si>
    <t>06.06.2025</t>
  </si>
  <si>
    <t>07.06.2025</t>
  </si>
  <si>
    <t>09.06.2025</t>
  </si>
  <si>
    <t>10.06.2025</t>
  </si>
  <si>
    <t>11.06.2025</t>
  </si>
  <si>
    <t>13.06.2025</t>
  </si>
  <si>
    <t>14.06.2025</t>
  </si>
  <si>
    <t>16.06.2025</t>
  </si>
  <si>
    <t>17.06.2025</t>
  </si>
  <si>
    <t>18.06.2025</t>
  </si>
  <si>
    <t>19.06.2025</t>
  </si>
  <si>
    <t>20.06.2025</t>
  </si>
  <si>
    <t>21.06.2025</t>
  </si>
  <si>
    <t>22.06.2025</t>
  </si>
  <si>
    <t>24.06.2025</t>
  </si>
  <si>
    <t>25.06.2025</t>
  </si>
  <si>
    <t>26.06.2025</t>
  </si>
  <si>
    <t>27.06.2025</t>
  </si>
  <si>
    <t>28.06.2025</t>
  </si>
  <si>
    <t>30.06.2025</t>
  </si>
  <si>
    <t>23.06.2025</t>
  </si>
  <si>
    <t>30.6.2025</t>
  </si>
  <si>
    <t>08.06.2025</t>
  </si>
  <si>
    <t>09.06.2023</t>
  </si>
  <si>
    <t>12.06.2025</t>
  </si>
  <si>
    <t>15.06.2025</t>
  </si>
  <si>
    <t>29.06.2025</t>
  </si>
  <si>
    <t>Date of payment</t>
  </si>
  <si>
    <t xml:space="preserve"> S R PATIL</t>
  </si>
  <si>
    <t xml:space="preserve"> </t>
  </si>
  <si>
    <t>Lubricant (D.E.F. Oil) Amount</t>
  </si>
  <si>
    <t>IOCL Card Ledger</t>
  </si>
  <si>
    <t>Petrol Bunk Name</t>
  </si>
  <si>
    <t>Location</t>
  </si>
  <si>
    <t>Card No</t>
  </si>
  <si>
    <t>Recharge Amount</t>
  </si>
  <si>
    <t>Redeem</t>
  </si>
  <si>
    <t>01.05.2025</t>
  </si>
  <si>
    <t>SIDDESWARA PETROLEUMS</t>
  </si>
  <si>
    <t>SINDGI</t>
  </si>
  <si>
    <t>7126022478060237</t>
  </si>
  <si>
    <t>RAYKAR OIL AGENCIES</t>
  </si>
  <si>
    <t>7126022478060252</t>
  </si>
  <si>
    <t>SHREE SIRI GOWRI PETROLEUM</t>
  </si>
  <si>
    <t>MASUR</t>
  </si>
  <si>
    <t>7126022478060286</t>
  </si>
  <si>
    <t>02.05.2025</t>
  </si>
  <si>
    <t>TAWARE FILLING STATION</t>
  </si>
  <si>
    <t>Guital</t>
  </si>
  <si>
    <t>7126022478060278</t>
  </si>
  <si>
    <t>03.05.2025</t>
  </si>
  <si>
    <t>KRISHNA FUEL STATION</t>
  </si>
  <si>
    <t>KUMTA</t>
  </si>
  <si>
    <t>7126022478060039</t>
  </si>
  <si>
    <t>HARIOM SALES</t>
  </si>
  <si>
    <t>Murtizapur</t>
  </si>
  <si>
    <t>7126022478060062</t>
  </si>
  <si>
    <t>SRI RAMANJANEYA SERVICE STN</t>
  </si>
  <si>
    <t xml:space="preserve">NITTUR CROSS  </t>
  </si>
  <si>
    <t>7126022478060120</t>
  </si>
  <si>
    <t>SREE VISHNUBABA PETROLEUM</t>
  </si>
  <si>
    <t>NAGAREMGERE</t>
  </si>
  <si>
    <t>7126022478060146</t>
  </si>
  <si>
    <t>SHRI JAI HANUMAN PETROLEUMS</t>
  </si>
  <si>
    <t>KABBUR</t>
  </si>
  <si>
    <t>7126022478060195</t>
  </si>
  <si>
    <t>SHREE SAUNDATTI RENUKA DEVI</t>
  </si>
  <si>
    <t>SAUNDATTI</t>
  </si>
  <si>
    <t>7126022478060260</t>
  </si>
  <si>
    <t>04.05.2025</t>
  </si>
  <si>
    <t>SHRI SAI PETROL PUMP</t>
  </si>
  <si>
    <t>MALKAPUR CITY</t>
  </si>
  <si>
    <t>ANUPAMA FUEL STATION</t>
  </si>
  <si>
    <t>Srirangapatana</t>
  </si>
  <si>
    <t>7126022478060104</t>
  </si>
  <si>
    <t>BHOSLE SERVICE STATION</t>
  </si>
  <si>
    <t>Muddebihal</t>
  </si>
  <si>
    <t>7126022478060245</t>
  </si>
  <si>
    <t>05.05.2025</t>
  </si>
  <si>
    <t>06.05.2025</t>
  </si>
  <si>
    <t>07.05.2025</t>
  </si>
  <si>
    <t>SRI CHAKRA FUEL STATION</t>
  </si>
  <si>
    <t>NITTUR CROSS      -DAVANGERE</t>
  </si>
  <si>
    <t>PALLAVI PETROLEUM</t>
  </si>
  <si>
    <t>Ramanagaram</t>
  </si>
  <si>
    <t>7126022478060138</t>
  </si>
  <si>
    <t>Hiriyur</t>
  </si>
  <si>
    <t>7126022478060161</t>
  </si>
  <si>
    <t>08.05.2025</t>
  </si>
  <si>
    <t>SRI KRISHNA SERVO CENTRE</t>
  </si>
  <si>
    <t>JALGAON CITY</t>
  </si>
  <si>
    <t>SHANTAI PETROLEUM</t>
  </si>
  <si>
    <t>PURNAD</t>
  </si>
  <si>
    <t>SHIVALINGESHWAR PETROLEUM</t>
  </si>
  <si>
    <t>Guttal Road</t>
  </si>
  <si>
    <t>7126022478060096</t>
  </si>
  <si>
    <t>09.05.2025</t>
  </si>
  <si>
    <t>Shree Veerabhadreshwara Service station</t>
  </si>
  <si>
    <t>Malebennur</t>
  </si>
  <si>
    <t>10.05.2025</t>
  </si>
  <si>
    <t>NIRWANI PETROLEUMS</t>
  </si>
  <si>
    <t>Ankalgi</t>
  </si>
  <si>
    <t>7126022478060047</t>
  </si>
  <si>
    <t>11.05.2025</t>
  </si>
  <si>
    <t>TELSANG PETROLEUM</t>
  </si>
  <si>
    <t xml:space="preserve">SADALGA </t>
  </si>
  <si>
    <t>7161000000114827</t>
  </si>
  <si>
    <t>12.05.2025</t>
  </si>
  <si>
    <t>SHRI PAWAD BASAWESHWAR PETROLEUMS</t>
  </si>
  <si>
    <t>NALATWAD</t>
  </si>
  <si>
    <t>7161000000114843</t>
  </si>
  <si>
    <t>13.05.2025</t>
  </si>
  <si>
    <t>PRAVEEN B PATTANSHETTI</t>
  </si>
  <si>
    <t>Saundatti</t>
  </si>
  <si>
    <t>14.05.2025</t>
  </si>
  <si>
    <t>15.05.2025</t>
  </si>
  <si>
    <t>J. B. PETROLEUM</t>
  </si>
  <si>
    <t>CHIKHLI</t>
  </si>
  <si>
    <t>16.05.2025</t>
  </si>
  <si>
    <t>BPCL Card Ledger</t>
  </si>
  <si>
    <t>01.06.2025</t>
  </si>
  <si>
    <t>V.V.VARDE BHARAT PETROLEUM</t>
  </si>
  <si>
    <t>FC8000207649</t>
  </si>
  <si>
    <t xml:space="preserve">SHAHAPUR PETROLEUM  </t>
  </si>
  <si>
    <t>FC8000207648</t>
  </si>
  <si>
    <t xml:space="preserve">SAI PRIYA FILLING STATION </t>
  </si>
  <si>
    <t>FC8000207658</t>
  </si>
  <si>
    <t xml:space="preserve">SREE SHIVA PARVATI FILLING </t>
  </si>
  <si>
    <t>FC8000207659</t>
  </si>
  <si>
    <t>AKARAPU BALAKISTAMMA FILLLING</t>
  </si>
  <si>
    <t>FC3450676134</t>
  </si>
  <si>
    <t>05.06.2025</t>
  </si>
  <si>
    <t xml:space="preserve">HITECH FILLING STATION </t>
  </si>
  <si>
    <t>FC3450676131</t>
  </si>
  <si>
    <t xml:space="preserve">SHREE SAI SAMARTH PETROLEUM </t>
  </si>
  <si>
    <t>FC0323247261</t>
  </si>
  <si>
    <t>SAI BABA FILLING STATION</t>
  </si>
  <si>
    <t>FC3450563998</t>
  </si>
  <si>
    <t xml:space="preserve">JUBILEE HILLS FILL. STN. </t>
  </si>
  <si>
    <t>FC3450563999</t>
  </si>
  <si>
    <t>SHAHAPUR PETROLEUM</t>
  </si>
  <si>
    <t>SHRI BRAHMANATH PETROLEUM</t>
  </si>
  <si>
    <t>FC8000207650</t>
  </si>
  <si>
    <t>07.06..2025</t>
  </si>
  <si>
    <t>SANDHYA FUEL STATION</t>
  </si>
  <si>
    <t>ROOPALI SERVICE CENTER</t>
  </si>
  <si>
    <t>JUBILEE HILLS FILL. STN.</t>
  </si>
  <si>
    <t>TS POLICE WELFARE SOCIETY-CYD</t>
  </si>
  <si>
    <t>FC3450698867</t>
  </si>
  <si>
    <t xml:space="preserve">SANDHYA FUEL STATION </t>
  </si>
  <si>
    <t>SVR FUEL STATION BHARAT</t>
  </si>
  <si>
    <t>J P PATIL PETROLEUM BHARAT</t>
  </si>
  <si>
    <t>SHIVAGANGA SERVICE STATION</t>
  </si>
  <si>
    <t>SREE VEERABHADRESHWARA SER.STA BHARAT PETROLEUM DEALERS</t>
  </si>
  <si>
    <t>SHIVAGANGA SERVICE STATION BHARAT PETROLEUM DEALERS</t>
  </si>
  <si>
    <t>V.V.VARDE BHARAT PETROLEUM DEALERS</t>
  </si>
  <si>
    <t xml:space="preserve">SREE VEERABHADRESHWARA SER.STA </t>
  </si>
  <si>
    <t xml:space="preserve">MAHMOOD FILLING STATION </t>
  </si>
  <si>
    <t xml:space="preserve">SHIVAGANGA SERVICE STATION </t>
  </si>
  <si>
    <t>HPCL Card Ledger</t>
  </si>
  <si>
    <t>UTTARA ENTERPRISES</t>
  </si>
  <si>
    <t>820007900522041</t>
  </si>
  <si>
    <t>M/s. Sri Rama Kotaiah Fuel Point</t>
  </si>
  <si>
    <t>8200079000522057</t>
  </si>
  <si>
    <t>DIVYA LAXMI GANAPATHI AUTO SERVICES</t>
  </si>
  <si>
    <t>8200079004507088</t>
  </si>
  <si>
    <t>AJ PETROLINKS</t>
  </si>
  <si>
    <t>8200079004507062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</si>
</sst>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 * #,##0.00_ ;_ * \-#,##0.00_ ;_ * &quot;-&quot;??_ ;_ @_ "/>
    <numFmt numFmtId="165" formatCode="[$-409]d\-mmm\-yy;@"/>
    <numFmt numFmtId="166" formatCode="0.00_ "/>
    <numFmt numFmtId="167" formatCode="[$-409]h:mm\ AM/PM;@"/>
    <numFmt numFmtId="168" formatCode="_ * #,##0.0_ ;_ * \-#,##0.0_ ;_ * &quot;-&quot;??_ ;_ @_ "/>
    <numFmt numFmtId="169" formatCode="0.0"/>
    <numFmt numFmtId="170" formatCode="_ * #,##0_ ;_ * \-#,##0_ ;_ * &quot;-&quot;??_ ;_ @_ "/>
  </numFmts>
  <fonts count="37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sz val="11"/>
      <color rgb="FF000000"/>
      <name val="Calibri"/>
      <family val="2"/>
      <scheme val="minor"/>
    </font>
    <font>
      <sz val="12"/>
      <color rgb="FF000000"/>
      <name val="Book Antiqua"/>
      <family val="1"/>
    </font>
    <font>
      <sz val="11"/>
      <color rgb="FF000000"/>
      <name val="Cambria"/>
      <family val="1"/>
    </font>
    <font>
      <b/>
      <sz val="10"/>
      <color theme="1"/>
      <name val="Calibri"/>
    </font>
    <font>
      <sz val="10"/>
      <color theme="1"/>
      <name val="Calibri"/>
    </font>
    <font>
      <sz val="10"/>
      <color theme="0"/>
      <name val="Calibri"/>
    </font>
    <font>
      <sz val="12"/>
      <color theme="1"/>
      <name val="Calibri"/>
      <family val="2"/>
      <scheme val="minor"/>
    </font>
    <font>
      <sz val="12"/>
      <color rgb="FF000000"/>
      <name val="Calibri"/>
    </font>
    <font>
      <sz val="11"/>
      <color theme="0"/>
      <name val="Calibri"/>
    </font>
    <font>
      <sz val="12"/>
      <color theme="0"/>
      <name val="Calibri"/>
    </font>
    <font>
      <sz val="12"/>
      <color theme="0"/>
      <name val="Calibri"/>
      <family val="2"/>
      <scheme val="minor"/>
    </font>
    <font>
      <sz val="10"/>
      <color rgb="FF000000"/>
      <name val="Calibri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charset val="134"/>
    </font>
    <font>
      <sz val="11"/>
      <color rgb="FF242424"/>
      <name val="Aptos Narrow"/>
      <charset val="1"/>
    </font>
    <font>
      <sz val="8"/>
      <color rgb="FF212529"/>
      <name val="Roboto"/>
      <charset val="1"/>
    </font>
    <font>
      <b/>
      <sz val="12"/>
      <color rgb="FF000000"/>
      <name val="Calibri"/>
    </font>
    <font>
      <b/>
      <sz val="12"/>
      <color theme="1"/>
      <name val="Calibri"/>
      <family val="2"/>
      <scheme val="minor"/>
    </font>
    <font>
      <b/>
      <sz val="11"/>
      <color theme="0"/>
      <name val="Calibri"/>
      <scheme val="minor"/>
    </font>
    <font>
      <b/>
      <sz val="11"/>
      <color theme="1"/>
      <name val="Calibri"/>
      <scheme val="minor"/>
    </font>
    <font>
      <sz val="10"/>
      <color theme="1"/>
      <name val="Cambria"/>
      <family val="1"/>
    </font>
    <font>
      <sz val="9"/>
      <color theme="1"/>
      <name val="Cambria"/>
      <family val="1"/>
    </font>
    <font>
      <sz val="11"/>
      <color theme="1"/>
      <name val="Calibri"/>
      <family val="2"/>
    </font>
    <font>
      <sz val="11"/>
      <color theme="1"/>
      <name val="Cambria"/>
      <charset val="134"/>
    </font>
    <font>
      <b/>
      <sz val="12"/>
      <color theme="0"/>
      <name val="Calibri"/>
    </font>
    <font>
      <sz val="12"/>
      <color theme="1"/>
      <name val="Calibri"/>
    </font>
    <font>
      <b/>
      <sz val="12"/>
      <color theme="1"/>
      <name val="Calibri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</borders>
  <cellStyleXfs count="5">
    <xf numFmtId="0" fontId="0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5" fillId="0" borderId="0" applyNumberFormat="0" applyFill="0" applyBorder="0" applyAlignment="0" applyProtection="0"/>
  </cellStyleXfs>
  <cellXfs count="497">
    <xf numFmtId="0" fontId="0" fillId="0" borderId="0" xfId="0"/>
    <xf numFmtId="0" fontId="5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64" fontId="5" fillId="0" borderId="0" xfId="1" applyFont="1" applyAlignment="1">
      <alignment horizontal="center" vertical="center"/>
    </xf>
    <xf numFmtId="0" fontId="4" fillId="0" borderId="0" xfId="0" applyFont="1"/>
    <xf numFmtId="0" fontId="4" fillId="0" borderId="6" xfId="0" applyFont="1" applyBorder="1"/>
    <xf numFmtId="164" fontId="4" fillId="0" borderId="2" xfId="1" applyFont="1" applyBorder="1" applyAlignment="1">
      <alignment horizontal="center" vertical="center"/>
    </xf>
    <xf numFmtId="164" fontId="4" fillId="0" borderId="6" xfId="1" applyFont="1" applyBorder="1" applyAlignment="1">
      <alignment horizontal="center" vertical="center"/>
    </xf>
    <xf numFmtId="164" fontId="4" fillId="0" borderId="6" xfId="0" applyNumberFormat="1" applyFont="1" applyBorder="1" applyAlignment="1">
      <alignment horizontal="right" vertic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164" fontId="4" fillId="0" borderId="2" xfId="0" applyNumberFormat="1" applyFont="1" applyBorder="1" applyAlignment="1">
      <alignment vertical="center"/>
    </xf>
    <xf numFmtId="164" fontId="4" fillId="0" borderId="2" xfId="1" applyFont="1" applyBorder="1" applyAlignment="1">
      <alignment vertical="center"/>
    </xf>
    <xf numFmtId="164" fontId="4" fillId="0" borderId="7" xfId="1" applyFont="1" applyBorder="1" applyAlignment="1">
      <alignment vertical="center"/>
    </xf>
    <xf numFmtId="0" fontId="6" fillId="0" borderId="8" xfId="0" applyFont="1" applyBorder="1" applyAlignment="1">
      <alignment horizontal="center"/>
    </xf>
    <xf numFmtId="164" fontId="4" fillId="0" borderId="2" xfId="1" applyFont="1" applyBorder="1" applyAlignment="1">
      <alignment horizontal="center" vertical="top"/>
    </xf>
    <xf numFmtId="164" fontId="4" fillId="0" borderId="7" xfId="1" applyFont="1" applyBorder="1" applyAlignment="1">
      <alignment horizontal="center" vertical="top"/>
    </xf>
    <xf numFmtId="164" fontId="4" fillId="0" borderId="5" xfId="1" applyFont="1" applyBorder="1" applyAlignment="1">
      <alignment horizontal="center" vertical="center"/>
    </xf>
    <xf numFmtId="0" fontId="0" fillId="0" borderId="6" xfId="0" applyBorder="1"/>
    <xf numFmtId="0" fontId="4" fillId="0" borderId="6" xfId="0" applyFont="1" applyBorder="1" applyAlignment="1">
      <alignment horizontal="center" vertical="center" wrapText="1"/>
    </xf>
    <xf numFmtId="164" fontId="4" fillId="0" borderId="15" xfId="1" applyFont="1" applyBorder="1" applyAlignment="1">
      <alignment horizontal="center" vertical="center"/>
    </xf>
    <xf numFmtId="164" fontId="4" fillId="0" borderId="8" xfId="1" applyFont="1" applyBorder="1" applyAlignment="1">
      <alignment horizontal="center" vertical="center"/>
    </xf>
    <xf numFmtId="164" fontId="4" fillId="0" borderId="4" xfId="1" applyFont="1" applyBorder="1" applyAlignment="1">
      <alignment horizontal="center" vertical="center"/>
    </xf>
    <xf numFmtId="2" fontId="0" fillId="0" borderId="0" xfId="0" applyNumberFormat="1"/>
    <xf numFmtId="0" fontId="8" fillId="0" borderId="2" xfId="3" applyNumberFormat="1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65" fontId="4" fillId="0" borderId="6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64" fontId="10" fillId="0" borderId="2" xfId="1" applyFont="1" applyBorder="1" applyAlignment="1">
      <alignment horizontal="center" vertical="center"/>
    </xf>
    <xf numFmtId="2" fontId="10" fillId="0" borderId="0" xfId="0" applyNumberFormat="1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164" fontId="10" fillId="0" borderId="0" xfId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 wrapText="1"/>
    </xf>
    <xf numFmtId="164" fontId="11" fillId="0" borderId="6" xfId="1" applyFont="1" applyFill="1" applyBorder="1" applyAlignment="1">
      <alignment horizontal="center" vertical="center"/>
    </xf>
    <xf numFmtId="164" fontId="11" fillId="0" borderId="6" xfId="1" applyFont="1" applyBorder="1" applyAlignment="1">
      <alignment horizontal="center" vertical="center"/>
    </xf>
    <xf numFmtId="2" fontId="11" fillId="0" borderId="0" xfId="0" applyNumberFormat="1" applyFont="1" applyAlignment="1">
      <alignment horizontal="center" vertical="center"/>
    </xf>
    <xf numFmtId="164" fontId="11" fillId="0" borderId="0" xfId="1" applyFont="1" applyBorder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164" fontId="11" fillId="0" borderId="0" xfId="1" applyFont="1" applyAlignment="1">
      <alignment horizontal="center" vertical="center"/>
    </xf>
    <xf numFmtId="2" fontId="4" fillId="0" borderId="6" xfId="0" applyNumberFormat="1" applyFont="1" applyBorder="1" applyAlignment="1">
      <alignment horizontal="center" vertical="center" wrapText="1"/>
    </xf>
    <xf numFmtId="2" fontId="13" fillId="0" borderId="6" xfId="0" applyNumberFormat="1" applyFont="1" applyBorder="1" applyAlignment="1">
      <alignment horizontal="right" vertical="center"/>
    </xf>
    <xf numFmtId="2" fontId="0" fillId="0" borderId="6" xfId="0" applyNumberFormat="1" applyBorder="1"/>
    <xf numFmtId="164" fontId="4" fillId="0" borderId="6" xfId="1" applyFont="1" applyBorder="1" applyAlignment="1">
      <alignment vertical="center"/>
    </xf>
    <xf numFmtId="2" fontId="4" fillId="0" borderId="6" xfId="0" applyNumberFormat="1" applyFont="1" applyBorder="1" applyAlignment="1">
      <alignment horizontal="right" vertical="center" wrapText="1"/>
    </xf>
    <xf numFmtId="164" fontId="10" fillId="4" borderId="9" xfId="1" applyFont="1" applyFill="1" applyBorder="1" applyAlignment="1">
      <alignment horizontal="center" vertical="center"/>
    </xf>
    <xf numFmtId="164" fontId="10" fillId="4" borderId="10" xfId="1" applyFont="1" applyFill="1" applyBorder="1" applyAlignment="1">
      <alignment horizontal="center" vertical="center"/>
    </xf>
    <xf numFmtId="2" fontId="10" fillId="4" borderId="6" xfId="0" applyNumberFormat="1" applyFont="1" applyFill="1" applyBorder="1" applyAlignment="1">
      <alignment horizontal="center" vertical="center"/>
    </xf>
    <xf numFmtId="164" fontId="10" fillId="4" borderId="6" xfId="1" applyFont="1" applyFill="1" applyBorder="1" applyAlignment="1">
      <alignment horizontal="center" vertical="center"/>
    </xf>
    <xf numFmtId="0" fontId="6" fillId="0" borderId="6" xfId="0" applyFont="1" applyBorder="1"/>
    <xf numFmtId="0" fontId="4" fillId="0" borderId="0" xfId="0" applyFont="1" applyAlignment="1">
      <alignment horizontal="center"/>
    </xf>
    <xf numFmtId="0" fontId="4" fillId="0" borderId="6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6" xfId="0" applyFont="1" applyBorder="1" applyAlignment="1">
      <alignment horizontal="center" wrapText="1"/>
    </xf>
    <xf numFmtId="43" fontId="4" fillId="0" borderId="6" xfId="0" applyNumberFormat="1" applyFont="1" applyBorder="1" applyAlignment="1">
      <alignment horizontal="center"/>
    </xf>
    <xf numFmtId="0" fontId="4" fillId="2" borderId="0" xfId="0" applyFont="1" applyFill="1" applyAlignment="1">
      <alignment horizontal="center"/>
    </xf>
    <xf numFmtId="43" fontId="4" fillId="0" borderId="0" xfId="0" applyNumberFormat="1" applyFont="1" applyAlignment="1">
      <alignment horizontal="center"/>
    </xf>
    <xf numFmtId="0" fontId="7" fillId="0" borderId="6" xfId="0" applyFont="1" applyBorder="1" applyAlignment="1">
      <alignment horizontal="center"/>
    </xf>
    <xf numFmtId="43" fontId="5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4" fontId="14" fillId="0" borderId="6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 wrapText="1"/>
    </xf>
    <xf numFmtId="43" fontId="15" fillId="3" borderId="2" xfId="0" applyNumberFormat="1" applyFont="1" applyFill="1" applyBorder="1" applyAlignment="1">
      <alignment horizontal="center" vertical="center" wrapText="1"/>
    </xf>
    <xf numFmtId="0" fontId="15" fillId="3" borderId="2" xfId="0" applyFont="1" applyFill="1" applyBorder="1" applyAlignment="1">
      <alignment horizontal="center" vertical="center"/>
    </xf>
    <xf numFmtId="43" fontId="15" fillId="3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horizontal="center"/>
    </xf>
    <xf numFmtId="0" fontId="11" fillId="0" borderId="0" xfId="0" applyFont="1"/>
    <xf numFmtId="2" fontId="5" fillId="4" borderId="6" xfId="0" applyNumberFormat="1" applyFont="1" applyFill="1" applyBorder="1" applyAlignment="1">
      <alignment horizontal="center" vertical="center"/>
    </xf>
    <xf numFmtId="164" fontId="5" fillId="4" borderId="6" xfId="1" applyFont="1" applyFill="1" applyBorder="1" applyAlignment="1">
      <alignment horizontal="center" vertical="center"/>
    </xf>
    <xf numFmtId="0" fontId="15" fillId="3" borderId="6" xfId="0" applyFont="1" applyFill="1" applyBorder="1" applyAlignment="1">
      <alignment horizontal="center" vertical="center"/>
    </xf>
    <xf numFmtId="166" fontId="4" fillId="0" borderId="6" xfId="0" applyNumberFormat="1" applyFont="1" applyBorder="1" applyAlignment="1">
      <alignment horizontal="center"/>
    </xf>
    <xf numFmtId="2" fontId="4" fillId="0" borderId="6" xfId="0" applyNumberFormat="1" applyFont="1" applyBorder="1"/>
    <xf numFmtId="0" fontId="4" fillId="0" borderId="6" xfId="0" applyFont="1" applyBorder="1" applyAlignment="1">
      <alignment vertical="center"/>
    </xf>
    <xf numFmtId="164" fontId="4" fillId="0" borderId="6" xfId="1" applyFont="1" applyBorder="1" applyAlignment="1">
      <alignment horizontal="center" vertical="top"/>
    </xf>
    <xf numFmtId="0" fontId="4" fillId="0" borderId="0" xfId="0" applyFont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6" xfId="0" applyFont="1" applyBorder="1" applyAlignment="1">
      <alignment vertical="center" wrapText="1"/>
    </xf>
    <xf numFmtId="164" fontId="4" fillId="4" borderId="6" xfId="1" applyFont="1" applyFill="1" applyBorder="1" applyAlignment="1">
      <alignment horizontal="center" vertical="center"/>
    </xf>
    <xf numFmtId="2" fontId="4" fillId="0" borderId="0" xfId="0" applyNumberFormat="1" applyFont="1" applyAlignment="1">
      <alignment vertical="center"/>
    </xf>
    <xf numFmtId="2" fontId="4" fillId="0" borderId="0" xfId="0" applyNumberFormat="1" applyFont="1" applyAlignment="1">
      <alignment horizontal="center" vertical="center"/>
    </xf>
    <xf numFmtId="164" fontId="4" fillId="0" borderId="0" xfId="1" applyFont="1" applyAlignment="1">
      <alignment vertical="center"/>
    </xf>
    <xf numFmtId="164" fontId="4" fillId="0" borderId="0" xfId="1" applyFont="1" applyAlignment="1">
      <alignment horizontal="center" vertical="center"/>
    </xf>
    <xf numFmtId="164" fontId="4" fillId="0" borderId="0" xfId="0" applyNumberFormat="1" applyFont="1" applyAlignment="1">
      <alignment vertical="center"/>
    </xf>
    <xf numFmtId="0" fontId="0" fillId="0" borderId="0" xfId="0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164" fontId="4" fillId="0" borderId="6" xfId="1" applyFont="1" applyBorder="1" applyAlignment="1">
      <alignment horizontal="center" indent="1"/>
    </xf>
    <xf numFmtId="164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5" fillId="3" borderId="6" xfId="0" applyFont="1" applyFill="1" applyBorder="1" applyAlignment="1">
      <alignment horizontal="center" vertical="center" wrapText="1"/>
    </xf>
    <xf numFmtId="43" fontId="15" fillId="3" borderId="6" xfId="0" applyNumberFormat="1" applyFont="1" applyFill="1" applyBorder="1" applyAlignment="1">
      <alignment horizontal="center" vertical="center" wrapText="1"/>
    </xf>
    <xf numFmtId="43" fontId="15" fillId="3" borderId="6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2" fillId="3" borderId="17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 wrapText="1"/>
    </xf>
    <xf numFmtId="0" fontId="12" fillId="3" borderId="18" xfId="0" applyFont="1" applyFill="1" applyBorder="1" applyAlignment="1">
      <alignment horizontal="center" vertical="center" wrapText="1"/>
    </xf>
    <xf numFmtId="2" fontId="15" fillId="3" borderId="6" xfId="0" applyNumberFormat="1" applyFont="1" applyFill="1" applyBorder="1" applyAlignment="1">
      <alignment horizontal="center" vertical="center" wrapText="1"/>
    </xf>
    <xf numFmtId="2" fontId="15" fillId="3" borderId="6" xfId="0" applyNumberFormat="1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6" fillId="0" borderId="15" xfId="0" applyFont="1" applyBorder="1"/>
    <xf numFmtId="0" fontId="0" fillId="0" borderId="16" xfId="0" applyBorder="1"/>
    <xf numFmtId="0" fontId="19" fillId="0" borderId="6" xfId="0" applyFont="1" applyBorder="1"/>
    <xf numFmtId="2" fontId="19" fillId="0" borderId="6" xfId="0" applyNumberFormat="1" applyFont="1" applyBorder="1"/>
    <xf numFmtId="0" fontId="0" fillId="0" borderId="13" xfId="0" applyBorder="1"/>
    <xf numFmtId="0" fontId="15" fillId="3" borderId="17" xfId="0" applyFont="1" applyFill="1" applyBorder="1" applyAlignment="1">
      <alignment horizontal="center" vertical="center"/>
    </xf>
    <xf numFmtId="0" fontId="15" fillId="3" borderId="7" xfId="0" applyFont="1" applyFill="1" applyBorder="1" applyAlignment="1">
      <alignment horizontal="center" vertical="center" wrapText="1"/>
    </xf>
    <xf numFmtId="0" fontId="15" fillId="3" borderId="7" xfId="0" applyFont="1" applyFill="1" applyBorder="1" applyAlignment="1">
      <alignment horizontal="center" vertical="center"/>
    </xf>
    <xf numFmtId="0" fontId="15" fillId="3" borderId="18" xfId="0" applyFont="1" applyFill="1" applyBorder="1" applyAlignment="1">
      <alignment horizontal="center" vertical="center" wrapText="1"/>
    </xf>
    <xf numFmtId="2" fontId="4" fillId="0" borderId="0" xfId="0" applyNumberFormat="1" applyFont="1"/>
    <xf numFmtId="0" fontId="12" fillId="3" borderId="6" xfId="0" applyFont="1" applyFill="1" applyBorder="1" applyAlignment="1">
      <alignment horizontal="center" vertical="center"/>
    </xf>
    <xf numFmtId="43" fontId="4" fillId="0" borderId="6" xfId="0" applyNumberFormat="1" applyFont="1" applyBorder="1" applyAlignment="1">
      <alignment horizontal="center" vertical="center" wrapText="1"/>
    </xf>
    <xf numFmtId="0" fontId="20" fillId="0" borderId="6" xfId="0" applyFont="1" applyBorder="1"/>
    <xf numFmtId="164" fontId="10" fillId="4" borderId="21" xfId="1" applyFont="1" applyFill="1" applyBorder="1" applyAlignment="1">
      <alignment horizontal="center" vertical="center"/>
    </xf>
    <xf numFmtId="164" fontId="0" fillId="0" borderId="6" xfId="0" applyNumberFormat="1" applyBorder="1"/>
    <xf numFmtId="0" fontId="12" fillId="3" borderId="6" xfId="0" applyFont="1" applyFill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/>
    </xf>
    <xf numFmtId="43" fontId="4" fillId="0" borderId="13" xfId="0" applyNumberFormat="1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164" fontId="4" fillId="0" borderId="22" xfId="1" applyFont="1" applyFill="1" applyBorder="1" applyAlignment="1">
      <alignment horizontal="center" vertical="center"/>
    </xf>
    <xf numFmtId="43" fontId="12" fillId="3" borderId="20" xfId="0" applyNumberFormat="1" applyFont="1" applyFill="1" applyBorder="1" applyAlignment="1">
      <alignment horizontal="center" vertical="center" wrapText="1"/>
    </xf>
    <xf numFmtId="43" fontId="12" fillId="3" borderId="7" xfId="0" applyNumberFormat="1" applyFont="1" applyFill="1" applyBorder="1" applyAlignment="1">
      <alignment horizontal="center" vertical="center" wrapText="1"/>
    </xf>
    <xf numFmtId="164" fontId="4" fillId="0" borderId="6" xfId="0" applyNumberFormat="1" applyFont="1" applyBorder="1" applyAlignment="1">
      <alignment horizontal="center"/>
    </xf>
    <xf numFmtId="0" fontId="12" fillId="3" borderId="7" xfId="0" applyFont="1" applyFill="1" applyBorder="1" applyAlignment="1">
      <alignment horizontal="center" vertical="center"/>
    </xf>
    <xf numFmtId="43" fontId="12" fillId="3" borderId="7" xfId="0" applyNumberFormat="1" applyFont="1" applyFill="1" applyBorder="1" applyAlignment="1">
      <alignment horizontal="center" vertical="center"/>
    </xf>
    <xf numFmtId="43" fontId="12" fillId="3" borderId="20" xfId="0" applyNumberFormat="1" applyFont="1" applyFill="1" applyBorder="1" applyAlignment="1">
      <alignment horizontal="center" vertical="center"/>
    </xf>
    <xf numFmtId="0" fontId="7" fillId="0" borderId="15" xfId="0" applyFont="1" applyBorder="1" applyAlignment="1">
      <alignment horizontal="center"/>
    </xf>
    <xf numFmtId="0" fontId="14" fillId="0" borderId="8" xfId="3" applyNumberFormat="1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4" fontId="7" fillId="0" borderId="6" xfId="0" applyNumberFormat="1" applyFont="1" applyBorder="1" applyAlignment="1">
      <alignment horizontal="center"/>
    </xf>
    <xf numFmtId="1" fontId="11" fillId="0" borderId="6" xfId="0" applyNumberFormat="1" applyFont="1" applyBorder="1" applyAlignment="1">
      <alignment horizontal="center" vertical="center"/>
    </xf>
    <xf numFmtId="164" fontId="11" fillId="0" borderId="6" xfId="0" applyNumberFormat="1" applyFont="1" applyBorder="1" applyAlignment="1">
      <alignment horizontal="center" vertical="center"/>
    </xf>
    <xf numFmtId="4" fontId="7" fillId="0" borderId="15" xfId="0" applyNumberFormat="1" applyFont="1" applyBorder="1" applyAlignment="1">
      <alignment horizontal="center"/>
    </xf>
    <xf numFmtId="0" fontId="15" fillId="3" borderId="16" xfId="0" applyFont="1" applyFill="1" applyBorder="1" applyAlignment="1">
      <alignment horizontal="center" vertical="center"/>
    </xf>
    <xf numFmtId="0" fontId="15" fillId="3" borderId="16" xfId="0" applyFont="1" applyFill="1" applyBorder="1" applyAlignment="1">
      <alignment horizontal="center" vertical="center" wrapText="1"/>
    </xf>
    <xf numFmtId="43" fontId="15" fillId="3" borderId="16" xfId="0" applyNumberFormat="1" applyFont="1" applyFill="1" applyBorder="1" applyAlignment="1">
      <alignment horizontal="center" vertical="center" wrapText="1"/>
    </xf>
    <xf numFmtId="43" fontId="15" fillId="3" borderId="16" xfId="0" applyNumberFormat="1" applyFont="1" applyFill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164" fontId="4" fillId="0" borderId="15" xfId="0" applyNumberFormat="1" applyFont="1" applyBorder="1" applyAlignment="1">
      <alignment vertical="center"/>
    </xf>
    <xf numFmtId="164" fontId="4" fillId="0" borderId="15" xfId="1" applyFont="1" applyBorder="1" applyAlignment="1">
      <alignment horizontal="center" vertical="top"/>
    </xf>
    <xf numFmtId="164" fontId="10" fillId="0" borderId="6" xfId="1" applyFont="1" applyBorder="1" applyAlignment="1">
      <alignment vertical="center"/>
    </xf>
    <xf numFmtId="0" fontId="19" fillId="0" borderId="23" xfId="0" applyFont="1" applyBorder="1" applyAlignment="1">
      <alignment vertical="center"/>
    </xf>
    <xf numFmtId="0" fontId="19" fillId="0" borderId="24" xfId="0" applyFont="1" applyBorder="1" applyAlignment="1">
      <alignment vertical="center"/>
    </xf>
    <xf numFmtId="0" fontId="19" fillId="0" borderId="22" xfId="0" applyFont="1" applyBorder="1" applyAlignment="1">
      <alignment vertical="center"/>
    </xf>
    <xf numFmtId="164" fontId="0" fillId="0" borderId="0" xfId="0" applyNumberFormat="1"/>
    <xf numFmtId="43" fontId="0" fillId="0" borderId="6" xfId="0" applyNumberFormat="1" applyBorder="1"/>
    <xf numFmtId="0" fontId="0" fillId="0" borderId="15" xfId="0" applyBorder="1"/>
    <xf numFmtId="43" fontId="15" fillId="3" borderId="7" xfId="0" applyNumberFormat="1" applyFont="1" applyFill="1" applyBorder="1" applyAlignment="1">
      <alignment horizontal="center" vertical="center" wrapText="1"/>
    </xf>
    <xf numFmtId="43" fontId="15" fillId="3" borderId="7" xfId="0" applyNumberFormat="1" applyFont="1" applyFill="1" applyBorder="1" applyAlignment="1">
      <alignment horizontal="center" vertical="center"/>
    </xf>
    <xf numFmtId="164" fontId="4" fillId="0" borderId="11" xfId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64" fontId="4" fillId="0" borderId="8" xfId="1" applyFont="1" applyBorder="1" applyAlignment="1">
      <alignment horizontal="center" vertical="top"/>
    </xf>
    <xf numFmtId="164" fontId="4" fillId="0" borderId="8" xfId="1" applyFont="1" applyBorder="1" applyAlignment="1">
      <alignment vertical="center"/>
    </xf>
    <xf numFmtId="43" fontId="15" fillId="3" borderId="20" xfId="0" applyNumberFormat="1" applyFont="1" applyFill="1" applyBorder="1" applyAlignment="1">
      <alignment horizontal="center" vertical="center"/>
    </xf>
    <xf numFmtId="43" fontId="4" fillId="0" borderId="15" xfId="0" applyNumberFormat="1" applyFont="1" applyBorder="1" applyAlignment="1">
      <alignment vertical="center" wrapText="1"/>
    </xf>
    <xf numFmtId="0" fontId="4" fillId="0" borderId="15" xfId="0" applyFont="1" applyBorder="1" applyAlignment="1">
      <alignment horizontal="center" vertical="center" wrapText="1"/>
    </xf>
    <xf numFmtId="43" fontId="4" fillId="0" borderId="15" xfId="0" applyNumberFormat="1" applyFont="1" applyBorder="1" applyAlignment="1">
      <alignment horizontal="center" vertical="center" wrapText="1"/>
    </xf>
    <xf numFmtId="164" fontId="0" fillId="0" borderId="14" xfId="0" applyNumberFormat="1" applyBorder="1"/>
    <xf numFmtId="0" fontId="12" fillId="3" borderId="16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43" fontId="4" fillId="2" borderId="6" xfId="0" applyNumberFormat="1" applyFont="1" applyFill="1" applyBorder="1" applyAlignment="1">
      <alignment horizontal="center" vertical="center" wrapText="1"/>
    </xf>
    <xf numFmtId="43" fontId="4" fillId="2" borderId="6" xfId="0" applyNumberFormat="1" applyFont="1" applyFill="1" applyBorder="1" applyAlignment="1">
      <alignment horizontal="center" vertical="center"/>
    </xf>
    <xf numFmtId="43" fontId="6" fillId="2" borderId="6" xfId="0" applyNumberFormat="1" applyFont="1" applyFill="1" applyBorder="1" applyAlignment="1">
      <alignment horizontal="center" vertical="center"/>
    </xf>
    <xf numFmtId="2" fontId="11" fillId="0" borderId="6" xfId="0" applyNumberFormat="1" applyFont="1" applyBorder="1" applyAlignment="1">
      <alignment horizontal="center" vertical="center"/>
    </xf>
    <xf numFmtId="2" fontId="10" fillId="0" borderId="6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vertical="center"/>
    </xf>
    <xf numFmtId="164" fontId="4" fillId="0" borderId="8" xfId="0" applyNumberFormat="1" applyFont="1" applyBorder="1" applyAlignment="1">
      <alignment vertical="center"/>
    </xf>
    <xf numFmtId="166" fontId="4" fillId="0" borderId="15" xfId="0" applyNumberFormat="1" applyFont="1" applyBorder="1" applyAlignment="1">
      <alignment horizontal="center"/>
    </xf>
    <xf numFmtId="2" fontId="4" fillId="0" borderId="15" xfId="0" applyNumberFormat="1" applyFont="1" applyBorder="1"/>
    <xf numFmtId="0" fontId="15" fillId="2" borderId="6" xfId="0" applyFont="1" applyFill="1" applyBorder="1" applyAlignment="1">
      <alignment horizontal="center" vertical="center"/>
    </xf>
    <xf numFmtId="0" fontId="15" fillId="2" borderId="6" xfId="0" applyFont="1" applyFill="1" applyBorder="1" applyAlignment="1">
      <alignment horizontal="center" vertical="center" wrapText="1"/>
    </xf>
    <xf numFmtId="43" fontId="15" fillId="2" borderId="6" xfId="0" applyNumberFormat="1" applyFont="1" applyFill="1" applyBorder="1" applyAlignment="1">
      <alignment horizontal="center" vertical="center" wrapText="1"/>
    </xf>
    <xf numFmtId="43" fontId="15" fillId="2" borderId="6" xfId="0" applyNumberFormat="1" applyFont="1" applyFill="1" applyBorder="1" applyAlignment="1">
      <alignment horizontal="center" vertical="center"/>
    </xf>
    <xf numFmtId="164" fontId="4" fillId="0" borderId="6" xfId="0" applyNumberFormat="1" applyFont="1" applyBorder="1" applyAlignment="1">
      <alignment vertical="center"/>
    </xf>
    <xf numFmtId="2" fontId="5" fillId="4" borderId="15" xfId="0" applyNumberFormat="1" applyFont="1" applyFill="1" applyBorder="1" applyAlignment="1">
      <alignment horizontal="center" vertical="center"/>
    </xf>
    <xf numFmtId="164" fontId="5" fillId="4" borderId="15" xfId="1" applyFont="1" applyFill="1" applyBorder="1" applyAlignment="1">
      <alignment horizontal="center" vertical="center"/>
    </xf>
    <xf numFmtId="2" fontId="4" fillId="0" borderId="6" xfId="0" applyNumberFormat="1" applyFont="1" applyBorder="1" applyAlignment="1">
      <alignment horizontal="right"/>
    </xf>
    <xf numFmtId="164" fontId="5" fillId="0" borderId="6" xfId="1" applyFont="1" applyBorder="1" applyAlignment="1">
      <alignment horizontal="center" vertical="center" indent="1"/>
    </xf>
    <xf numFmtId="0" fontId="6" fillId="0" borderId="6" xfId="0" applyFont="1" applyBorder="1" applyAlignment="1">
      <alignment vertical="center"/>
    </xf>
    <xf numFmtId="164" fontId="4" fillId="0" borderId="6" xfId="0" applyNumberFormat="1" applyFont="1" applyBorder="1" applyAlignment="1">
      <alignment horizontal="center" vertical="center"/>
    </xf>
    <xf numFmtId="43" fontId="12" fillId="3" borderId="6" xfId="0" applyNumberFormat="1" applyFont="1" applyFill="1" applyBorder="1" applyAlignment="1">
      <alignment horizontal="center" vertical="center"/>
    </xf>
    <xf numFmtId="0" fontId="0" fillId="2" borderId="6" xfId="0" applyFill="1" applyBorder="1"/>
    <xf numFmtId="0" fontId="20" fillId="2" borderId="6" xfId="0" applyFont="1" applyFill="1" applyBorder="1"/>
    <xf numFmtId="2" fontId="0" fillId="2" borderId="6" xfId="0" applyNumberFormat="1" applyFill="1" applyBorder="1"/>
    <xf numFmtId="0" fontId="6" fillId="0" borderId="16" xfId="0" applyFont="1" applyBorder="1" applyAlignment="1">
      <alignment horizontal="center"/>
    </xf>
    <xf numFmtId="0" fontId="11" fillId="0" borderId="20" xfId="0" applyFont="1" applyBorder="1" applyAlignment="1">
      <alignment horizontal="center" vertical="center"/>
    </xf>
    <xf numFmtId="0" fontId="4" fillId="0" borderId="16" xfId="0" applyFont="1" applyBorder="1"/>
    <xf numFmtId="14" fontId="4" fillId="0" borderId="16" xfId="0" applyNumberFormat="1" applyFont="1" applyBorder="1" applyAlignment="1">
      <alignment horizontal="center"/>
    </xf>
    <xf numFmtId="2" fontId="4" fillId="0" borderId="16" xfId="0" applyNumberFormat="1" applyFont="1" applyBorder="1"/>
    <xf numFmtId="2" fontId="4" fillId="0" borderId="16" xfId="0" applyNumberFormat="1" applyFont="1" applyBorder="1" applyAlignment="1">
      <alignment horizontal="right"/>
    </xf>
    <xf numFmtId="43" fontId="6" fillId="2" borderId="16" xfId="0" applyNumberFormat="1" applyFont="1" applyFill="1" applyBorder="1" applyAlignment="1">
      <alignment horizontal="center" vertical="center"/>
    </xf>
    <xf numFmtId="43" fontId="0" fillId="0" borderId="0" xfId="0" applyNumberFormat="1"/>
    <xf numFmtId="2" fontId="15" fillId="3" borderId="16" xfId="0" applyNumberFormat="1" applyFont="1" applyFill="1" applyBorder="1" applyAlignment="1">
      <alignment horizontal="center" vertical="center"/>
    </xf>
    <xf numFmtId="0" fontId="4" fillId="0" borderId="6" xfId="1" applyNumberFormat="1" applyFont="1" applyBorder="1" applyAlignment="1">
      <alignment vertical="center"/>
    </xf>
    <xf numFmtId="0" fontId="4" fillId="0" borderId="14" xfId="0" applyFont="1" applyBorder="1"/>
    <xf numFmtId="2" fontId="5" fillId="0" borderId="0" xfId="0" applyNumberFormat="1" applyFont="1"/>
    <xf numFmtId="2" fontId="10" fillId="4" borderId="9" xfId="0" applyNumberFormat="1" applyFont="1" applyFill="1" applyBorder="1" applyAlignment="1">
      <alignment horizontal="center" vertical="center"/>
    </xf>
    <xf numFmtId="2" fontId="0" fillId="0" borderId="15" xfId="0" applyNumberFormat="1" applyBorder="1"/>
    <xf numFmtId="0" fontId="11" fillId="0" borderId="16" xfId="0" applyFont="1" applyBorder="1" applyAlignment="1">
      <alignment horizontal="center" vertical="center"/>
    </xf>
    <xf numFmtId="2" fontId="10" fillId="4" borderId="30" xfId="0" applyNumberFormat="1" applyFont="1" applyFill="1" applyBorder="1" applyAlignment="1">
      <alignment horizontal="center" vertical="center"/>
    </xf>
    <xf numFmtId="164" fontId="4" fillId="0" borderId="14" xfId="1" applyFont="1" applyBorder="1" applyAlignment="1">
      <alignment vertical="center"/>
    </xf>
    <xf numFmtId="164" fontId="4" fillId="0" borderId="16" xfId="1" applyFont="1" applyBorder="1" applyAlignment="1">
      <alignment horizontal="center" vertical="center"/>
    </xf>
    <xf numFmtId="164" fontId="4" fillId="4" borderId="15" xfId="1" applyFont="1" applyFill="1" applyBorder="1" applyAlignment="1">
      <alignment horizontal="center" vertical="center"/>
    </xf>
    <xf numFmtId="0" fontId="15" fillId="3" borderId="7" xfId="0" applyFont="1" applyFill="1" applyBorder="1" applyAlignment="1">
      <alignment horizontal="right" vertical="center" wrapText="1"/>
    </xf>
    <xf numFmtId="0" fontId="0" fillId="0" borderId="6" xfId="0" applyBorder="1" applyAlignment="1">
      <alignment horizontal="right"/>
    </xf>
    <xf numFmtId="164" fontId="4" fillId="0" borderId="11" xfId="1" applyFont="1" applyBorder="1" applyAlignment="1">
      <alignment horizontal="right" vertical="center"/>
    </xf>
    <xf numFmtId="164" fontId="4" fillId="0" borderId="0" xfId="1" applyFont="1" applyAlignment="1">
      <alignment horizontal="right" vertical="center"/>
    </xf>
    <xf numFmtId="164" fontId="4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0" fillId="0" borderId="0" xfId="0" applyAlignment="1">
      <alignment horizontal="right"/>
    </xf>
    <xf numFmtId="43" fontId="15" fillId="3" borderId="7" xfId="0" applyNumberFormat="1" applyFont="1" applyFill="1" applyBorder="1" applyAlignment="1">
      <alignment horizontal="right" vertical="center" wrapText="1"/>
    </xf>
    <xf numFmtId="164" fontId="4" fillId="0" borderId="8" xfId="1" applyFont="1" applyBorder="1" applyAlignment="1">
      <alignment horizontal="right" vertical="center"/>
    </xf>
    <xf numFmtId="0" fontId="4" fillId="0" borderId="6" xfId="3" applyNumberFormat="1" applyFont="1" applyBorder="1" applyAlignment="1">
      <alignment vertical="center"/>
    </xf>
    <xf numFmtId="3" fontId="4" fillId="0" borderId="6" xfId="3" applyNumberFormat="1" applyFont="1" applyBorder="1" applyAlignment="1">
      <alignment vertical="center"/>
    </xf>
    <xf numFmtId="0" fontId="6" fillId="0" borderId="6" xfId="0" applyFont="1" applyBorder="1" applyAlignment="1">
      <alignment horizontal="center" vertical="center"/>
    </xf>
    <xf numFmtId="0" fontId="4" fillId="0" borderId="20" xfId="0" applyFont="1" applyBorder="1" applyAlignment="1">
      <alignment vertical="center"/>
    </xf>
    <xf numFmtId="0" fontId="4" fillId="0" borderId="16" xfId="0" applyFont="1" applyBorder="1" applyAlignment="1">
      <alignment vertical="center" wrapText="1"/>
    </xf>
    <xf numFmtId="2" fontId="4" fillId="4" borderId="15" xfId="0" applyNumberFormat="1" applyFont="1" applyFill="1" applyBorder="1" applyAlignment="1">
      <alignment horizontal="center" vertical="center"/>
    </xf>
    <xf numFmtId="164" fontId="4" fillId="0" borderId="16" xfId="1" applyFont="1" applyBorder="1" applyAlignment="1">
      <alignment vertical="center"/>
    </xf>
    <xf numFmtId="164" fontId="4" fillId="0" borderId="14" xfId="1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12" fillId="3" borderId="6" xfId="0" applyFont="1" applyFill="1" applyBorder="1" applyAlignment="1">
      <alignment horizontal="right" vertical="center" wrapText="1"/>
    </xf>
    <xf numFmtId="164" fontId="10" fillId="4" borderId="6" xfId="1" applyFont="1" applyFill="1" applyBorder="1" applyAlignment="1">
      <alignment horizontal="right" vertical="center"/>
    </xf>
    <xf numFmtId="0" fontId="4" fillId="0" borderId="16" xfId="0" applyFont="1" applyBorder="1" applyAlignment="1">
      <alignment vertical="center"/>
    </xf>
    <xf numFmtId="0" fontId="4" fillId="0" borderId="15" xfId="0" applyFont="1" applyBorder="1" applyAlignment="1">
      <alignment horizontal="center"/>
    </xf>
    <xf numFmtId="2" fontId="19" fillId="0" borderId="6" xfId="0" applyNumberFormat="1" applyFont="1" applyBorder="1" applyAlignment="1">
      <alignment horizontal="center"/>
    </xf>
    <xf numFmtId="164" fontId="11" fillId="0" borderId="13" xfId="1" applyFont="1" applyBorder="1" applyAlignment="1">
      <alignment horizontal="center" vertical="center"/>
    </xf>
    <xf numFmtId="164" fontId="11" fillId="0" borderId="14" xfId="1" applyFont="1" applyBorder="1" applyAlignment="1">
      <alignment horizontal="center" vertical="center"/>
    </xf>
    <xf numFmtId="164" fontId="11" fillId="0" borderId="6" xfId="0" applyNumberFormat="1" applyFont="1" applyBorder="1" applyAlignment="1">
      <alignment horizontal="right" vertical="center"/>
    </xf>
    <xf numFmtId="164" fontId="11" fillId="0" borderId="6" xfId="1" applyFont="1" applyBorder="1" applyAlignment="1">
      <alignment horizontal="left" vertical="top"/>
    </xf>
    <xf numFmtId="165" fontId="4" fillId="0" borderId="13" xfId="0" applyNumberFormat="1" applyFont="1" applyBorder="1" applyAlignment="1">
      <alignment horizontal="center"/>
    </xf>
    <xf numFmtId="164" fontId="10" fillId="0" borderId="16" xfId="1" applyFont="1" applyBorder="1" applyAlignment="1">
      <alignment horizontal="center" vertical="center"/>
    </xf>
    <xf numFmtId="0" fontId="11" fillId="0" borderId="16" xfId="0" applyFont="1" applyBorder="1"/>
    <xf numFmtId="164" fontId="11" fillId="0" borderId="16" xfId="0" applyNumberFormat="1" applyFont="1" applyBorder="1"/>
    <xf numFmtId="2" fontId="10" fillId="4" borderId="15" xfId="0" applyNumberFormat="1" applyFont="1" applyFill="1" applyBorder="1" applyAlignment="1">
      <alignment horizontal="center" vertical="center"/>
    </xf>
    <xf numFmtId="164" fontId="10" fillId="4" borderId="15" xfId="1" applyFont="1" applyFill="1" applyBorder="1" applyAlignment="1">
      <alignment horizontal="center" vertical="center"/>
    </xf>
    <xf numFmtId="0" fontId="14" fillId="0" borderId="6" xfId="3" applyNumberFormat="1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14" fillId="0" borderId="20" xfId="3" applyNumberFormat="1" applyFont="1" applyBorder="1" applyAlignment="1">
      <alignment horizontal="center" vertical="center"/>
    </xf>
    <xf numFmtId="2" fontId="0" fillId="0" borderId="6" xfId="0" applyNumberFormat="1" applyBorder="1" applyAlignment="1">
      <alignment horizontal="center"/>
    </xf>
    <xf numFmtId="0" fontId="4" fillId="0" borderId="15" xfId="1" applyNumberFormat="1" applyFont="1" applyBorder="1" applyAlignment="1">
      <alignment vertical="center"/>
    </xf>
    <xf numFmtId="164" fontId="4" fillId="0" borderId="15" xfId="1" applyFont="1" applyBorder="1" applyAlignment="1">
      <alignment vertical="center"/>
    </xf>
    <xf numFmtId="2" fontId="6" fillId="2" borderId="6" xfId="0" applyNumberFormat="1" applyFont="1" applyFill="1" applyBorder="1" applyAlignment="1">
      <alignment horizontal="center" vertical="center"/>
    </xf>
    <xf numFmtId="164" fontId="4" fillId="0" borderId="31" xfId="1" applyFont="1" applyBorder="1" applyAlignment="1">
      <alignment horizontal="center" vertical="center"/>
    </xf>
    <xf numFmtId="164" fontId="4" fillId="0" borderId="11" xfId="1" applyFont="1" applyBorder="1" applyAlignment="1">
      <alignment horizontal="center" vertical="top"/>
    </xf>
    <xf numFmtId="164" fontId="4" fillId="0" borderId="12" xfId="1" applyFont="1" applyBorder="1" applyAlignment="1">
      <alignment horizontal="center" vertical="top"/>
    </xf>
    <xf numFmtId="0" fontId="4" fillId="0" borderId="7" xfId="0" applyFont="1" applyBorder="1" applyAlignment="1">
      <alignment vertical="center"/>
    </xf>
    <xf numFmtId="0" fontId="4" fillId="0" borderId="31" xfId="0" applyFont="1" applyBorder="1" applyAlignment="1">
      <alignment vertical="center"/>
    </xf>
    <xf numFmtId="2" fontId="0" fillId="0" borderId="16" xfId="0" applyNumberFormat="1" applyBorder="1"/>
    <xf numFmtId="0" fontId="15" fillId="2" borderId="3" xfId="0" applyFont="1" applyFill="1" applyBorder="1" applyAlignment="1">
      <alignment horizontal="center" vertical="center"/>
    </xf>
    <xf numFmtId="2" fontId="15" fillId="3" borderId="16" xfId="0" applyNumberFormat="1" applyFont="1" applyFill="1" applyBorder="1" applyAlignment="1">
      <alignment horizontal="center" vertical="center" wrapText="1"/>
    </xf>
    <xf numFmtId="2" fontId="0" fillId="0" borderId="16" xfId="0" applyNumberFormat="1" applyBorder="1" applyAlignment="1">
      <alignment horizontal="center"/>
    </xf>
    <xf numFmtId="0" fontId="15" fillId="2" borderId="16" xfId="0" applyFont="1" applyFill="1" applyBorder="1" applyAlignment="1">
      <alignment horizontal="center" vertical="center" wrapText="1"/>
    </xf>
    <xf numFmtId="164" fontId="10" fillId="0" borderId="16" xfId="1" applyFont="1" applyBorder="1" applyAlignment="1">
      <alignment vertical="center"/>
    </xf>
    <xf numFmtId="164" fontId="0" fillId="0" borderId="16" xfId="0" applyNumberFormat="1" applyBorder="1"/>
    <xf numFmtId="164" fontId="11" fillId="0" borderId="15" xfId="1" applyFont="1" applyBorder="1" applyAlignment="1">
      <alignment horizontal="center" vertical="center"/>
    </xf>
    <xf numFmtId="1" fontId="4" fillId="0" borderId="16" xfId="0" applyNumberFormat="1" applyFont="1" applyBorder="1" applyAlignment="1">
      <alignment horizontal="center" vertical="center"/>
    </xf>
    <xf numFmtId="0" fontId="4" fillId="0" borderId="16" xfId="0" applyFont="1" applyBorder="1" applyAlignment="1">
      <alignment horizontal="center"/>
    </xf>
    <xf numFmtId="164" fontId="4" fillId="0" borderId="4" xfId="1" applyFont="1" applyBorder="1" applyAlignment="1">
      <alignment vertical="center"/>
    </xf>
    <xf numFmtId="165" fontId="4" fillId="0" borderId="32" xfId="0" applyNumberFormat="1" applyFont="1" applyBorder="1" applyAlignment="1">
      <alignment horizontal="center"/>
    </xf>
    <xf numFmtId="0" fontId="0" fillId="0" borderId="25" xfId="0" applyBorder="1"/>
    <xf numFmtId="0" fontId="4" fillId="0" borderId="13" xfId="0" applyFont="1" applyBorder="1" applyAlignment="1">
      <alignment horizontal="center"/>
    </xf>
    <xf numFmtId="0" fontId="4" fillId="0" borderId="32" xfId="0" applyFont="1" applyBorder="1" applyAlignment="1">
      <alignment horizontal="center"/>
    </xf>
    <xf numFmtId="165" fontId="15" fillId="3" borderId="16" xfId="0" applyNumberFormat="1" applyFont="1" applyFill="1" applyBorder="1" applyAlignment="1">
      <alignment horizontal="center" vertical="center" wrapText="1"/>
    </xf>
    <xf numFmtId="15" fontId="20" fillId="2" borderId="6" xfId="0" applyNumberFormat="1" applyFont="1" applyFill="1" applyBorder="1"/>
    <xf numFmtId="2" fontId="20" fillId="0" borderId="16" xfId="0" applyNumberFormat="1" applyFont="1" applyBorder="1"/>
    <xf numFmtId="1" fontId="0" fillId="0" borderId="6" xfId="0" applyNumberFormat="1" applyBorder="1"/>
    <xf numFmtId="0" fontId="6" fillId="0" borderId="16" xfId="0" applyFont="1" applyBorder="1"/>
    <xf numFmtId="0" fontId="0" fillId="5" borderId="0" xfId="0" applyFill="1"/>
    <xf numFmtId="0" fontId="22" fillId="0" borderId="0" xfId="0" applyFont="1"/>
    <xf numFmtId="2" fontId="12" fillId="3" borderId="6" xfId="0" applyNumberFormat="1" applyFont="1" applyFill="1" applyBorder="1" applyAlignment="1">
      <alignment horizontal="center" vertical="center" wrapText="1"/>
    </xf>
    <xf numFmtId="2" fontId="10" fillId="0" borderId="16" xfId="1" applyNumberFormat="1" applyFont="1" applyBorder="1" applyAlignment="1">
      <alignment vertical="center"/>
    </xf>
    <xf numFmtId="2" fontId="10" fillId="4" borderId="6" xfId="1" applyNumberFormat="1" applyFont="1" applyFill="1" applyBorder="1" applyAlignment="1">
      <alignment horizontal="right" vertical="center"/>
    </xf>
    <xf numFmtId="2" fontId="15" fillId="3" borderId="7" xfId="0" applyNumberFormat="1" applyFont="1" applyFill="1" applyBorder="1" applyAlignment="1">
      <alignment horizontal="center" vertical="center" wrapText="1"/>
    </xf>
    <xf numFmtId="2" fontId="15" fillId="3" borderId="7" xfId="0" applyNumberFormat="1" applyFont="1" applyFill="1" applyBorder="1" applyAlignment="1">
      <alignment horizontal="center" vertical="center"/>
    </xf>
    <xf numFmtId="2" fontId="19" fillId="0" borderId="16" xfId="0" applyNumberFormat="1" applyFont="1" applyBorder="1" applyAlignment="1">
      <alignment horizontal="center"/>
    </xf>
    <xf numFmtId="0" fontId="19" fillId="0" borderId="16" xfId="0" applyFont="1" applyBorder="1"/>
    <xf numFmtId="0" fontId="23" fillId="0" borderId="0" xfId="0" applyFont="1"/>
    <xf numFmtId="2" fontId="12" fillId="3" borderId="6" xfId="0" applyNumberFormat="1" applyFont="1" applyFill="1" applyBorder="1" applyAlignment="1">
      <alignment horizontal="right" vertical="center" wrapText="1"/>
    </xf>
    <xf numFmtId="2" fontId="10" fillId="4" borderId="6" xfId="1" applyNumberFormat="1" applyFont="1" applyFill="1" applyBorder="1" applyAlignment="1">
      <alignment horizontal="center" vertical="center"/>
    </xf>
    <xf numFmtId="0" fontId="0" fillId="0" borderId="6" xfId="0" applyBorder="1" applyAlignment="1">
      <alignment wrapText="1"/>
    </xf>
    <xf numFmtId="164" fontId="4" fillId="2" borderId="6" xfId="1" applyFont="1" applyFill="1" applyBorder="1" applyAlignment="1">
      <alignment horizontal="center" vertical="center"/>
    </xf>
    <xf numFmtId="164" fontId="10" fillId="0" borderId="13" xfId="1" applyFont="1" applyBorder="1" applyAlignment="1">
      <alignment vertical="center"/>
    </xf>
    <xf numFmtId="0" fontId="0" fillId="0" borderId="14" xfId="0" applyBorder="1"/>
    <xf numFmtId="164" fontId="11" fillId="0" borderId="11" xfId="1" applyFont="1" applyBorder="1" applyAlignment="1">
      <alignment horizontal="center" vertical="center"/>
    </xf>
    <xf numFmtId="164" fontId="11" fillId="0" borderId="5" xfId="1" applyFont="1" applyBorder="1" applyAlignment="1">
      <alignment horizontal="center" vertical="center"/>
    </xf>
    <xf numFmtId="164" fontId="11" fillId="0" borderId="22" xfId="1" applyFont="1" applyBorder="1" applyAlignment="1">
      <alignment horizontal="center" vertical="center"/>
    </xf>
    <xf numFmtId="164" fontId="11" fillId="0" borderId="28" xfId="1" applyFont="1" applyBorder="1" applyAlignment="1">
      <alignment horizontal="center" vertical="center"/>
    </xf>
    <xf numFmtId="167" fontId="0" fillId="0" borderId="0" xfId="0" applyNumberFormat="1"/>
    <xf numFmtId="4" fontId="4" fillId="0" borderId="0" xfId="0" applyNumberFormat="1" applyFont="1" applyAlignment="1">
      <alignment vertical="center" wrapText="1"/>
    </xf>
    <xf numFmtId="43" fontId="4" fillId="0" borderId="0" xfId="0" applyNumberFormat="1" applyFont="1" applyAlignment="1">
      <alignment vertical="center"/>
    </xf>
    <xf numFmtId="4" fontId="0" fillId="0" borderId="0" xfId="0" applyNumberFormat="1"/>
    <xf numFmtId="0" fontId="15" fillId="3" borderId="16" xfId="0" applyFont="1" applyFill="1" applyBorder="1" applyAlignment="1">
      <alignment horizontal="right" vertical="center" wrapText="1"/>
    </xf>
    <xf numFmtId="168" fontId="4" fillId="0" borderId="2" xfId="1" applyNumberFormat="1" applyFont="1" applyBorder="1" applyAlignment="1">
      <alignment horizontal="center" vertical="top"/>
    </xf>
    <xf numFmtId="0" fontId="5" fillId="7" borderId="0" xfId="0" applyFont="1" applyFill="1" applyAlignment="1">
      <alignment vertical="center"/>
    </xf>
    <xf numFmtId="0" fontId="19" fillId="7" borderId="0" xfId="0" applyFont="1" applyFill="1"/>
    <xf numFmtId="0" fontId="0" fillId="0" borderId="15" xfId="0" applyBorder="1" applyAlignment="1">
      <alignment horizontal="center"/>
    </xf>
    <xf numFmtId="0" fontId="0" fillId="2" borderId="13" xfId="0" applyFill="1" applyBorder="1"/>
    <xf numFmtId="0" fontId="20" fillId="2" borderId="0" xfId="0" applyFont="1" applyFill="1"/>
    <xf numFmtId="0" fontId="0" fillId="2" borderId="6" xfId="0" quotePrefix="1" applyFill="1" applyBorder="1" applyAlignment="1">
      <alignment horizontal="right"/>
    </xf>
    <xf numFmtId="2" fontId="0" fillId="2" borderId="15" xfId="0" applyNumberFormat="1" applyFill="1" applyBorder="1"/>
    <xf numFmtId="0" fontId="6" fillId="2" borderId="6" xfId="0" applyFont="1" applyFill="1" applyBorder="1" applyAlignment="1">
      <alignment horizontal="center"/>
    </xf>
    <xf numFmtId="2" fontId="0" fillId="2" borderId="16" xfId="0" applyNumberFormat="1" applyFill="1" applyBorder="1"/>
    <xf numFmtId="4" fontId="0" fillId="2" borderId="6" xfId="0" applyNumberFormat="1" applyFill="1" applyBorder="1"/>
    <xf numFmtId="0" fontId="0" fillId="2" borderId="0" xfId="0" applyFill="1"/>
    <xf numFmtId="0" fontId="20" fillId="2" borderId="6" xfId="0" quotePrefix="1" applyFont="1" applyFill="1" applyBorder="1" applyAlignment="1">
      <alignment horizontal="right"/>
    </xf>
    <xf numFmtId="0" fontId="0" fillId="2" borderId="27" xfId="0" applyFill="1" applyBorder="1"/>
    <xf numFmtId="0" fontId="20" fillId="2" borderId="16" xfId="0" applyFont="1" applyFill="1" applyBorder="1"/>
    <xf numFmtId="0" fontId="20" fillId="2" borderId="16" xfId="0" quotePrefix="1" applyFont="1" applyFill="1" applyBorder="1" applyAlignment="1">
      <alignment horizontal="right"/>
    </xf>
    <xf numFmtId="0" fontId="0" fillId="2" borderId="16" xfId="0" applyFill="1" applyBorder="1"/>
    <xf numFmtId="0" fontId="16" fillId="5" borderId="6" xfId="0" applyFont="1" applyFill="1" applyBorder="1" applyAlignment="1">
      <alignment horizontal="center" vertical="center"/>
    </xf>
    <xf numFmtId="0" fontId="25" fillId="6" borderId="16" xfId="0" applyFont="1" applyFill="1" applyBorder="1" applyAlignment="1">
      <alignment horizontal="center"/>
    </xf>
    <xf numFmtId="0" fontId="4" fillId="0" borderId="20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 wrapText="1"/>
    </xf>
    <xf numFmtId="0" fontId="19" fillId="2" borderId="6" xfId="0" applyFont="1" applyFill="1" applyBorder="1" applyAlignment="1">
      <alignment horizontal="center"/>
    </xf>
    <xf numFmtId="0" fontId="0" fillId="2" borderId="15" xfId="0" applyFill="1" applyBorder="1"/>
    <xf numFmtId="0" fontId="20" fillId="2" borderId="15" xfId="0" applyFont="1" applyFill="1" applyBorder="1"/>
    <xf numFmtId="0" fontId="20" fillId="2" borderId="6" xfId="0" applyFont="1" applyFill="1" applyBorder="1" applyAlignment="1">
      <alignment wrapText="1"/>
    </xf>
    <xf numFmtId="4" fontId="0" fillId="2" borderId="0" xfId="0" applyNumberFormat="1" applyFill="1"/>
    <xf numFmtId="0" fontId="0" fillId="2" borderId="16" xfId="0" quotePrefix="1" applyFill="1" applyBorder="1" applyAlignment="1">
      <alignment horizontal="right"/>
    </xf>
    <xf numFmtId="0" fontId="0" fillId="2" borderId="15" xfId="0" quotePrefix="1" applyFill="1" applyBorder="1" applyAlignment="1">
      <alignment horizontal="right"/>
    </xf>
    <xf numFmtId="0" fontId="0" fillId="2" borderId="28" xfId="0" applyFill="1" applyBorder="1"/>
    <xf numFmtId="0" fontId="0" fillId="2" borderId="6" xfId="0" applyFill="1" applyBorder="1" applyAlignment="1">
      <alignment wrapText="1"/>
    </xf>
    <xf numFmtId="4" fontId="0" fillId="2" borderId="16" xfId="0" applyNumberFormat="1" applyFill="1" applyBorder="1"/>
    <xf numFmtId="0" fontId="0" fillId="2" borderId="16" xfId="0" applyFill="1" applyBorder="1" applyAlignment="1">
      <alignment wrapText="1"/>
    </xf>
    <xf numFmtId="2" fontId="4" fillId="0" borderId="6" xfId="1" applyNumberFormat="1" applyFont="1" applyBorder="1" applyAlignment="1">
      <alignment horizontal="center" vertical="center"/>
    </xf>
    <xf numFmtId="2" fontId="4" fillId="0" borderId="0" xfId="1" applyNumberFormat="1" applyFont="1" applyAlignment="1">
      <alignment horizontal="center" vertical="center"/>
    </xf>
    <xf numFmtId="2" fontId="0" fillId="0" borderId="0" xfId="0" applyNumberFormat="1" applyAlignment="1">
      <alignment horizontal="center"/>
    </xf>
    <xf numFmtId="43" fontId="24" fillId="6" borderId="13" xfId="0" applyNumberFormat="1" applyFont="1" applyFill="1" applyBorder="1" applyAlignment="1">
      <alignment horizontal="center" indent="1"/>
    </xf>
    <xf numFmtId="43" fontId="24" fillId="6" borderId="25" xfId="0" applyNumberFormat="1" applyFont="1" applyFill="1" applyBorder="1" applyAlignment="1">
      <alignment horizontal="center" indent="1"/>
    </xf>
    <xf numFmtId="43" fontId="24" fillId="6" borderId="14" xfId="0" applyNumberFormat="1" applyFont="1" applyFill="1" applyBorder="1" applyAlignment="1">
      <alignment horizontal="center" indent="1"/>
    </xf>
    <xf numFmtId="2" fontId="0" fillId="0" borderId="15" xfId="0" applyNumberFormat="1" applyBorder="1" applyAlignment="1">
      <alignment horizontal="center"/>
    </xf>
    <xf numFmtId="0" fontId="0" fillId="2" borderId="6" xfId="0" applyFill="1" applyBorder="1" applyAlignment="1">
      <alignment horizontal="center"/>
    </xf>
    <xf numFmtId="43" fontId="6" fillId="2" borderId="6" xfId="0" applyNumberFormat="1" applyFont="1" applyFill="1" applyBorder="1"/>
    <xf numFmtId="0" fontId="0" fillId="2" borderId="14" xfId="0" applyFill="1" applyBorder="1" applyAlignment="1">
      <alignment horizontal="center"/>
    </xf>
    <xf numFmtId="0" fontId="19" fillId="2" borderId="16" xfId="0" applyFont="1" applyFill="1" applyBorder="1" applyAlignment="1">
      <alignment horizontal="right"/>
    </xf>
    <xf numFmtId="2" fontId="0" fillId="2" borderId="6" xfId="0" applyNumberFormat="1" applyFill="1" applyBorder="1" applyAlignment="1">
      <alignment horizontal="center"/>
    </xf>
    <xf numFmtId="0" fontId="0" fillId="2" borderId="32" xfId="0" applyFill="1" applyBorder="1"/>
    <xf numFmtId="0" fontId="0" fillId="2" borderId="16" xfId="0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20" fillId="0" borderId="14" xfId="0" quotePrefix="1" applyFont="1" applyBorder="1" applyAlignment="1">
      <alignment horizontal="left"/>
    </xf>
    <xf numFmtId="0" fontId="20" fillId="0" borderId="0" xfId="0" applyFont="1"/>
    <xf numFmtId="0" fontId="0" fillId="2" borderId="13" xfId="0" quotePrefix="1" applyFill="1" applyBorder="1" applyAlignment="1">
      <alignment horizontal="right"/>
    </xf>
    <xf numFmtId="2" fontId="0" fillId="2" borderId="33" xfId="0" applyNumberFormat="1" applyFill="1" applyBorder="1"/>
    <xf numFmtId="2" fontId="0" fillId="2" borderId="16" xfId="0" applyNumberFormat="1" applyFill="1" applyBorder="1" applyAlignment="1">
      <alignment horizontal="center"/>
    </xf>
    <xf numFmtId="4" fontId="6" fillId="0" borderId="6" xfId="0" applyNumberFormat="1" applyFont="1" applyBorder="1"/>
    <xf numFmtId="1" fontId="0" fillId="0" borderId="6" xfId="0" quotePrefix="1" applyNumberFormat="1" applyBorder="1"/>
    <xf numFmtId="0" fontId="26" fillId="8" borderId="34" xfId="0" applyFont="1" applyFill="1" applyBorder="1"/>
    <xf numFmtId="0" fontId="26" fillId="8" borderId="35" xfId="0" applyFont="1" applyFill="1" applyBorder="1"/>
    <xf numFmtId="2" fontId="26" fillId="8" borderId="35" xfId="0" applyNumberFormat="1" applyFont="1" applyFill="1" applyBorder="1"/>
    <xf numFmtId="2" fontId="26" fillId="8" borderId="36" xfId="0" applyNumberFormat="1" applyFont="1" applyFill="1" applyBorder="1"/>
    <xf numFmtId="2" fontId="27" fillId="9" borderId="41" xfId="0" applyNumberFormat="1" applyFont="1" applyFill="1" applyBorder="1"/>
    <xf numFmtId="169" fontId="4" fillId="0" borderId="6" xfId="0" applyNumberFormat="1" applyFont="1" applyBorder="1"/>
    <xf numFmtId="169" fontId="27" fillId="9" borderId="41" xfId="0" applyNumberFormat="1" applyFont="1" applyFill="1" applyBorder="1"/>
    <xf numFmtId="164" fontId="0" fillId="0" borderId="0" xfId="0" applyNumberFormat="1" applyAlignment="1">
      <alignment horizontal="center"/>
    </xf>
    <xf numFmtId="0" fontId="15" fillId="3" borderId="7" xfId="0" applyFont="1" applyFill="1" applyBorder="1" applyAlignment="1">
      <alignment vertical="center" wrapText="1"/>
    </xf>
    <xf numFmtId="166" fontId="4" fillId="0" borderId="6" xfId="0" applyNumberFormat="1" applyFont="1" applyBorder="1"/>
    <xf numFmtId="164" fontId="5" fillId="4" borderId="6" xfId="1" applyFont="1" applyFill="1" applyBorder="1" applyAlignment="1">
      <alignment vertical="center"/>
    </xf>
    <xf numFmtId="1" fontId="4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170" fontId="4" fillId="0" borderId="4" xfId="1" applyNumberFormat="1" applyFont="1" applyBorder="1" applyAlignment="1">
      <alignment vertical="center"/>
    </xf>
    <xf numFmtId="170" fontId="0" fillId="0" borderId="14" xfId="0" applyNumberFormat="1" applyBorder="1"/>
    <xf numFmtId="0" fontId="28" fillId="0" borderId="14" xfId="0" applyFont="1" applyBorder="1" applyAlignment="1">
      <alignment horizontal="center" vertical="center"/>
    </xf>
    <xf numFmtId="0" fontId="28" fillId="0" borderId="6" xfId="0" applyFont="1" applyBorder="1" applyAlignment="1">
      <alignment horizontal="center" vertical="center" wrapText="1"/>
    </xf>
    <xf numFmtId="0" fontId="28" fillId="2" borderId="7" xfId="0" applyFont="1" applyFill="1" applyBorder="1" applyAlignment="1">
      <alignment horizontal="center" vertical="center" wrapText="1"/>
    </xf>
    <xf numFmtId="0" fontId="29" fillId="2" borderId="7" xfId="0" applyFont="1" applyFill="1" applyBorder="1" applyAlignment="1">
      <alignment horizontal="center" vertical="center" wrapText="1"/>
    </xf>
    <xf numFmtId="1" fontId="19" fillId="0" borderId="24" xfId="0" applyNumberFormat="1" applyFont="1" applyBorder="1" applyAlignment="1">
      <alignment vertical="center"/>
    </xf>
    <xf numFmtId="164" fontId="21" fillId="0" borderId="42" xfId="1" applyFont="1" applyBorder="1" applyAlignment="1">
      <alignment horizontal="center"/>
    </xf>
    <xf numFmtId="1" fontId="4" fillId="2" borderId="6" xfId="0" applyNumberFormat="1" applyFont="1" applyFill="1" applyBorder="1" applyAlignment="1">
      <alignment horizontal="center" vertical="center"/>
    </xf>
    <xf numFmtId="170" fontId="0" fillId="0" borderId="0" xfId="0" applyNumberFormat="1"/>
    <xf numFmtId="0" fontId="9" fillId="0" borderId="6" xfId="0" applyFont="1" applyBorder="1"/>
    <xf numFmtId="0" fontId="9" fillId="0" borderId="15" xfId="0" applyFont="1" applyBorder="1"/>
    <xf numFmtId="166" fontId="30" fillId="0" borderId="6" xfId="0" applyNumberFormat="1" applyFont="1" applyBorder="1" applyAlignment="1">
      <alignment horizontal="center"/>
    </xf>
    <xf numFmtId="166" fontId="30" fillId="0" borderId="16" xfId="0" applyNumberFormat="1" applyFont="1" applyBorder="1" applyAlignment="1">
      <alignment horizontal="center"/>
    </xf>
    <xf numFmtId="0" fontId="30" fillId="0" borderId="6" xfId="0" applyFont="1" applyBorder="1" applyAlignment="1">
      <alignment horizontal="center" vertical="center"/>
    </xf>
    <xf numFmtId="166" fontId="28" fillId="0" borderId="6" xfId="0" applyNumberFormat="1" applyFont="1" applyBorder="1" applyAlignment="1">
      <alignment horizontal="center" vertical="center"/>
    </xf>
    <xf numFmtId="164" fontId="28" fillId="0" borderId="6" xfId="1" applyFont="1" applyBorder="1" applyAlignment="1">
      <alignment vertical="center"/>
    </xf>
    <xf numFmtId="0" fontId="31" fillId="0" borderId="6" xfId="0" applyFont="1" applyBorder="1" applyAlignment="1">
      <alignment horizontal="center" vertical="center" wrapText="1"/>
    </xf>
    <xf numFmtId="0" fontId="31" fillId="0" borderId="14" xfId="0" applyFont="1" applyBorder="1" applyAlignment="1">
      <alignment horizontal="center" vertical="center"/>
    </xf>
    <xf numFmtId="0" fontId="32" fillId="8" borderId="34" xfId="0" applyFont="1" applyFill="1" applyBorder="1"/>
    <xf numFmtId="0" fontId="32" fillId="8" borderId="35" xfId="0" applyFont="1" applyFill="1" applyBorder="1"/>
    <xf numFmtId="2" fontId="32" fillId="8" borderId="35" xfId="0" applyNumberFormat="1" applyFont="1" applyFill="1" applyBorder="1"/>
    <xf numFmtId="2" fontId="32" fillId="8" borderId="36" xfId="0" applyNumberFormat="1" applyFont="1" applyFill="1" applyBorder="1"/>
    <xf numFmtId="0" fontId="33" fillId="0" borderId="0" xfId="0" applyFont="1"/>
    <xf numFmtId="0" fontId="33" fillId="0" borderId="6" xfId="0" applyFont="1" applyBorder="1" applyAlignment="1">
      <alignment horizontal="center"/>
    </xf>
    <xf numFmtId="0" fontId="33" fillId="0" borderId="6" xfId="0" applyFont="1" applyBorder="1"/>
    <xf numFmtId="1" fontId="33" fillId="2" borderId="6" xfId="0" applyNumberFormat="1" applyFont="1" applyFill="1" applyBorder="1"/>
    <xf numFmtId="0" fontId="33" fillId="0" borderId="6" xfId="0" applyFont="1" applyBorder="1" applyAlignment="1">
      <alignment wrapText="1"/>
    </xf>
    <xf numFmtId="2" fontId="33" fillId="0" borderId="6" xfId="0" applyNumberFormat="1" applyFont="1" applyBorder="1"/>
    <xf numFmtId="1" fontId="33" fillId="2" borderId="4" xfId="1" applyNumberFormat="1" applyFont="1" applyFill="1" applyBorder="1" applyAlignment="1">
      <alignment vertical="center"/>
    </xf>
    <xf numFmtId="1" fontId="33" fillId="9" borderId="6" xfId="0" applyNumberFormat="1" applyFont="1" applyFill="1" applyBorder="1"/>
    <xf numFmtId="2" fontId="33" fillId="0" borderId="0" xfId="0" applyNumberFormat="1" applyFont="1"/>
    <xf numFmtId="1" fontId="33" fillId="0" borderId="0" xfId="0" applyNumberFormat="1" applyFont="1"/>
    <xf numFmtId="164" fontId="35" fillId="0" borderId="6" xfId="4" applyNumberFormat="1" applyBorder="1" applyAlignment="1">
      <alignment horizontal="center" vertical="center"/>
    </xf>
    <xf numFmtId="164" fontId="4" fillId="0" borderId="13" xfId="1" applyFont="1" applyBorder="1" applyAlignment="1">
      <alignment horizontal="center" vertical="top"/>
    </xf>
    <xf numFmtId="0" fontId="20" fillId="2" borderId="13" xfId="0" applyFont="1" applyFill="1" applyBorder="1"/>
    <xf numFmtId="0" fontId="20" fillId="11" borderId="6" xfId="0" applyFont="1" applyFill="1" applyBorder="1"/>
    <xf numFmtId="15" fontId="20" fillId="2" borderId="13" xfId="0" applyNumberFormat="1" applyFont="1" applyFill="1" applyBorder="1"/>
    <xf numFmtId="0" fontId="16" fillId="5" borderId="6" xfId="0" applyFont="1" applyFill="1" applyBorder="1" applyAlignment="1">
      <alignment horizontal="right" vertical="center"/>
    </xf>
    <xf numFmtId="0" fontId="15" fillId="3" borderId="6" xfId="0" applyFont="1" applyFill="1" applyBorder="1" applyAlignment="1">
      <alignment horizontal="right" vertical="center" wrapText="1"/>
    </xf>
    <xf numFmtId="2" fontId="15" fillId="3" borderId="6" xfId="0" applyNumberFormat="1" applyFont="1" applyFill="1" applyBorder="1" applyAlignment="1">
      <alignment horizontal="right" vertical="center" wrapText="1"/>
    </xf>
    <xf numFmtId="0" fontId="15" fillId="3" borderId="6" xfId="0" applyFont="1" applyFill="1" applyBorder="1" applyAlignment="1">
      <alignment horizontal="right" vertical="center"/>
    </xf>
    <xf numFmtId="2" fontId="15" fillId="3" borderId="6" xfId="0" applyNumberFormat="1" applyFont="1" applyFill="1" applyBorder="1" applyAlignment="1">
      <alignment horizontal="right" vertical="center"/>
    </xf>
    <xf numFmtId="43" fontId="15" fillId="3" borderId="6" xfId="0" applyNumberFormat="1" applyFont="1" applyFill="1" applyBorder="1" applyAlignment="1">
      <alignment horizontal="right" vertical="center"/>
    </xf>
    <xf numFmtId="0" fontId="25" fillId="6" borderId="16" xfId="0" applyFont="1" applyFill="1" applyBorder="1" applyAlignment="1">
      <alignment horizontal="right"/>
    </xf>
    <xf numFmtId="2" fontId="24" fillId="6" borderId="13" xfId="0" applyNumberFormat="1" applyFont="1" applyFill="1" applyBorder="1" applyAlignment="1">
      <alignment horizontal="right"/>
    </xf>
    <xf numFmtId="2" fontId="24" fillId="6" borderId="25" xfId="0" applyNumberFormat="1" applyFont="1" applyFill="1" applyBorder="1" applyAlignment="1">
      <alignment horizontal="right"/>
    </xf>
    <xf numFmtId="2" fontId="24" fillId="6" borderId="14" xfId="0" applyNumberFormat="1" applyFont="1" applyFill="1" applyBorder="1" applyAlignment="1">
      <alignment horizontal="right"/>
    </xf>
    <xf numFmtId="2" fontId="0" fillId="0" borderId="6" xfId="0" applyNumberFormat="1" applyBorder="1" applyAlignment="1">
      <alignment horizontal="right"/>
    </xf>
    <xf numFmtId="2" fontId="0" fillId="2" borderId="6" xfId="0" applyNumberFormat="1" applyFill="1" applyBorder="1" applyAlignment="1">
      <alignment horizontal="right"/>
    </xf>
    <xf numFmtId="2" fontId="0" fillId="0" borderId="16" xfId="0" applyNumberFormat="1" applyBorder="1" applyAlignment="1">
      <alignment horizontal="right"/>
    </xf>
    <xf numFmtId="2" fontId="0" fillId="10" borderId="6" xfId="0" applyNumberFormat="1" applyFill="1" applyBorder="1" applyAlignment="1">
      <alignment horizontal="right"/>
    </xf>
    <xf numFmtId="2" fontId="0" fillId="0" borderId="14" xfId="0" applyNumberFormat="1" applyBorder="1" applyAlignment="1">
      <alignment horizontal="right"/>
    </xf>
    <xf numFmtId="0" fontId="20" fillId="0" borderId="6" xfId="0" applyFont="1" applyBorder="1" applyAlignment="1">
      <alignment horizontal="right"/>
    </xf>
    <xf numFmtId="2" fontId="0" fillId="0" borderId="15" xfId="0" applyNumberFormat="1" applyBorder="1" applyAlignment="1">
      <alignment horizontal="right"/>
    </xf>
    <xf numFmtId="0" fontId="0" fillId="0" borderId="16" xfId="0" applyBorder="1" applyAlignment="1">
      <alignment horizontal="right"/>
    </xf>
    <xf numFmtId="1" fontId="0" fillId="0" borderId="16" xfId="0" quotePrefix="1" applyNumberFormat="1" applyBorder="1"/>
    <xf numFmtId="164" fontId="4" fillId="10" borderId="6" xfId="1" applyFont="1" applyFill="1" applyBorder="1" applyAlignment="1">
      <alignment horizontal="center" vertical="center"/>
    </xf>
    <xf numFmtId="164" fontId="4" fillId="10" borderId="14" xfId="1" applyFont="1" applyFill="1" applyBorder="1" applyAlignment="1">
      <alignment horizontal="center" vertical="center"/>
    </xf>
    <xf numFmtId="0" fontId="0" fillId="12" borderId="6" xfId="0" applyFill="1" applyBorder="1"/>
    <xf numFmtId="164" fontId="11" fillId="10" borderId="6" xfId="1" applyFont="1" applyFill="1" applyBorder="1" applyAlignment="1">
      <alignment horizontal="center" vertical="center"/>
    </xf>
    <xf numFmtId="43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right" vertical="center"/>
    </xf>
    <xf numFmtId="164" fontId="11" fillId="2" borderId="6" xfId="1" applyFont="1" applyFill="1" applyBorder="1" applyAlignment="1">
      <alignment horizontal="center" vertical="center"/>
    </xf>
    <xf numFmtId="164" fontId="11" fillId="13" borderId="6" xfId="1" applyFont="1" applyFill="1" applyBorder="1" applyAlignment="1">
      <alignment horizontal="center" vertical="center"/>
    </xf>
    <xf numFmtId="0" fontId="11" fillId="13" borderId="6" xfId="0" applyFont="1" applyFill="1" applyBorder="1" applyAlignment="1">
      <alignment horizontal="center" vertical="center" wrapText="1"/>
    </xf>
    <xf numFmtId="0" fontId="11" fillId="12" borderId="6" xfId="0" applyFont="1" applyFill="1" applyBorder="1" applyAlignment="1">
      <alignment horizontal="center" vertical="center"/>
    </xf>
    <xf numFmtId="0" fontId="11" fillId="12" borderId="6" xfId="0" applyFont="1" applyFill="1" applyBorder="1" applyAlignment="1">
      <alignment horizontal="center" vertical="center" wrapText="1"/>
    </xf>
    <xf numFmtId="0" fontId="0" fillId="14" borderId="0" xfId="0" applyFill="1"/>
    <xf numFmtId="0" fontId="36" fillId="0" borderId="15" xfId="0" applyFont="1" applyBorder="1" applyAlignment="1">
      <alignment horizontal="center"/>
    </xf>
    <xf numFmtId="14" fontId="4" fillId="0" borderId="6" xfId="0" applyNumberFormat="1" applyFont="1" applyBorder="1" applyAlignment="1">
      <alignment horizontal="center" vertical="center"/>
    </xf>
    <xf numFmtId="166" fontId="4" fillId="0" borderId="6" xfId="0" applyNumberFormat="1" applyFont="1" applyBorder="1" applyAlignment="1">
      <alignment horizontal="center" vertical="center"/>
    </xf>
    <xf numFmtId="2" fontId="4" fillId="0" borderId="6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14" fontId="4" fillId="0" borderId="16" xfId="0" applyNumberFormat="1" applyFont="1" applyBorder="1" applyAlignment="1">
      <alignment horizontal="center" vertical="center"/>
    </xf>
    <xf numFmtId="2" fontId="4" fillId="0" borderId="16" xfId="0" applyNumberFormat="1" applyFont="1" applyBorder="1" applyAlignment="1">
      <alignment horizontal="center" vertical="center"/>
    </xf>
    <xf numFmtId="0" fontId="15" fillId="5" borderId="12" xfId="0" applyFont="1" applyFill="1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19" fillId="0" borderId="25" xfId="0" applyFont="1" applyBorder="1" applyAlignment="1">
      <alignment horizontal="center"/>
    </xf>
    <xf numFmtId="0" fontId="19" fillId="0" borderId="26" xfId="0" applyFont="1" applyBorder="1" applyAlignment="1">
      <alignment horizontal="center"/>
    </xf>
    <xf numFmtId="0" fontId="27" fillId="9" borderId="38" xfId="0" applyFont="1" applyFill="1" applyBorder="1" applyAlignment="1">
      <alignment horizontal="center"/>
    </xf>
    <xf numFmtId="0" fontId="27" fillId="9" borderId="39" xfId="0" applyFont="1" applyFill="1" applyBorder="1" applyAlignment="1">
      <alignment horizontal="center"/>
    </xf>
    <xf numFmtId="0" fontId="27" fillId="9" borderId="40" xfId="0" applyFont="1" applyFill="1" applyBorder="1" applyAlignment="1">
      <alignment horizontal="center"/>
    </xf>
    <xf numFmtId="0" fontId="34" fillId="9" borderId="6" xfId="0" applyFont="1" applyFill="1" applyBorder="1" applyAlignment="1">
      <alignment horizontal="center"/>
    </xf>
    <xf numFmtId="0" fontId="16" fillId="5" borderId="6" xfId="0" applyFont="1" applyFill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19" fillId="0" borderId="16" xfId="0" applyFont="1" applyBorder="1" applyAlignment="1">
      <alignment horizontal="center"/>
    </xf>
    <xf numFmtId="0" fontId="19" fillId="0" borderId="27" xfId="0" applyFont="1" applyBorder="1" applyAlignment="1">
      <alignment horizontal="center"/>
    </xf>
    <xf numFmtId="0" fontId="19" fillId="0" borderId="29" xfId="0" applyFont="1" applyBorder="1" applyAlignment="1">
      <alignment horizontal="center"/>
    </xf>
    <xf numFmtId="0" fontId="16" fillId="5" borderId="0" xfId="0" applyFont="1" applyFill="1" applyAlignment="1">
      <alignment horizontal="center" vertical="center"/>
    </xf>
    <xf numFmtId="0" fontId="16" fillId="5" borderId="6" xfId="0" applyFont="1" applyFill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16" fillId="5" borderId="12" xfId="0" applyFont="1" applyFill="1" applyBorder="1" applyAlignment="1">
      <alignment horizontal="center" vertical="center"/>
    </xf>
    <xf numFmtId="0" fontId="19" fillId="0" borderId="14" xfId="0" applyFont="1" applyBorder="1" applyAlignment="1">
      <alignment horizont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6" fillId="5" borderId="12" xfId="0" applyFont="1" applyFill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19" fillId="0" borderId="28" xfId="0" applyFont="1" applyBorder="1" applyAlignment="1">
      <alignment horizontal="center"/>
    </xf>
    <xf numFmtId="0" fontId="17" fillId="5" borderId="12" xfId="0" applyFont="1" applyFill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5" fillId="5" borderId="6" xfId="0" applyFont="1" applyFill="1" applyBorder="1" applyAlignment="1">
      <alignment horizontal="center" vertical="center"/>
    </xf>
    <xf numFmtId="43" fontId="5" fillId="0" borderId="0" xfId="0" applyNumberFormat="1" applyFont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43" fontId="5" fillId="2" borderId="13" xfId="0" applyNumberFormat="1" applyFont="1" applyFill="1" applyBorder="1" applyAlignment="1">
      <alignment horizontal="center" vertical="center"/>
    </xf>
    <xf numFmtId="43" fontId="5" fillId="2" borderId="14" xfId="0" applyNumberFormat="1" applyFont="1" applyFill="1" applyBorder="1" applyAlignment="1">
      <alignment horizontal="center" vertical="center"/>
    </xf>
    <xf numFmtId="0" fontId="16" fillId="5" borderId="6" xfId="0" applyFont="1" applyFill="1" applyBorder="1" applyAlignment="1">
      <alignment horizontal="center" wrapText="1"/>
    </xf>
    <xf numFmtId="2" fontId="16" fillId="5" borderId="6" xfId="0" applyNumberFormat="1" applyFont="1" applyFill="1" applyBorder="1" applyAlignment="1">
      <alignment horizontal="center" vertical="center"/>
    </xf>
    <xf numFmtId="2" fontId="5" fillId="2" borderId="6" xfId="0" applyNumberFormat="1" applyFont="1" applyFill="1" applyBorder="1" applyAlignment="1">
      <alignment horizontal="center" vertical="center"/>
    </xf>
    <xf numFmtId="0" fontId="16" fillId="5" borderId="0" xfId="0" applyFont="1" applyFill="1" applyAlignment="1">
      <alignment horizontal="center" wrapText="1"/>
    </xf>
    <xf numFmtId="0" fontId="5" fillId="0" borderId="25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28" xfId="0" applyBorder="1" applyAlignment="1">
      <alignment horizontal="center"/>
    </xf>
    <xf numFmtId="0" fontId="16" fillId="5" borderId="0" xfId="0" applyFont="1" applyFill="1" applyAlignment="1">
      <alignment horizontal="center"/>
    </xf>
    <xf numFmtId="0" fontId="25" fillId="6" borderId="6" xfId="0" applyFont="1" applyFill="1" applyBorder="1" applyAlignment="1">
      <alignment horizontal="center"/>
    </xf>
    <xf numFmtId="0" fontId="1" fillId="0" borderId="37" xfId="0" applyFont="1" applyBorder="1"/>
    <xf numFmtId="0" fontId="1" fillId="0" borderId="6" xfId="0" applyFont="1" applyBorder="1"/>
    <xf numFmtId="0" fontId="1" fillId="0" borderId="13" xfId="0" applyFont="1" applyBorder="1"/>
    <xf numFmtId="0" fontId="1" fillId="0" borderId="6" xfId="0" applyFont="1" applyBorder="1" applyAlignment="1">
      <alignment wrapText="1"/>
    </xf>
    <xf numFmtId="0" fontId="1" fillId="0" borderId="13" xfId="0" applyFont="1" applyBorder="1" applyAlignment="1">
      <alignment wrapText="1"/>
    </xf>
    <xf numFmtId="2" fontId="1" fillId="0" borderId="6" xfId="0" applyNumberFormat="1" applyFont="1" applyBorder="1"/>
    <xf numFmtId="2" fontId="1" fillId="0" borderId="13" xfId="0" applyNumberFormat="1" applyFont="1" applyBorder="1"/>
  </cellXfs>
  <cellStyles count="5">
    <cellStyle name="Comma" xfId="1" builtinId="3"/>
    <cellStyle name="Comma 3" xfId="2" xr:uid="{00000000-0005-0000-0000-000001000000}"/>
    <cellStyle name="Comma 4" xfId="3" xr:uid="{00000000-0005-0000-0000-000002000000}"/>
    <cellStyle name="Hyperlink" xfId="4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microsoft.com/office/2017/10/relationships/person" Target="persons/perso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IS" id="{9AA63208-B4E1-48B2-804C-CEAFD5A2E2C1}" userId="S::mis@civetprojects.com::385d0a88-2879-4baf-a915-f9a0490de5d8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18" dT="2025-06-25T07:23:23.67" personId="{9AA63208-B4E1-48B2-804C-CEAFD5A2E2C1}" id="{FA6C6D60-763F-4D25-8E11-827FD02A0C8B}">
    <text>Amount Paid 25.06.2025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L35" dT="2025-06-19T08:48:23.92" personId="{9AA63208-B4E1-48B2-804C-CEAFD5A2E2C1}" id="{2D764306-D178-476A-8312-6CBB4B698B68}">
    <text>Rewards Earned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L9" dT="2025-06-26T09:32:18.54" personId="{9AA63208-B4E1-48B2-804C-CEAFD5A2E2C1}" id="{FEC406FB-7617-421C-B1D7-B36B6262D76B}">
    <text>Redeem cash</text>
  </threadedComment>
  <threadedComment ref="L10" dT="2025-06-26T09:32:18.54" personId="{9AA63208-B4E1-48B2-804C-CEAFD5A2E2C1}" id="{F8A1D0F7-2BD3-458D-9CB2-7AEBE76D1E89}">
    <text>Redeem cash</text>
  </threadedComment>
</ThreadedComment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civetprojectss-my.sharepoint.com/:x:/g/personal/mis_civetprojects_com/EaN7JETNVtRCqKO_Lcark7UBOl55m2ikPSDC63AQ1xDxNg?e=f6qb82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67E20-622B-4D77-9106-288DCA6BFCC7}">
  <dimension ref="A1:K49"/>
  <sheetViews>
    <sheetView topLeftCell="A7" workbookViewId="0">
      <selection activeCell="E21" sqref="E21"/>
    </sheetView>
  </sheetViews>
  <sheetFormatPr defaultColWidth="20.28515625" defaultRowHeight="15"/>
  <cols>
    <col min="1" max="1" width="7.7109375" customWidth="1"/>
    <col min="2" max="2" width="23.7109375" customWidth="1"/>
    <col min="3" max="3" width="34.5703125" bestFit="1" customWidth="1"/>
    <col min="4" max="4" width="13" customWidth="1"/>
    <col min="5" max="5" width="14" customWidth="1"/>
    <col min="6" max="6" width="11.7109375" customWidth="1"/>
    <col min="7" max="7" width="13.140625" customWidth="1"/>
    <col min="8" max="8" width="14.28515625" customWidth="1"/>
    <col min="9" max="9" width="18.5703125" customWidth="1"/>
    <col min="10" max="10" width="13.7109375" customWidth="1"/>
    <col min="11" max="11" width="16.42578125" customWidth="1"/>
  </cols>
  <sheetData>
    <row r="1" spans="1:11">
      <c r="A1" s="354" t="s">
        <v>0</v>
      </c>
      <c r="B1" s="355" t="s">
        <v>1</v>
      </c>
      <c r="C1" s="355" t="s">
        <v>2</v>
      </c>
      <c r="D1" s="356" t="s">
        <v>3</v>
      </c>
      <c r="E1" s="356" t="s">
        <v>4</v>
      </c>
      <c r="F1" s="356" t="s">
        <v>5</v>
      </c>
      <c r="G1" s="356" t="s">
        <v>6</v>
      </c>
      <c r="H1" s="356" t="s">
        <v>7</v>
      </c>
      <c r="I1" s="356" t="s">
        <v>8</v>
      </c>
      <c r="J1" s="356" t="s">
        <v>9</v>
      </c>
      <c r="K1" s="357" t="s">
        <v>10</v>
      </c>
    </row>
    <row r="2" spans="1:11">
      <c r="A2" s="490">
        <v>1</v>
      </c>
      <c r="B2" s="491" t="s">
        <v>11</v>
      </c>
      <c r="C2" s="492" t="s">
        <v>12</v>
      </c>
      <c r="D2" s="6">
        <v>11984.26</v>
      </c>
      <c r="E2" s="6">
        <v>1146653.9968000001</v>
      </c>
      <c r="F2" s="6">
        <v>130</v>
      </c>
      <c r="G2" s="6">
        <v>13969.8</v>
      </c>
      <c r="H2" s="6">
        <f>E2+G2</f>
        <v>1160623.7968000001</v>
      </c>
      <c r="I2" s="6">
        <v>5140597</v>
      </c>
      <c r="J2" s="6">
        <v>2500000</v>
      </c>
      <c r="K2" s="359">
        <f>I2+H2-J2</f>
        <v>3801220.7968000006</v>
      </c>
    </row>
    <row r="3" spans="1:11">
      <c r="A3" s="490">
        <v>2</v>
      </c>
      <c r="B3" s="491" t="s">
        <v>13</v>
      </c>
      <c r="C3" s="492" t="s">
        <v>14</v>
      </c>
      <c r="D3" s="6">
        <v>118512.26</v>
      </c>
      <c r="E3" s="6">
        <v>11339228.036800001</v>
      </c>
      <c r="F3" s="6">
        <v>535</v>
      </c>
      <c r="G3" s="6">
        <v>57491.099999999991</v>
      </c>
      <c r="H3" s="6">
        <f>E3+G3</f>
        <v>11396719.1368</v>
      </c>
      <c r="I3" s="6">
        <v>3730421</v>
      </c>
      <c r="J3" s="6">
        <v>1500000</v>
      </c>
      <c r="K3" s="359">
        <f>I3+H3-J3</f>
        <v>13627140.1368</v>
      </c>
    </row>
    <row r="4" spans="1:11">
      <c r="A4" s="490">
        <v>3</v>
      </c>
      <c r="B4" s="491" t="s">
        <v>15</v>
      </c>
      <c r="C4" s="492" t="s">
        <v>16</v>
      </c>
      <c r="D4" s="6">
        <v>33155.089999999997</v>
      </c>
      <c r="E4" s="6">
        <v>3172942.1129999999</v>
      </c>
      <c r="F4" s="6">
        <v>70</v>
      </c>
      <c r="G4" s="6">
        <v>7523.6</v>
      </c>
      <c r="H4" s="6">
        <f>E4+G4</f>
        <v>3180465.713</v>
      </c>
      <c r="I4" s="6">
        <v>8891075.4399999995</v>
      </c>
      <c r="J4" s="6">
        <v>2000000</v>
      </c>
      <c r="K4" s="359">
        <f>I4+H4-J4</f>
        <v>10071541.152999999</v>
      </c>
    </row>
    <row r="5" spans="1:11">
      <c r="A5" s="490">
        <v>4</v>
      </c>
      <c r="B5" s="491" t="s">
        <v>17</v>
      </c>
      <c r="C5" s="492" t="s">
        <v>18</v>
      </c>
      <c r="D5" s="6">
        <v>6550.84</v>
      </c>
      <c r="E5" s="6">
        <v>631631.99279999989</v>
      </c>
      <c r="F5" s="6">
        <v>305.75</v>
      </c>
      <c r="G5" s="6">
        <v>33091.322500000002</v>
      </c>
      <c r="H5" s="6">
        <f>E5+G5</f>
        <v>664723.3152999999</v>
      </c>
      <c r="I5" s="6">
        <v>1966837.0260999999</v>
      </c>
      <c r="J5" s="6">
        <v>0</v>
      </c>
      <c r="K5" s="359">
        <f>I5+H5-J5</f>
        <v>2631560.3413999998</v>
      </c>
    </row>
    <row r="6" spans="1:11">
      <c r="A6" s="490">
        <v>5</v>
      </c>
      <c r="B6" s="491" t="s">
        <v>19</v>
      </c>
      <c r="C6" s="492" t="s">
        <v>20</v>
      </c>
      <c r="D6" s="6">
        <v>0</v>
      </c>
      <c r="E6" s="6">
        <v>0</v>
      </c>
      <c r="F6" s="6">
        <v>0</v>
      </c>
      <c r="G6" s="6">
        <v>0</v>
      </c>
      <c r="H6" s="6">
        <f>E6+G6</f>
        <v>0</v>
      </c>
      <c r="I6" s="6">
        <v>1832240.6062999999</v>
      </c>
      <c r="J6" s="6">
        <v>0</v>
      </c>
      <c r="K6" s="359">
        <f>I6+H6-J6</f>
        <v>1832240.6062999999</v>
      </c>
    </row>
    <row r="7" spans="1:11">
      <c r="A7" s="490">
        <v>6</v>
      </c>
      <c r="B7" s="491" t="s">
        <v>21</v>
      </c>
      <c r="C7" s="492" t="s">
        <v>22</v>
      </c>
      <c r="D7" s="6">
        <v>4040</v>
      </c>
      <c r="E7" s="6">
        <v>389092.4</v>
      </c>
      <c r="F7" s="6">
        <v>0</v>
      </c>
      <c r="G7" s="6">
        <v>0</v>
      </c>
      <c r="H7" s="6">
        <f>E7+G7</f>
        <v>389092.4</v>
      </c>
      <c r="I7" s="6">
        <v>0</v>
      </c>
      <c r="J7" s="6">
        <v>0</v>
      </c>
      <c r="K7" s="359">
        <f>I7+H7-J7</f>
        <v>389092.4</v>
      </c>
    </row>
    <row r="8" spans="1:11">
      <c r="A8" s="490">
        <v>7</v>
      </c>
      <c r="B8" s="491" t="s">
        <v>23</v>
      </c>
      <c r="C8" s="492" t="s">
        <v>24</v>
      </c>
      <c r="D8" s="6">
        <v>11600</v>
      </c>
      <c r="E8" s="6">
        <v>1118588</v>
      </c>
      <c r="F8" s="6">
        <v>0</v>
      </c>
      <c r="G8" s="6">
        <v>0</v>
      </c>
      <c r="H8" s="6">
        <f>E8+G8</f>
        <v>1118588</v>
      </c>
      <c r="I8" s="6">
        <v>0</v>
      </c>
      <c r="J8" s="6">
        <v>0</v>
      </c>
      <c r="K8" s="359">
        <f>I8+H8-J8</f>
        <v>1118588</v>
      </c>
    </row>
    <row r="9" spans="1:11">
      <c r="A9" s="490">
        <v>8</v>
      </c>
      <c r="B9" s="491" t="s">
        <v>25</v>
      </c>
      <c r="C9" s="492" t="s">
        <v>26</v>
      </c>
      <c r="D9" s="6">
        <v>4185.96</v>
      </c>
      <c r="E9" s="6">
        <v>403359.10560000001</v>
      </c>
      <c r="F9" s="6">
        <v>62</v>
      </c>
      <c r="G9" s="6">
        <v>6706.54</v>
      </c>
      <c r="H9" s="6">
        <f>E9+G9</f>
        <v>410065.64559999999</v>
      </c>
      <c r="I9" s="6">
        <v>1004531.9846000002</v>
      </c>
      <c r="J9" s="6">
        <v>1414699.8099999998</v>
      </c>
      <c r="K9" s="359">
        <v>0</v>
      </c>
    </row>
    <row r="10" spans="1:11">
      <c r="A10" s="490">
        <v>9</v>
      </c>
      <c r="B10" s="491" t="s">
        <v>27</v>
      </c>
      <c r="C10" s="492" t="s">
        <v>28</v>
      </c>
      <c r="D10" s="6">
        <v>165</v>
      </c>
      <c r="E10" s="6">
        <v>15912</v>
      </c>
      <c r="F10" s="6">
        <v>16</v>
      </c>
      <c r="G10" s="6">
        <v>1732.96</v>
      </c>
      <c r="H10" s="6">
        <f>E10+G10</f>
        <v>17644.96</v>
      </c>
      <c r="I10" s="6">
        <v>0</v>
      </c>
      <c r="J10" s="6">
        <v>17644.96</v>
      </c>
      <c r="K10" s="359">
        <f t="shared" ref="K9:K40" si="0">I10+H10-J10</f>
        <v>0</v>
      </c>
    </row>
    <row r="11" spans="1:11">
      <c r="A11" s="490">
        <v>10</v>
      </c>
      <c r="B11" s="491" t="s">
        <v>29</v>
      </c>
      <c r="C11" s="492" t="s">
        <v>30</v>
      </c>
      <c r="D11" s="6">
        <v>40</v>
      </c>
      <c r="E11" s="6">
        <v>3849</v>
      </c>
      <c r="F11" s="6">
        <v>0</v>
      </c>
      <c r="G11" s="6">
        <v>0</v>
      </c>
      <c r="H11" s="6">
        <f>E11+G11</f>
        <v>3849</v>
      </c>
      <c r="I11" s="6">
        <v>0</v>
      </c>
      <c r="J11" s="6">
        <v>3849</v>
      </c>
      <c r="K11" s="359">
        <f t="shared" si="0"/>
        <v>0</v>
      </c>
    </row>
    <row r="12" spans="1:11">
      <c r="A12" s="490">
        <v>11</v>
      </c>
      <c r="B12" s="491" t="s">
        <v>31</v>
      </c>
      <c r="C12" s="492" t="s">
        <v>32</v>
      </c>
      <c r="D12" s="6">
        <v>1459.79</v>
      </c>
      <c r="E12" s="6">
        <v>140476</v>
      </c>
      <c r="F12" s="6">
        <v>16</v>
      </c>
      <c r="G12" s="6">
        <v>1732.96</v>
      </c>
      <c r="H12" s="6">
        <f>E12+G12</f>
        <v>142208.95999999999</v>
      </c>
      <c r="I12" s="6">
        <v>0</v>
      </c>
      <c r="J12" s="6">
        <v>142208.95999999999</v>
      </c>
      <c r="K12" s="359">
        <f t="shared" si="0"/>
        <v>0</v>
      </c>
    </row>
    <row r="13" spans="1:11">
      <c r="A13" s="490">
        <v>12</v>
      </c>
      <c r="B13" s="491" t="s">
        <v>33</v>
      </c>
      <c r="C13" s="492" t="s">
        <v>34</v>
      </c>
      <c r="D13" s="6">
        <v>3800</v>
      </c>
      <c r="E13" s="6">
        <v>346940</v>
      </c>
      <c r="F13" s="6">
        <v>385</v>
      </c>
      <c r="G13" s="6">
        <v>39747.399999999994</v>
      </c>
      <c r="H13" s="6">
        <f>E13+G13</f>
        <v>386687.4</v>
      </c>
      <c r="I13" s="6">
        <v>244365</v>
      </c>
      <c r="J13" s="6">
        <v>299920</v>
      </c>
      <c r="K13" s="359">
        <f t="shared" si="0"/>
        <v>331132.40000000002</v>
      </c>
    </row>
    <row r="14" spans="1:11">
      <c r="A14" s="490">
        <v>13</v>
      </c>
      <c r="B14" s="491" t="s">
        <v>35</v>
      </c>
      <c r="C14" s="492" t="s">
        <v>36</v>
      </c>
      <c r="D14" s="6">
        <v>4500</v>
      </c>
      <c r="E14" s="6">
        <v>412380</v>
      </c>
      <c r="F14" s="6">
        <v>140</v>
      </c>
      <c r="G14" s="6">
        <v>14777</v>
      </c>
      <c r="H14" s="6">
        <f>E14+G14</f>
        <v>427157</v>
      </c>
      <c r="I14" s="6">
        <v>0</v>
      </c>
      <c r="J14" s="6">
        <v>150000</v>
      </c>
      <c r="K14" s="359">
        <f t="shared" si="0"/>
        <v>277157</v>
      </c>
    </row>
    <row r="15" spans="1:11">
      <c r="A15" s="490">
        <v>14</v>
      </c>
      <c r="B15" s="491" t="s">
        <v>37</v>
      </c>
      <c r="C15" s="492" t="s">
        <v>38</v>
      </c>
      <c r="D15" s="6">
        <v>2000</v>
      </c>
      <c r="E15" s="6">
        <v>182780</v>
      </c>
      <c r="F15" s="6">
        <v>135</v>
      </c>
      <c r="G15" s="6">
        <v>13967.1</v>
      </c>
      <c r="H15" s="6">
        <f>E15+G15</f>
        <v>196747.1</v>
      </c>
      <c r="I15" s="6">
        <v>151569.40000000002</v>
      </c>
      <c r="J15" s="6">
        <v>150000</v>
      </c>
      <c r="K15" s="359">
        <f t="shared" si="0"/>
        <v>198316.5</v>
      </c>
    </row>
    <row r="16" spans="1:11">
      <c r="A16" s="490">
        <v>15</v>
      </c>
      <c r="B16" s="493" t="s">
        <v>39</v>
      </c>
      <c r="C16" s="494" t="s">
        <v>40</v>
      </c>
      <c r="D16" s="6">
        <v>3277.82</v>
      </c>
      <c r="E16" s="6">
        <v>301888</v>
      </c>
      <c r="F16" s="6">
        <v>138</v>
      </c>
      <c r="G16" s="6">
        <v>14332</v>
      </c>
      <c r="H16" s="6">
        <f>E16+G16</f>
        <v>316220</v>
      </c>
      <c r="I16" s="6">
        <v>96655</v>
      </c>
      <c r="J16" s="6">
        <v>385490</v>
      </c>
      <c r="K16" s="359">
        <f t="shared" si="0"/>
        <v>27385</v>
      </c>
    </row>
    <row r="17" spans="1:11">
      <c r="A17" s="490">
        <v>16</v>
      </c>
      <c r="B17" s="491" t="s">
        <v>41</v>
      </c>
      <c r="C17" s="492" t="s">
        <v>42</v>
      </c>
      <c r="D17" s="6">
        <v>2000</v>
      </c>
      <c r="E17" s="6">
        <v>182300</v>
      </c>
      <c r="F17" s="6">
        <v>145</v>
      </c>
      <c r="G17" s="6">
        <v>15119.149999999998</v>
      </c>
      <c r="H17" s="6">
        <f>E17+G17</f>
        <v>197419.15</v>
      </c>
      <c r="I17" s="6">
        <v>578097.65</v>
      </c>
      <c r="J17" s="6">
        <v>0</v>
      </c>
      <c r="K17" s="359">
        <f t="shared" si="0"/>
        <v>775516.8</v>
      </c>
    </row>
    <row r="18" spans="1:11">
      <c r="A18" s="490">
        <v>17</v>
      </c>
      <c r="B18" s="491" t="s">
        <v>43</v>
      </c>
      <c r="C18" s="492" t="s">
        <v>44</v>
      </c>
      <c r="D18" s="6">
        <v>2400</v>
      </c>
      <c r="E18" s="6">
        <v>221040</v>
      </c>
      <c r="F18" s="6">
        <v>210</v>
      </c>
      <c r="G18" s="6">
        <v>21810.6</v>
      </c>
      <c r="H18" s="6">
        <f>E18+G18</f>
        <v>242850.6</v>
      </c>
      <c r="I18" s="6">
        <v>237520</v>
      </c>
      <c r="J18" s="6">
        <v>250000</v>
      </c>
      <c r="K18" s="359">
        <f t="shared" si="0"/>
        <v>230370.59999999998</v>
      </c>
    </row>
    <row r="19" spans="1:11">
      <c r="A19" s="490">
        <v>18</v>
      </c>
      <c r="B19" s="491" t="s">
        <v>45</v>
      </c>
      <c r="C19" s="492" t="s">
        <v>46</v>
      </c>
      <c r="D19" s="6">
        <v>2045</v>
      </c>
      <c r="E19" s="6">
        <v>188324.05</v>
      </c>
      <c r="F19" s="6">
        <v>125</v>
      </c>
      <c r="G19" s="6">
        <v>12982.5</v>
      </c>
      <c r="H19" s="6">
        <f>E19+G19</f>
        <v>201306.55</v>
      </c>
      <c r="I19" s="6">
        <v>0</v>
      </c>
      <c r="J19" s="6">
        <v>201306.55</v>
      </c>
      <c r="K19" s="359">
        <f t="shared" si="0"/>
        <v>0</v>
      </c>
    </row>
    <row r="20" spans="1:11">
      <c r="A20" s="490">
        <v>19</v>
      </c>
      <c r="B20" s="491" t="s">
        <v>47</v>
      </c>
      <c r="C20" s="492" t="s">
        <v>48</v>
      </c>
      <c r="D20" s="6">
        <v>169</v>
      </c>
      <c r="E20" s="6">
        <v>15411.11</v>
      </c>
      <c r="F20" s="6">
        <v>16.25</v>
      </c>
      <c r="G20" s="6">
        <v>1669.23</v>
      </c>
      <c r="H20" s="6">
        <f>E20+G20</f>
        <v>17080.34</v>
      </c>
      <c r="I20" s="6">
        <v>0</v>
      </c>
      <c r="J20" s="6">
        <v>17080.34</v>
      </c>
      <c r="K20" s="359">
        <f t="shared" si="0"/>
        <v>0</v>
      </c>
    </row>
    <row r="21" spans="1:11">
      <c r="A21" s="490">
        <v>20</v>
      </c>
      <c r="B21" s="491" t="s">
        <v>49</v>
      </c>
      <c r="C21" s="492" t="s">
        <v>50</v>
      </c>
      <c r="D21" s="6">
        <v>14283.35</v>
      </c>
      <c r="E21" s="6">
        <v>1303412.121</v>
      </c>
      <c r="F21" s="6">
        <v>127</v>
      </c>
      <c r="G21" s="6">
        <v>13103.86</v>
      </c>
      <c r="H21" s="6">
        <f>E21+G21</f>
        <v>1316515.9810000001</v>
      </c>
      <c r="I21" s="6">
        <v>58857</v>
      </c>
      <c r="J21" s="6">
        <v>1134279.8999999999</v>
      </c>
      <c r="K21" s="359">
        <f t="shared" si="0"/>
        <v>241093.08100000024</v>
      </c>
    </row>
    <row r="22" spans="1:11">
      <c r="A22" s="490">
        <v>21</v>
      </c>
      <c r="B22" s="491" t="s">
        <v>51</v>
      </c>
      <c r="C22" s="492" t="s">
        <v>52</v>
      </c>
      <c r="D22" s="6">
        <v>230</v>
      </c>
      <c r="E22" s="6">
        <v>21108.629999999997</v>
      </c>
      <c r="F22" s="6">
        <v>31</v>
      </c>
      <c r="G22" s="6">
        <v>3215.63</v>
      </c>
      <c r="H22" s="6">
        <f>E22+G22</f>
        <v>24324.26</v>
      </c>
      <c r="I22" s="6">
        <v>234525.2237</v>
      </c>
      <c r="J22" s="6">
        <v>251844.75</v>
      </c>
      <c r="K22" s="359">
        <f t="shared" si="0"/>
        <v>7004.7337000000116</v>
      </c>
    </row>
    <row r="23" spans="1:11">
      <c r="A23" s="490">
        <v>22</v>
      </c>
      <c r="B23" s="491" t="s">
        <v>53</v>
      </c>
      <c r="C23" s="492" t="s">
        <v>54</v>
      </c>
      <c r="D23" s="6">
        <v>2571.8999999999996</v>
      </c>
      <c r="E23" s="6">
        <v>236431.70699999999</v>
      </c>
      <c r="F23" s="6">
        <v>123</v>
      </c>
      <c r="G23" s="6">
        <v>12778.47</v>
      </c>
      <c r="H23" s="6">
        <f>E23+G23</f>
        <v>249210.177</v>
      </c>
      <c r="I23" s="6">
        <v>273174.2227000001</v>
      </c>
      <c r="J23" s="6">
        <v>310000</v>
      </c>
      <c r="K23" s="359">
        <f t="shared" si="0"/>
        <v>212384.39970000007</v>
      </c>
    </row>
    <row r="24" spans="1:11">
      <c r="A24" s="490">
        <v>23</v>
      </c>
      <c r="B24" s="491" t="s">
        <v>55</v>
      </c>
      <c r="C24" s="492" t="s">
        <v>56</v>
      </c>
      <c r="D24" s="6">
        <v>509.02</v>
      </c>
      <c r="E24" s="6">
        <v>46621.141799999998</v>
      </c>
      <c r="F24" s="6">
        <v>11.56</v>
      </c>
      <c r="G24" s="6">
        <v>1196.8068000000001</v>
      </c>
      <c r="H24" s="6">
        <f>E24+G24</f>
        <v>47817.948599999996</v>
      </c>
      <c r="I24" s="6">
        <v>0</v>
      </c>
      <c r="J24" s="6">
        <v>47817.948600000003</v>
      </c>
      <c r="K24" s="359">
        <f t="shared" si="0"/>
        <v>0</v>
      </c>
    </row>
    <row r="25" spans="1:11">
      <c r="A25" s="490">
        <v>24</v>
      </c>
      <c r="B25" s="491" t="s">
        <v>57</v>
      </c>
      <c r="C25" s="492" t="s">
        <v>58</v>
      </c>
      <c r="D25" s="6">
        <v>760.32999999999993</v>
      </c>
      <c r="E25" s="6">
        <v>69889.53360000001</v>
      </c>
      <c r="F25" s="6">
        <v>47.46</v>
      </c>
      <c r="G25" s="6">
        <v>4933.9415999999992</v>
      </c>
      <c r="H25" s="6">
        <f>E25+G25</f>
        <v>74823.475200000015</v>
      </c>
      <c r="I25" s="6"/>
      <c r="J25" s="6">
        <v>74823.475200000001</v>
      </c>
      <c r="K25" s="359">
        <f t="shared" si="0"/>
        <v>0</v>
      </c>
    </row>
    <row r="26" spans="1:11">
      <c r="A26" s="490">
        <v>25</v>
      </c>
      <c r="B26" s="491" t="s">
        <v>59</v>
      </c>
      <c r="C26" s="492" t="s">
        <v>60</v>
      </c>
      <c r="D26" s="6">
        <v>597.14</v>
      </c>
      <c r="E26" s="6">
        <v>54712.182000000001</v>
      </c>
      <c r="F26" s="6">
        <v>13.520000000000001</v>
      </c>
      <c r="G26" s="6">
        <v>1419.4272000000001</v>
      </c>
      <c r="H26" s="6">
        <f>E26+G26</f>
        <v>56131.609199999999</v>
      </c>
      <c r="I26" s="6">
        <v>4528.49</v>
      </c>
      <c r="J26" s="6">
        <v>49930.510699999999</v>
      </c>
      <c r="K26" s="359">
        <f t="shared" si="0"/>
        <v>10729.588499999998</v>
      </c>
    </row>
    <row r="27" spans="1:11">
      <c r="A27" s="490">
        <v>26</v>
      </c>
      <c r="B27" s="491" t="s">
        <v>61</v>
      </c>
      <c r="C27" s="492" t="s">
        <v>62</v>
      </c>
      <c r="D27" s="6">
        <v>25450</v>
      </c>
      <c r="E27" s="6">
        <v>2319513</v>
      </c>
      <c r="F27" s="6">
        <v>75</v>
      </c>
      <c r="G27" s="6">
        <v>7845</v>
      </c>
      <c r="H27" s="6">
        <f>E27+G27</f>
        <v>2327358</v>
      </c>
      <c r="I27" s="6">
        <v>1668531</v>
      </c>
      <c r="J27" s="6">
        <v>2000000</v>
      </c>
      <c r="K27" s="359">
        <f t="shared" si="0"/>
        <v>1995889</v>
      </c>
    </row>
    <row r="28" spans="1:11">
      <c r="A28" s="490">
        <v>27</v>
      </c>
      <c r="B28" s="491" t="s">
        <v>63</v>
      </c>
      <c r="C28" s="492" t="s">
        <v>64</v>
      </c>
      <c r="D28" s="6">
        <v>944.45999999999992</v>
      </c>
      <c r="E28" s="6">
        <v>86389.756199999989</v>
      </c>
      <c r="F28" s="6">
        <v>63.01</v>
      </c>
      <c r="G28" s="6">
        <v>6517.1243000000004</v>
      </c>
      <c r="H28" s="6">
        <f>E28+G28</f>
        <v>92906.880499999985</v>
      </c>
      <c r="I28" s="6">
        <v>90058</v>
      </c>
      <c r="J28" s="6">
        <v>115444</v>
      </c>
      <c r="K28" s="359">
        <f t="shared" si="0"/>
        <v>67520.88049999997</v>
      </c>
    </row>
    <row r="29" spans="1:11">
      <c r="A29" s="490">
        <v>28</v>
      </c>
      <c r="B29" s="491" t="s">
        <v>65</v>
      </c>
      <c r="C29" s="492" t="s">
        <v>66</v>
      </c>
      <c r="D29" s="6">
        <v>935.89</v>
      </c>
      <c r="E29" s="6">
        <v>85914.702000000005</v>
      </c>
      <c r="F29" s="6">
        <v>40</v>
      </c>
      <c r="G29" s="6">
        <v>4150.4000000000005</v>
      </c>
      <c r="H29" s="6">
        <f>E29+G29</f>
        <v>90065.101999999999</v>
      </c>
      <c r="I29" s="6"/>
      <c r="J29" s="6">
        <v>90065.101999999999</v>
      </c>
      <c r="K29" s="359">
        <f t="shared" si="0"/>
        <v>0</v>
      </c>
    </row>
    <row r="30" spans="1:11">
      <c r="A30" s="490">
        <v>29</v>
      </c>
      <c r="B30" s="491" t="s">
        <v>67</v>
      </c>
      <c r="C30" s="492" t="s">
        <v>68</v>
      </c>
      <c r="D30" s="6">
        <v>1032.57</v>
      </c>
      <c r="E30" s="6">
        <v>95037.742800000007</v>
      </c>
      <c r="F30" s="6">
        <v>45</v>
      </c>
      <c r="G30" s="6">
        <v>4680.8999999999996</v>
      </c>
      <c r="H30" s="6">
        <f>E30+G30</f>
        <v>99718.642800000001</v>
      </c>
      <c r="I30" s="6"/>
      <c r="J30" s="6">
        <v>99718.642800000016</v>
      </c>
      <c r="K30" s="359">
        <f t="shared" si="0"/>
        <v>0</v>
      </c>
    </row>
    <row r="31" spans="1:11">
      <c r="A31" s="490">
        <v>30</v>
      </c>
      <c r="B31" s="491" t="s">
        <v>69</v>
      </c>
      <c r="C31" s="492" t="s">
        <v>70</v>
      </c>
      <c r="D31" s="6">
        <v>60</v>
      </c>
      <c r="E31" s="6">
        <v>5509.8</v>
      </c>
      <c r="F31" s="6">
        <v>18</v>
      </c>
      <c r="G31" s="6">
        <v>1868.4</v>
      </c>
      <c r="H31" s="6">
        <f>E31+G31</f>
        <v>7378.2000000000007</v>
      </c>
      <c r="I31" s="6">
        <v>30323</v>
      </c>
      <c r="J31" s="6">
        <v>7378.2000000000007</v>
      </c>
      <c r="K31" s="359">
        <f t="shared" si="0"/>
        <v>30322.999999999996</v>
      </c>
    </row>
    <row r="32" spans="1:11">
      <c r="A32" s="490">
        <v>31</v>
      </c>
      <c r="B32" s="495" t="s">
        <v>71</v>
      </c>
      <c r="C32" s="496" t="s">
        <v>72</v>
      </c>
      <c r="D32" s="6">
        <v>0</v>
      </c>
      <c r="E32" s="6">
        <v>0</v>
      </c>
      <c r="F32" s="6">
        <v>0</v>
      </c>
      <c r="G32" s="6">
        <v>0</v>
      </c>
      <c r="H32" s="6">
        <f t="shared" ref="H30:H35" si="1">E32+G32</f>
        <v>0</v>
      </c>
      <c r="I32" s="6">
        <v>1036347.3179000001</v>
      </c>
      <c r="J32" s="6">
        <v>400000</v>
      </c>
      <c r="K32" s="359">
        <f t="shared" si="0"/>
        <v>636347.31790000014</v>
      </c>
    </row>
    <row r="33" spans="1:11">
      <c r="A33" s="490">
        <v>32</v>
      </c>
      <c r="B33" s="495" t="s">
        <v>73</v>
      </c>
      <c r="C33" s="496" t="s">
        <v>74</v>
      </c>
      <c r="D33" s="6">
        <v>11163.57</v>
      </c>
      <c r="E33" s="6">
        <v>1021243.3835999999</v>
      </c>
      <c r="F33" s="6">
        <v>271</v>
      </c>
      <c r="G33" s="6">
        <v>28024.109999999997</v>
      </c>
      <c r="H33" s="6">
        <f>E33+G33</f>
        <v>1049267.4935999999</v>
      </c>
      <c r="I33" s="6">
        <v>473791</v>
      </c>
      <c r="J33" s="6">
        <v>300000</v>
      </c>
      <c r="K33" s="359">
        <f t="shared" si="0"/>
        <v>1223058.4935999999</v>
      </c>
    </row>
    <row r="34" spans="1:11">
      <c r="A34" s="490">
        <v>33</v>
      </c>
      <c r="B34" s="495" t="s">
        <v>75</v>
      </c>
      <c r="C34" s="496" t="s">
        <v>76</v>
      </c>
      <c r="D34" s="6">
        <v>0</v>
      </c>
      <c r="E34" s="6">
        <v>0</v>
      </c>
      <c r="F34" s="6">
        <v>4.82</v>
      </c>
      <c r="G34" s="6">
        <v>499.98</v>
      </c>
      <c r="H34" s="6">
        <f>E34+G34</f>
        <v>499.98</v>
      </c>
      <c r="I34" s="6">
        <v>0</v>
      </c>
      <c r="J34" s="6">
        <v>499.98</v>
      </c>
      <c r="K34" s="359">
        <f t="shared" si="0"/>
        <v>0</v>
      </c>
    </row>
    <row r="35" spans="1:11">
      <c r="A35" s="490">
        <v>34</v>
      </c>
      <c r="B35" s="495" t="s">
        <v>77</v>
      </c>
      <c r="C35" s="496" t="s">
        <v>78</v>
      </c>
      <c r="D35" s="6">
        <v>152.92000000000002</v>
      </c>
      <c r="E35" s="6">
        <v>13949.9288</v>
      </c>
      <c r="F35" s="6">
        <v>37.28</v>
      </c>
      <c r="G35" s="6">
        <v>3857.5144</v>
      </c>
      <c r="H35" s="6">
        <f t="shared" ref="H35:H42" si="2">E35+G35</f>
        <v>17807.443200000002</v>
      </c>
      <c r="I35" s="6">
        <v>0</v>
      </c>
      <c r="J35" s="6">
        <v>17807.443200000002</v>
      </c>
      <c r="K35" s="359">
        <f t="shared" si="0"/>
        <v>0</v>
      </c>
    </row>
    <row r="36" spans="1:11">
      <c r="A36" s="490">
        <v>35</v>
      </c>
      <c r="B36" s="495" t="s">
        <v>79</v>
      </c>
      <c r="C36" s="496" t="s">
        <v>80</v>
      </c>
      <c r="D36" s="6">
        <v>637.80000000000007</v>
      </c>
      <c r="E36" s="6">
        <v>58358.7</v>
      </c>
      <c r="F36" s="6">
        <v>61.989999999999995</v>
      </c>
      <c r="G36" s="6">
        <v>5912.6304</v>
      </c>
      <c r="H36" s="6">
        <f t="shared" si="2"/>
        <v>64271.330399999999</v>
      </c>
      <c r="I36" s="6">
        <v>0</v>
      </c>
      <c r="J36" s="6">
        <v>64271.330399999999</v>
      </c>
      <c r="K36" s="359">
        <f t="shared" si="0"/>
        <v>0</v>
      </c>
    </row>
    <row r="37" spans="1:11">
      <c r="A37" s="490">
        <v>36</v>
      </c>
      <c r="B37" s="495" t="s">
        <v>81</v>
      </c>
      <c r="C37" s="496" t="s">
        <v>82</v>
      </c>
      <c r="D37" s="6">
        <v>577.29</v>
      </c>
      <c r="E37" s="6">
        <v>52088.876700000008</v>
      </c>
      <c r="F37" s="6">
        <v>43.88</v>
      </c>
      <c r="G37" s="6">
        <v>4482.7807999999995</v>
      </c>
      <c r="H37" s="6">
        <f t="shared" si="2"/>
        <v>56571.657500000008</v>
      </c>
      <c r="I37" s="6">
        <v>192780</v>
      </c>
      <c r="J37" s="6">
        <v>192780</v>
      </c>
      <c r="K37" s="359">
        <f t="shared" si="0"/>
        <v>56571.657500000001</v>
      </c>
    </row>
    <row r="38" spans="1:11">
      <c r="A38" s="490">
        <v>37</v>
      </c>
      <c r="B38" s="495" t="s">
        <v>83</v>
      </c>
      <c r="C38" s="496" t="s">
        <v>84</v>
      </c>
      <c r="D38" s="6">
        <v>138</v>
      </c>
      <c r="E38" s="6">
        <v>12589.74</v>
      </c>
      <c r="F38" s="6">
        <v>0</v>
      </c>
      <c r="G38" s="6">
        <v>0</v>
      </c>
      <c r="H38" s="6">
        <f t="shared" si="2"/>
        <v>12589.74</v>
      </c>
      <c r="I38" s="6">
        <v>0</v>
      </c>
      <c r="J38" s="6">
        <v>12589.74</v>
      </c>
      <c r="K38" s="359">
        <f t="shared" si="0"/>
        <v>0</v>
      </c>
    </row>
    <row r="39" spans="1:11">
      <c r="A39" s="490">
        <v>38</v>
      </c>
      <c r="B39" s="495" t="s">
        <v>85</v>
      </c>
      <c r="C39" s="496" t="s">
        <v>86</v>
      </c>
      <c r="D39" s="6">
        <v>98.41</v>
      </c>
      <c r="E39" s="6">
        <v>8999.5944999999992</v>
      </c>
      <c r="F39" s="6">
        <v>33.809999999999995</v>
      </c>
      <c r="G39" s="6">
        <v>3495.6159000000002</v>
      </c>
      <c r="H39" s="6">
        <f t="shared" si="2"/>
        <v>12495.2104</v>
      </c>
      <c r="I39" s="6">
        <v>0</v>
      </c>
      <c r="J39" s="6">
        <v>12495.2104</v>
      </c>
      <c r="K39" s="359">
        <f t="shared" si="0"/>
        <v>0</v>
      </c>
    </row>
    <row r="40" spans="1:11">
      <c r="A40" s="490">
        <v>39</v>
      </c>
      <c r="B40" s="495" t="s">
        <v>87</v>
      </c>
      <c r="C40" s="496" t="s">
        <v>88</v>
      </c>
      <c r="D40" s="6">
        <v>35.03</v>
      </c>
      <c r="E40" s="6">
        <v>3199.2898999999998</v>
      </c>
      <c r="F40" s="6">
        <v>30.919999999999998</v>
      </c>
      <c r="G40" s="6">
        <v>3192.7992000000004</v>
      </c>
      <c r="H40" s="6">
        <f t="shared" si="2"/>
        <v>6392.0891000000001</v>
      </c>
      <c r="I40" s="6">
        <v>0</v>
      </c>
      <c r="J40" s="6">
        <v>6392.0891000000001</v>
      </c>
      <c r="K40" s="359">
        <f t="shared" si="0"/>
        <v>0</v>
      </c>
    </row>
    <row r="41" spans="1:11">
      <c r="A41" s="490">
        <v>40</v>
      </c>
      <c r="B41" s="495" t="s">
        <v>89</v>
      </c>
      <c r="C41" s="496" t="s">
        <v>90</v>
      </c>
      <c r="D41" s="6">
        <v>71.77</v>
      </c>
      <c r="E41" s="6">
        <v>6500.2088999999987</v>
      </c>
      <c r="F41" s="6">
        <v>35.130000000000003</v>
      </c>
      <c r="G41" s="6">
        <v>3599.4198000000001</v>
      </c>
      <c r="H41" s="6">
        <f t="shared" si="2"/>
        <v>10099.628699999999</v>
      </c>
      <c r="I41" s="6">
        <v>0</v>
      </c>
      <c r="J41" s="6">
        <v>10099.628699999999</v>
      </c>
      <c r="K41" s="359">
        <f>I41+H41-J41</f>
        <v>0</v>
      </c>
    </row>
    <row r="42" spans="1:11">
      <c r="A42" s="490">
        <v>41</v>
      </c>
      <c r="B42" s="495" t="s">
        <v>91</v>
      </c>
      <c r="C42" s="496" t="s">
        <v>92</v>
      </c>
      <c r="D42" s="6">
        <v>436.89</v>
      </c>
      <c r="E42" s="6">
        <v>40027.861800000006</v>
      </c>
      <c r="F42" s="6">
        <v>21.25</v>
      </c>
      <c r="G42" s="6">
        <v>2200.8625000000002</v>
      </c>
      <c r="H42" s="6">
        <f t="shared" si="2"/>
        <v>42228.724300000009</v>
      </c>
      <c r="I42" s="6">
        <v>48315</v>
      </c>
      <c r="J42" s="6">
        <v>90535.84</v>
      </c>
      <c r="K42" s="359">
        <f>I42+H42-J42</f>
        <v>7.8843000000051688</v>
      </c>
    </row>
    <row r="43" spans="1:11">
      <c r="A43" s="448" t="s">
        <v>93</v>
      </c>
      <c r="B43" s="449"/>
      <c r="C43" s="450"/>
      <c r="D43" s="358">
        <f>SUM(D2:D42)</f>
        <v>272571.36</v>
      </c>
      <c r="E43" s="358">
        <f>SUM(E2:E42)</f>
        <v>25754293.705600001</v>
      </c>
      <c r="F43" s="358">
        <f>SUM(F2:F42)</f>
        <v>3563.6300000000006</v>
      </c>
      <c r="G43" s="358">
        <f>SUM(G2:G42)</f>
        <v>373628.93540000002</v>
      </c>
      <c r="H43" s="358">
        <f>SUM(H2:H42)</f>
        <v>26127922.641000003</v>
      </c>
      <c r="I43" s="358">
        <f>SUM(I2:I42)</f>
        <v>27985140.361299992</v>
      </c>
      <c r="J43" s="358">
        <f>SUM(J2:J42)</f>
        <v>14320973.411099998</v>
      </c>
      <c r="K43" s="360">
        <f>SUM(K2:K42)</f>
        <v>39792191.770999998</v>
      </c>
    </row>
    <row r="47" spans="1:11">
      <c r="K47" s="24"/>
    </row>
    <row r="49" spans="3:4">
      <c r="C49" s="276"/>
      <c r="D49" t="str">
        <f>PROPER(C49)</f>
        <v/>
      </c>
    </row>
  </sheetData>
  <mergeCells count="1">
    <mergeCell ref="A43:C4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00C14-FF28-4670-9BCC-E8E660C202C7}">
  <dimension ref="A1:M45"/>
  <sheetViews>
    <sheetView topLeftCell="M6" workbookViewId="0">
      <selection activeCell="AF1" sqref="AF1"/>
    </sheetView>
  </sheetViews>
  <sheetFormatPr defaultColWidth="8.28515625" defaultRowHeight="15.75"/>
  <cols>
    <col min="1" max="1" width="8.28515625" style="390"/>
    <col min="2" max="2" width="25" style="390" customWidth="1"/>
    <col min="3" max="3" width="34.5703125" style="390" bestFit="1" customWidth="1"/>
    <col min="4" max="4" width="14.85546875" style="390" customWidth="1"/>
    <col min="5" max="5" width="15.42578125" style="390" customWidth="1"/>
    <col min="6" max="6" width="14.5703125" style="390" customWidth="1"/>
    <col min="7" max="7" width="16.5703125" style="390" customWidth="1"/>
    <col min="8" max="8" width="23.5703125" style="390" customWidth="1"/>
    <col min="9" max="9" width="17.42578125" style="390" customWidth="1"/>
    <col min="10" max="10" width="16.7109375" style="390" customWidth="1"/>
    <col min="11" max="11" width="20.42578125" style="390" customWidth="1"/>
    <col min="12" max="12" width="8.28515625" style="390"/>
    <col min="13" max="13" width="14.28515625" style="390" customWidth="1"/>
    <col min="14" max="16384" width="8.28515625" style="390"/>
  </cols>
  <sheetData>
    <row r="1" spans="1:13">
      <c r="A1" s="386" t="s">
        <v>0</v>
      </c>
      <c r="B1" s="387" t="s">
        <v>1</v>
      </c>
      <c r="C1" s="387" t="s">
        <v>2</v>
      </c>
      <c r="D1" s="388" t="s">
        <v>3</v>
      </c>
      <c r="E1" s="388" t="s">
        <v>4</v>
      </c>
      <c r="F1" s="388" t="s">
        <v>5</v>
      </c>
      <c r="G1" s="388" t="s">
        <v>6</v>
      </c>
      <c r="H1" s="388" t="s">
        <v>7</v>
      </c>
      <c r="I1" s="388" t="s">
        <v>8</v>
      </c>
      <c r="J1" s="388" t="s">
        <v>9</v>
      </c>
      <c r="K1" s="389" t="s">
        <v>10</v>
      </c>
    </row>
    <row r="2" spans="1:13">
      <c r="A2" s="391">
        <v>1</v>
      </c>
      <c r="B2" s="392" t="s">
        <v>11</v>
      </c>
      <c r="C2" s="392" t="s">
        <v>12</v>
      </c>
      <c r="D2" s="393">
        <f>+'Khammam-1'!E36</f>
        <v>0</v>
      </c>
      <c r="E2" s="393">
        <f>+'Khammam-1'!G36</f>
        <v>0</v>
      </c>
      <c r="F2" s="393">
        <f>+'Khammam-1'!H36</f>
        <v>0</v>
      </c>
      <c r="G2" s="393">
        <f>+'Khammam-1'!J36</f>
        <v>0</v>
      </c>
      <c r="H2" s="393">
        <f>E2+G2</f>
        <v>0</v>
      </c>
      <c r="I2" s="393">
        <f>+'Khammam-1'!K3</f>
        <v>2301220.7968000006</v>
      </c>
      <c r="J2" s="393">
        <f>+'Khammam-1'!L36</f>
        <v>2301220</v>
      </c>
      <c r="K2" s="393">
        <f>H2+I2-J2</f>
        <v>0.79680000059306622</v>
      </c>
    </row>
    <row r="3" spans="1:13">
      <c r="A3" s="391">
        <v>2</v>
      </c>
      <c r="B3" s="392" t="s">
        <v>13</v>
      </c>
      <c r="C3" s="392" t="s">
        <v>14</v>
      </c>
      <c r="D3" s="393">
        <f>+'Khammam-2'!E37</f>
        <v>148695.59</v>
      </c>
      <c r="E3" s="393">
        <f>+'Khammam-2'!G37</f>
        <v>14227152.924100004</v>
      </c>
      <c r="F3" s="393">
        <f>+'Khammam-2'!H37</f>
        <v>630</v>
      </c>
      <c r="G3" s="393">
        <f>+'Khammam-2'!J37</f>
        <v>67699.8</v>
      </c>
      <c r="H3" s="393">
        <f>E3+G3</f>
        <v>14294852.724100005</v>
      </c>
      <c r="I3" s="393">
        <f>+'Khammam-2'!K3</f>
        <v>9307338.8440000005</v>
      </c>
      <c r="J3" s="393">
        <f>+'Khammam-2'!L37</f>
        <v>10036782</v>
      </c>
      <c r="K3" s="393">
        <f>H3+I3-J3</f>
        <v>13565409.568100005</v>
      </c>
    </row>
    <row r="4" spans="1:13">
      <c r="A4" s="391">
        <v>3</v>
      </c>
      <c r="B4" s="392" t="s">
        <v>15</v>
      </c>
      <c r="C4" s="392" t="s">
        <v>16</v>
      </c>
      <c r="D4" s="393">
        <f>+'Khammam-3'!E35</f>
        <v>121466.14</v>
      </c>
      <c r="E4" s="393">
        <f>+'Khammam-3'!G35</f>
        <v>11624309.597999999</v>
      </c>
      <c r="F4" s="393">
        <f>+'Khammam-3'!H35</f>
        <v>502.98</v>
      </c>
      <c r="G4" s="393">
        <f>+'Khammam-3'!J35</f>
        <v>54060.290399999991</v>
      </c>
      <c r="H4" s="393">
        <f>E4+G4</f>
        <v>11678369.8884</v>
      </c>
      <c r="I4" s="393">
        <f>+'Khammam-3'!K3</f>
        <v>7457303.3830000004</v>
      </c>
      <c r="J4" s="393">
        <f>+'Khammam-3'!L35</f>
        <v>8843736.0789999999</v>
      </c>
      <c r="K4" s="393">
        <f>H4+I4-J4</f>
        <v>10291937.192400001</v>
      </c>
    </row>
    <row r="5" spans="1:13">
      <c r="A5" s="391">
        <v>4</v>
      </c>
      <c r="B5" s="392" t="s">
        <v>17</v>
      </c>
      <c r="C5" s="392" t="s">
        <v>18</v>
      </c>
      <c r="D5" s="393">
        <f>+'Jedcherla -1'!E36</f>
        <v>26513.87</v>
      </c>
      <c r="E5" s="393">
        <f>+'Jedcherla -1'!G36</f>
        <v>2556467.3454</v>
      </c>
      <c r="F5" s="393">
        <f>+'Jedcherla -1'!H36</f>
        <v>479.35</v>
      </c>
      <c r="G5" s="393">
        <f>+'Jedcherla -1'!J36</f>
        <v>51880.050499999983</v>
      </c>
      <c r="H5" s="393">
        <f>E5+G5</f>
        <v>2608347.3958999999</v>
      </c>
      <c r="I5" s="393">
        <f>+'Jedcherla -1'!K3</f>
        <v>1149870.7969999998</v>
      </c>
      <c r="J5" s="393">
        <f>+'Jedcherla -1'!L36</f>
        <v>1619072</v>
      </c>
      <c r="K5" s="393">
        <f>H5+I5-J5</f>
        <v>2139146.1928999997</v>
      </c>
      <c r="M5" s="390">
        <v>2139146.9</v>
      </c>
    </row>
    <row r="6" spans="1:13">
      <c r="A6" s="391">
        <v>5</v>
      </c>
      <c r="B6" s="392" t="s">
        <v>19</v>
      </c>
      <c r="C6" s="392" t="s">
        <v>20</v>
      </c>
      <c r="D6" s="393">
        <v>0</v>
      </c>
      <c r="E6" s="393">
        <v>0</v>
      </c>
      <c r="F6" s="393">
        <v>0</v>
      </c>
      <c r="G6" s="393">
        <v>0</v>
      </c>
      <c r="H6" s="393">
        <f>E6+G6</f>
        <v>0</v>
      </c>
      <c r="I6" s="393">
        <f>+'Jedcherla-2'!K3</f>
        <v>331699.52630000003</v>
      </c>
      <c r="J6" s="393">
        <f>+'Jedcherla-2'!L35</f>
        <v>331700</v>
      </c>
      <c r="K6" s="393">
        <f>H6+I6-J6</f>
        <v>-0.47369999997317791</v>
      </c>
    </row>
    <row r="7" spans="1:13">
      <c r="A7" s="391">
        <v>6</v>
      </c>
      <c r="B7" s="392" t="s">
        <v>23</v>
      </c>
      <c r="C7" s="392" t="s">
        <v>24</v>
      </c>
      <c r="D7" s="393">
        <f>+'Jedcharla-3'!E35</f>
        <v>40895.589999999997</v>
      </c>
      <c r="E7" s="393">
        <f>+'Jedcharla-3'!G35</f>
        <v>3943561.7437000005</v>
      </c>
      <c r="F7" s="393">
        <v>0</v>
      </c>
      <c r="G7" s="393">
        <v>0</v>
      </c>
      <c r="H7" s="393">
        <f t="shared" ref="H7:H39" si="0">E7+G7</f>
        <v>3943561.7437000005</v>
      </c>
      <c r="I7" s="393">
        <v>0</v>
      </c>
      <c r="J7" s="393">
        <f>+'Jedcharla-3'!L35</f>
        <v>2733935</v>
      </c>
      <c r="K7" s="393">
        <f>H7+I7-J7</f>
        <v>1209626.7437000005</v>
      </c>
      <c r="M7" s="399">
        <f>M5-K5</f>
        <v>0.70710000023245811</v>
      </c>
    </row>
    <row r="8" spans="1:13">
      <c r="A8" s="391">
        <v>7</v>
      </c>
      <c r="B8" s="392" t="s">
        <v>25</v>
      </c>
      <c r="C8" s="392" t="s">
        <v>32</v>
      </c>
      <c r="D8" s="393">
        <f>+Sangareddy!E40</f>
        <v>8990</v>
      </c>
      <c r="E8" s="393">
        <f>+Sangareddy!G40</f>
        <v>865107.7</v>
      </c>
      <c r="F8" s="393">
        <f>+Sangareddy!H40</f>
        <v>120</v>
      </c>
      <c r="G8" s="393">
        <f>+Sangareddy!J40</f>
        <v>12967.6</v>
      </c>
      <c r="H8" s="393">
        <f t="shared" si="0"/>
        <v>878075.29999999993</v>
      </c>
      <c r="I8" s="393">
        <v>0</v>
      </c>
      <c r="J8" s="393">
        <f>+Sangareddy!L40</f>
        <v>515538.5</v>
      </c>
      <c r="K8" s="393">
        <f t="shared" ref="K8:K39" si="1">H8+I8-J8</f>
        <v>362536.79999999993</v>
      </c>
    </row>
    <row r="9" spans="1:13">
      <c r="A9" s="391">
        <v>8</v>
      </c>
      <c r="B9" s="392" t="s">
        <v>94</v>
      </c>
      <c r="C9" s="392" t="s">
        <v>95</v>
      </c>
      <c r="D9" s="393">
        <f>+Dindi!E35</f>
        <v>175.7</v>
      </c>
      <c r="E9" s="393">
        <f>+Dindi!G35</f>
        <v>17013.030999999999</v>
      </c>
      <c r="F9" s="393">
        <f>+Dindi!H35</f>
        <v>7.35</v>
      </c>
      <c r="G9" s="393">
        <f>+Dindi!J35</f>
        <v>798.65099999999995</v>
      </c>
      <c r="H9" s="393">
        <f>E9+G9</f>
        <v>17811.682000000001</v>
      </c>
      <c r="I9" s="393"/>
      <c r="J9" s="393">
        <f>+Dindi!L35</f>
        <v>17811.682000000001</v>
      </c>
      <c r="K9" s="393">
        <f t="shared" si="1"/>
        <v>0</v>
      </c>
    </row>
    <row r="10" spans="1:13">
      <c r="A10" s="391">
        <v>9</v>
      </c>
      <c r="B10" s="392" t="s">
        <v>96</v>
      </c>
      <c r="C10" s="392" t="s">
        <v>97</v>
      </c>
      <c r="D10" s="393">
        <f>+Devarakhadra!E35</f>
        <v>1740.96</v>
      </c>
      <c r="E10" s="393">
        <f>+Devarakhadra!G35</f>
        <v>169047.21599999999</v>
      </c>
      <c r="F10" s="393">
        <f>+Devarakhadra!H35</f>
        <v>0</v>
      </c>
      <c r="G10" s="393">
        <f>+Devarakhadra!J35</f>
        <v>0</v>
      </c>
      <c r="H10" s="393">
        <f>E10+G10</f>
        <v>169047.21599999999</v>
      </c>
      <c r="I10" s="393">
        <f>+Devarakhadra!M3</f>
        <v>0</v>
      </c>
      <c r="J10" s="393">
        <f>+Devarakhadra!L35</f>
        <v>0</v>
      </c>
      <c r="K10" s="393">
        <f t="shared" si="1"/>
        <v>169047.21599999999</v>
      </c>
    </row>
    <row r="11" spans="1:13">
      <c r="A11" s="391">
        <v>10</v>
      </c>
      <c r="B11" s="392" t="s">
        <v>33</v>
      </c>
      <c r="C11" s="392" t="s">
        <v>34</v>
      </c>
      <c r="D11" s="393">
        <f>+'YG Gudda '!E36</f>
        <v>8400</v>
      </c>
      <c r="E11" s="393">
        <f>+'YG Gudda '!G36</f>
        <v>766920</v>
      </c>
      <c r="F11" s="393">
        <f>+'YG Gudda '!H36</f>
        <v>595</v>
      </c>
      <c r="G11" s="393">
        <f>+'YG Gudda '!J36</f>
        <v>61427.799999999988</v>
      </c>
      <c r="H11" s="393">
        <f t="shared" si="0"/>
        <v>828347.8</v>
      </c>
      <c r="I11" s="393">
        <f>'YG Gudda '!K3</f>
        <v>71933.179413800099</v>
      </c>
      <c r="J11" s="393">
        <f>+'YG Gudda '!L36</f>
        <v>851800</v>
      </c>
      <c r="K11" s="393">
        <f t="shared" si="1"/>
        <v>48480.979413800174</v>
      </c>
    </row>
    <row r="12" spans="1:13">
      <c r="A12" s="391">
        <v>11</v>
      </c>
      <c r="B12" s="392" t="s">
        <v>35</v>
      </c>
      <c r="C12" s="392" t="s">
        <v>36</v>
      </c>
      <c r="D12" s="393">
        <f>+Hosadurga!E35</f>
        <v>3100</v>
      </c>
      <c r="E12" s="393">
        <f>+Hosadurga!G35</f>
        <v>284084</v>
      </c>
      <c r="F12" s="393">
        <f>+Hosadurga!H35</f>
        <v>235</v>
      </c>
      <c r="G12" s="393">
        <f>+Hosadurga!J35</f>
        <v>24374.2</v>
      </c>
      <c r="H12" s="393">
        <f t="shared" si="0"/>
        <v>308458.2</v>
      </c>
      <c r="I12" s="393">
        <f>+Hosadurga!K3</f>
        <v>0</v>
      </c>
      <c r="J12" s="393">
        <f>+Hosadurga!L35</f>
        <v>308458.2</v>
      </c>
      <c r="K12" s="393">
        <f t="shared" si="1"/>
        <v>0</v>
      </c>
    </row>
    <row r="13" spans="1:13">
      <c r="A13" s="391">
        <v>12</v>
      </c>
      <c r="B13" s="392" t="s">
        <v>37</v>
      </c>
      <c r="C13" s="392" t="s">
        <v>38</v>
      </c>
      <c r="D13" s="393">
        <f>+'Hosadurga -2'!E35</f>
        <v>4000</v>
      </c>
      <c r="E13" s="393">
        <f>+'Hosadurga -2'!G35</f>
        <v>365560</v>
      </c>
      <c r="F13" s="393">
        <f>+'Hosadurga -2'!H35</f>
        <v>140</v>
      </c>
      <c r="G13" s="393">
        <f>+'Hosadurga -2'!J35</f>
        <v>14484.4</v>
      </c>
      <c r="H13" s="393">
        <f>+'Hosadurga -2'!K35</f>
        <v>380044.4</v>
      </c>
      <c r="I13" s="393">
        <f>+'Hosadurga -2'!K3</f>
        <v>388266.50190000003</v>
      </c>
      <c r="J13" s="393">
        <f>+'Hosadurga -2'!L35</f>
        <v>388266.5</v>
      </c>
      <c r="K13" s="393">
        <f t="shared" si="1"/>
        <v>380044.40190000006</v>
      </c>
    </row>
    <row r="14" spans="1:13" ht="16.5">
      <c r="A14" s="391">
        <v>13</v>
      </c>
      <c r="B14" s="394" t="s">
        <v>39</v>
      </c>
      <c r="C14" s="394" t="s">
        <v>40</v>
      </c>
      <c r="D14" s="393">
        <f>+'Malebenur(KUWSDB)'!E38</f>
        <v>3700</v>
      </c>
      <c r="E14" s="393">
        <f>+'Malebenur(KUWSDB)'!G38</f>
        <v>340662</v>
      </c>
      <c r="F14" s="393">
        <f>+'Malebenur(KUWSDB)'!H38</f>
        <v>175</v>
      </c>
      <c r="G14" s="393">
        <f>+'Malebenur(KUWSDB)'!J38</f>
        <v>18175.5</v>
      </c>
      <c r="H14" s="393">
        <f>E14+G14</f>
        <v>358837.5</v>
      </c>
      <c r="I14" s="393">
        <f>+'Malebenur(KUWSDB)'!K3</f>
        <v>36616.013999999981</v>
      </c>
      <c r="J14" s="393">
        <f>+'Malebenur(KUWSDB)'!L36</f>
        <v>296692.21000000002</v>
      </c>
      <c r="K14" s="393">
        <f>H14+I14-J14</f>
        <v>98761.303999999946</v>
      </c>
    </row>
    <row r="15" spans="1:13">
      <c r="A15" s="391">
        <v>14</v>
      </c>
      <c r="B15" s="392" t="s">
        <v>41</v>
      </c>
      <c r="C15" s="392" t="s">
        <v>42</v>
      </c>
      <c r="D15" s="393">
        <f>+Kadur!E35</f>
        <v>0</v>
      </c>
      <c r="E15" s="393">
        <f>+Kadur!G35</f>
        <v>0</v>
      </c>
      <c r="F15" s="393">
        <f>+Kadur!H35</f>
        <v>110</v>
      </c>
      <c r="G15" s="393">
        <f>+Kadur!J35</f>
        <v>11469.699999999999</v>
      </c>
      <c r="H15" s="393">
        <f t="shared" si="0"/>
        <v>11469.699999999999</v>
      </c>
      <c r="I15" s="393">
        <f>+Kadur!K3</f>
        <v>1167095.1459999997</v>
      </c>
      <c r="J15" s="393">
        <f>+Kadur!L35</f>
        <v>968765.11499999999</v>
      </c>
      <c r="K15" s="393">
        <f t="shared" si="1"/>
        <v>209799.73099999968</v>
      </c>
    </row>
    <row r="16" spans="1:13">
      <c r="A16" s="391">
        <v>15</v>
      </c>
      <c r="B16" s="392" t="s">
        <v>43</v>
      </c>
      <c r="C16" s="392" t="s">
        <v>44</v>
      </c>
      <c r="D16" s="393">
        <f>+'Hiriyur(VJNL)'!E35</f>
        <v>4000</v>
      </c>
      <c r="E16" s="393">
        <f>+'Hiriyur(VJNL)'!G35</f>
        <v>368400</v>
      </c>
      <c r="F16" s="393">
        <f>+'Hiriyur(VJNL)'!H35</f>
        <v>140</v>
      </c>
      <c r="G16" s="393">
        <f>+'Hiriyur(VJNL)'!J35</f>
        <v>14540.4</v>
      </c>
      <c r="H16" s="393">
        <f t="shared" si="0"/>
        <v>382940.4</v>
      </c>
      <c r="I16" s="393">
        <f>+'Hiriyur(VJNL)'!K3</f>
        <v>87640.800000000032</v>
      </c>
      <c r="J16" s="393">
        <f>+'Hiriyur(VJNL)'!L35</f>
        <v>87640.8</v>
      </c>
      <c r="K16" s="393">
        <f t="shared" si="1"/>
        <v>382940.40000000008</v>
      </c>
    </row>
    <row r="17" spans="1:11">
      <c r="A17" s="391">
        <v>16</v>
      </c>
      <c r="B17" s="392" t="s">
        <v>45</v>
      </c>
      <c r="C17" s="392" t="s">
        <v>46</v>
      </c>
      <c r="D17" s="393">
        <f>+'Chellakere (KUWSDB)'!E35</f>
        <v>4564</v>
      </c>
      <c r="E17" s="393">
        <f>+'Chellakere (KUWSDB)'!G35</f>
        <v>416151.17999999993</v>
      </c>
      <c r="F17" s="393">
        <f>+'Chellakere (KUWSDB)'!H35</f>
        <v>242</v>
      </c>
      <c r="G17" s="393">
        <f>+'Chellakere (KUWSDB)'!J35</f>
        <v>25134.12</v>
      </c>
      <c r="H17" s="393">
        <f t="shared" si="0"/>
        <v>441285.29999999993</v>
      </c>
      <c r="I17" s="393">
        <v>0</v>
      </c>
      <c r="J17" s="393">
        <f>+'Chellakere (KUWSDB)'!L35</f>
        <v>441285.29999999993</v>
      </c>
      <c r="K17" s="393">
        <f t="shared" si="1"/>
        <v>0</v>
      </c>
    </row>
    <row r="18" spans="1:11">
      <c r="A18" s="391">
        <v>17</v>
      </c>
      <c r="B18" s="392" t="s">
        <v>47</v>
      </c>
      <c r="C18" s="392" t="s">
        <v>48</v>
      </c>
      <c r="D18" s="393">
        <f>+Khanapur!E35</f>
        <v>454.02</v>
      </c>
      <c r="E18" s="393">
        <f>+Khanapur!G35</f>
        <v>41261.337599999999</v>
      </c>
      <c r="F18" s="393">
        <f>+Khanapur!H35</f>
        <v>9.73</v>
      </c>
      <c r="G18" s="393">
        <f>+Khanapur!J35</f>
        <v>999.95209999999997</v>
      </c>
      <c r="H18" s="393">
        <f t="shared" si="0"/>
        <v>42261.289700000001</v>
      </c>
      <c r="I18" s="393">
        <v>0</v>
      </c>
      <c r="J18" s="393">
        <f>+Khanapur!M35</f>
        <v>42261.289700000001</v>
      </c>
      <c r="K18" s="393">
        <f t="shared" si="1"/>
        <v>0</v>
      </c>
    </row>
    <row r="19" spans="1:11">
      <c r="A19" s="391">
        <v>18</v>
      </c>
      <c r="B19" s="392" t="s">
        <v>49</v>
      </c>
      <c r="C19" s="392" t="s">
        <v>50</v>
      </c>
      <c r="D19" s="393">
        <f>+'Munavalli(KUWSDB)'!E36</f>
        <v>8967.1700000000019</v>
      </c>
      <c r="E19" s="393">
        <f>+'Munavalli(KUWSDB)'!G36</f>
        <v>818343.93420000013</v>
      </c>
      <c r="F19" s="393">
        <f>+'Munavalli(KUWSDB)'!H36</f>
        <v>259.38</v>
      </c>
      <c r="G19" s="393">
        <f>+'Munavalli(KUWSDB)'!J36</f>
        <v>26762.828400000002</v>
      </c>
      <c r="H19" s="393">
        <f t="shared" si="0"/>
        <v>845106.76260000013</v>
      </c>
      <c r="I19" s="393">
        <f>+'Munavalli(KUWSDB)'!K3</f>
        <v>107004.03180000013</v>
      </c>
      <c r="J19" s="393">
        <f>+'Munavalli(KUWSDB)'!L36</f>
        <v>364300</v>
      </c>
      <c r="K19" s="393">
        <f t="shared" si="1"/>
        <v>587810.79440000025</v>
      </c>
    </row>
    <row r="20" spans="1:11">
      <c r="A20" s="391">
        <v>19</v>
      </c>
      <c r="B20" s="392" t="s">
        <v>51</v>
      </c>
      <c r="C20" s="392" t="s">
        <v>52</v>
      </c>
      <c r="D20" s="393">
        <f>+Borgaon!E35</f>
        <v>364.4</v>
      </c>
      <c r="E20" s="393">
        <f>+Borgaon!G35</f>
        <v>33440.988000000005</v>
      </c>
      <c r="F20" s="393">
        <f>+Borgaon!H35</f>
        <v>36</v>
      </c>
      <c r="G20" s="393">
        <f>+Borgaon!J35</f>
        <v>3732.4800000000005</v>
      </c>
      <c r="H20" s="393">
        <f t="shared" si="0"/>
        <v>37173.468000000008</v>
      </c>
      <c r="I20" s="393">
        <f>+Borgaon!K3</f>
        <v>22826.330199999971</v>
      </c>
      <c r="J20" s="393">
        <f>+Borgaon!L35</f>
        <v>0</v>
      </c>
      <c r="K20" s="393">
        <f t="shared" si="1"/>
        <v>59999.798199999976</v>
      </c>
    </row>
    <row r="21" spans="1:11">
      <c r="A21" s="391">
        <v>20</v>
      </c>
      <c r="B21" s="392" t="s">
        <v>53</v>
      </c>
      <c r="C21" s="392" t="s">
        <v>54</v>
      </c>
      <c r="D21" s="393">
        <f>+'Ugar,Khagwad,Kudichi'!E35</f>
        <v>2862.39</v>
      </c>
      <c r="E21" s="393">
        <f>+'Ugar,Khagwad,Kudichi'!G35</f>
        <v>263139.51269999996</v>
      </c>
      <c r="F21" s="393">
        <f>+'Ugar,Khagwad,Kudichi'!H35</f>
        <v>190</v>
      </c>
      <c r="G21" s="393">
        <f>+'Ugar,Khagwad,Kudichi'!J35</f>
        <v>19739.099999999999</v>
      </c>
      <c r="H21" s="393">
        <f t="shared" si="0"/>
        <v>282878.61269999994</v>
      </c>
      <c r="I21" s="393">
        <f>+'Ugar,Khagwad,Kudichi'!K3</f>
        <v>241437.62800000017</v>
      </c>
      <c r="J21" s="393">
        <f>+'Ugar,Khagwad,Kudichi'!L35</f>
        <v>287745</v>
      </c>
      <c r="K21" s="393">
        <f>H21+I21-J21</f>
        <v>236571.24070000008</v>
      </c>
    </row>
    <row r="22" spans="1:11">
      <c r="A22" s="391">
        <v>21</v>
      </c>
      <c r="B22" s="392" t="s">
        <v>55</v>
      </c>
      <c r="C22" s="392" t="s">
        <v>56</v>
      </c>
      <c r="D22" s="393">
        <f>+Kabbur!E35</f>
        <v>705</v>
      </c>
      <c r="E22" s="393">
        <f>+Kabbur!G35</f>
        <v>64570.94999999999</v>
      </c>
      <c r="F22" s="393">
        <f>+Kabbur!H35</f>
        <v>32.51</v>
      </c>
      <c r="G22" s="393">
        <f>+Kabbur!J35</f>
        <v>3367.2309</v>
      </c>
      <c r="H22" s="393">
        <f t="shared" si="0"/>
        <v>67938.180899999992</v>
      </c>
      <c r="I22" s="393">
        <v>0</v>
      </c>
      <c r="J22" s="393">
        <f>+Kabbur!L35</f>
        <v>67938.180899999992</v>
      </c>
      <c r="K22" s="393">
        <f t="shared" si="1"/>
        <v>0</v>
      </c>
    </row>
    <row r="23" spans="1:11">
      <c r="A23" s="391">
        <v>22</v>
      </c>
      <c r="B23" s="392" t="s">
        <v>57</v>
      </c>
      <c r="C23" s="392" t="s">
        <v>98</v>
      </c>
      <c r="D23" s="393">
        <f>+kumta!E35</f>
        <v>1235.75</v>
      </c>
      <c r="E23" s="393">
        <f>+kumta!G35</f>
        <v>113590.14000000003</v>
      </c>
      <c r="F23" s="393">
        <f>+kumta!H35</f>
        <v>91.72</v>
      </c>
      <c r="G23" s="393">
        <f>+kumta!J35</f>
        <v>9532.9907999999996</v>
      </c>
      <c r="H23" s="393">
        <f t="shared" si="0"/>
        <v>123123.13080000003</v>
      </c>
      <c r="I23" s="393">
        <v>0</v>
      </c>
      <c r="J23" s="393">
        <f>+kumta!L35</f>
        <v>123123.13079999998</v>
      </c>
      <c r="K23" s="393">
        <f t="shared" si="1"/>
        <v>0</v>
      </c>
    </row>
    <row r="24" spans="1:11">
      <c r="A24" s="391">
        <v>23</v>
      </c>
      <c r="B24" s="392" t="s">
        <v>59</v>
      </c>
      <c r="C24" s="392" t="s">
        <v>60</v>
      </c>
      <c r="D24" s="393">
        <f>+Jalgaon!E40</f>
        <v>823.37</v>
      </c>
      <c r="E24" s="393">
        <f>+Jalgaon!G40</f>
        <v>75472.285700000008</v>
      </c>
      <c r="F24" s="393">
        <f>+Jalgaon!H40</f>
        <v>14.64</v>
      </c>
      <c r="G24" s="393">
        <f>+Jalgaon!J40</f>
        <v>1539.9816000000001</v>
      </c>
      <c r="H24" s="393">
        <f t="shared" si="0"/>
        <v>77012.267300000007</v>
      </c>
      <c r="I24" s="393">
        <f>+Jalgaon!K3</f>
        <v>13725.912300000011</v>
      </c>
      <c r="J24" s="393">
        <f>+Jalgaon!L40</f>
        <v>73672.3</v>
      </c>
      <c r="K24" s="393">
        <f t="shared" si="1"/>
        <v>17065.879600000015</v>
      </c>
    </row>
    <row r="25" spans="1:11">
      <c r="A25" s="391">
        <v>24</v>
      </c>
      <c r="B25" s="392" t="s">
        <v>61</v>
      </c>
      <c r="C25" s="392" t="s">
        <v>62</v>
      </c>
      <c r="D25" s="393">
        <f>+MKBD!E36</f>
        <v>17089.190000000002</v>
      </c>
      <c r="E25" s="393">
        <f>+MKBD!G36</f>
        <v>1557508.7766</v>
      </c>
      <c r="F25" s="393">
        <f>+MKBD!H36</f>
        <v>77</v>
      </c>
      <c r="G25" s="393">
        <f>+MKBD!J36</f>
        <v>8054.2</v>
      </c>
      <c r="H25" s="393">
        <v>1566762</v>
      </c>
      <c r="I25" s="393">
        <f>+MKBD!K3</f>
        <v>450628.66719999997</v>
      </c>
      <c r="J25" s="393">
        <f>+MKBD!L36</f>
        <v>1005216</v>
      </c>
      <c r="K25" s="393">
        <f t="shared" si="1"/>
        <v>1012174.6672</v>
      </c>
    </row>
    <row r="26" spans="1:11">
      <c r="A26" s="391">
        <v>25</v>
      </c>
      <c r="B26" s="392" t="s">
        <v>63</v>
      </c>
      <c r="C26" s="392" t="s">
        <v>64</v>
      </c>
      <c r="D26" s="393">
        <f>+Haveri!E35</f>
        <v>3219.5800000000004</v>
      </c>
      <c r="E26" s="393">
        <f>+Haveri!G35</f>
        <v>294494.98259999999</v>
      </c>
      <c r="F26" s="393">
        <f>+Haveri!H35</f>
        <v>105.49000000000001</v>
      </c>
      <c r="G26" s="393">
        <f>+Haveri!J35</f>
        <v>10907.665999999999</v>
      </c>
      <c r="H26" s="393">
        <f t="shared" si="0"/>
        <v>305402.64860000001</v>
      </c>
      <c r="I26" s="393">
        <f>+Haveri!K3</f>
        <v>36319.153400000003</v>
      </c>
      <c r="J26" s="393">
        <f>+Haveri!L35</f>
        <v>173800</v>
      </c>
      <c r="K26" s="393">
        <f t="shared" si="1"/>
        <v>167921.80200000003</v>
      </c>
    </row>
    <row r="27" spans="1:11">
      <c r="A27" s="391">
        <v>26</v>
      </c>
      <c r="B27" s="392" t="s">
        <v>65</v>
      </c>
      <c r="C27" s="392" t="s">
        <v>66</v>
      </c>
      <c r="D27" s="393">
        <f>+Guttal!E35</f>
        <v>1316.8999999999999</v>
      </c>
      <c r="E27" s="393">
        <f>+Guttal!G35</f>
        <v>120891.42</v>
      </c>
      <c r="F27" s="393">
        <f>+Guttal!H35</f>
        <v>41</v>
      </c>
      <c r="G27" s="393">
        <f>+Guttal!J35</f>
        <v>4254.1600000000008</v>
      </c>
      <c r="H27" s="393">
        <f t="shared" si="0"/>
        <v>125145.58</v>
      </c>
      <c r="I27" s="393">
        <v>0</v>
      </c>
      <c r="J27" s="393">
        <f>+Guttal!L35</f>
        <v>125145.58000000002</v>
      </c>
      <c r="K27" s="393">
        <f t="shared" si="1"/>
        <v>0</v>
      </c>
    </row>
    <row r="28" spans="1:11">
      <c r="A28" s="391">
        <v>27</v>
      </c>
      <c r="B28" s="392" t="s">
        <v>67</v>
      </c>
      <c r="C28" s="392" t="s">
        <v>99</v>
      </c>
      <c r="D28" s="393">
        <f>+Rattihali!E35</f>
        <v>2658.06</v>
      </c>
      <c r="E28" s="393">
        <f>+Rattihali!G35</f>
        <v>244647.84240000002</v>
      </c>
      <c r="F28" s="393">
        <f>+Rattihali!H35</f>
        <v>151.28</v>
      </c>
      <c r="G28" s="393">
        <f>+Rattihali!J35</f>
        <v>15736.145599999998</v>
      </c>
      <c r="H28" s="393">
        <f t="shared" si="0"/>
        <v>260383.98800000001</v>
      </c>
      <c r="I28" s="393">
        <v>0</v>
      </c>
      <c r="J28" s="393">
        <f>+Rattihali!L35</f>
        <v>105061.18000000001</v>
      </c>
      <c r="K28" s="393">
        <f t="shared" si="1"/>
        <v>155322.80800000002</v>
      </c>
    </row>
    <row r="29" spans="1:11">
      <c r="A29" s="391">
        <v>28</v>
      </c>
      <c r="B29" s="392" t="s">
        <v>69</v>
      </c>
      <c r="C29" s="392" t="s">
        <v>70</v>
      </c>
      <c r="D29" s="393">
        <f>+Gajendragada!E35</f>
        <v>1032.8899999999999</v>
      </c>
      <c r="E29" s="393">
        <f>+Gajendragada!G35</f>
        <v>94850.288700000005</v>
      </c>
      <c r="F29" s="393">
        <f>+Gajendragada!H35</f>
        <v>75</v>
      </c>
      <c r="G29" s="393">
        <f>+Gajendragada!J35</f>
        <v>7785.75</v>
      </c>
      <c r="H29" s="393">
        <f t="shared" si="0"/>
        <v>102636.0387</v>
      </c>
      <c r="I29" s="393">
        <f>+Gajendragada!K3</f>
        <v>59460.80000000001</v>
      </c>
      <c r="J29" s="393">
        <f>+Gajendragada!L35</f>
        <v>88047.8</v>
      </c>
      <c r="K29" s="393">
        <f t="shared" si="1"/>
        <v>74049.038700000019</v>
      </c>
    </row>
    <row r="30" spans="1:11">
      <c r="A30" s="391">
        <v>29</v>
      </c>
      <c r="B30" s="395" t="s">
        <v>71</v>
      </c>
      <c r="C30" s="395" t="s">
        <v>72</v>
      </c>
      <c r="D30" s="393">
        <f>+Ghattaprabha!E35</f>
        <v>3214.07</v>
      </c>
      <c r="E30" s="393">
        <f>+Ghattaprabha!G35</f>
        <v>294087.40499999997</v>
      </c>
      <c r="F30" s="393">
        <f>+Ghattaprabha!H35</f>
        <v>143</v>
      </c>
      <c r="G30" s="393">
        <f>+Ghattaprabha!J35</f>
        <v>14789.060000000001</v>
      </c>
      <c r="H30" s="393">
        <f t="shared" si="0"/>
        <v>308876.46499999997</v>
      </c>
      <c r="I30" s="393">
        <f>+Ghattaprabha!K3</f>
        <v>0</v>
      </c>
      <c r="J30" s="393">
        <f>+Ghattaprabha!L35</f>
        <v>0</v>
      </c>
      <c r="K30" s="393">
        <f t="shared" si="1"/>
        <v>308876.46499999997</v>
      </c>
    </row>
    <row r="31" spans="1:11">
      <c r="A31" s="391">
        <v>30</v>
      </c>
      <c r="B31" s="395" t="s">
        <v>73</v>
      </c>
      <c r="C31" s="395" t="s">
        <v>74</v>
      </c>
      <c r="D31" s="393">
        <f>+'Gokak Dharwad PKG 3'!E38</f>
        <v>10414.799999999997</v>
      </c>
      <c r="E31" s="393">
        <f>+'Gokak Dharwad PKG 3'!G38</f>
        <v>952745.9040000001</v>
      </c>
      <c r="F31" s="393">
        <f>+'Gokak Dharwad PKG 3'!H38</f>
        <v>362</v>
      </c>
      <c r="G31" s="393">
        <f>+'Gokak Dharwad PKG 3'!J38</f>
        <v>37480.980000000003</v>
      </c>
      <c r="H31" s="393">
        <f t="shared" si="0"/>
        <v>990226.88400000008</v>
      </c>
      <c r="I31" s="396">
        <f>+'Gokak Dharwad PKG 3'!K3</f>
        <v>1537988.9636000001</v>
      </c>
      <c r="J31" s="393">
        <f>+'Gokak Dharwad PKG 3'!L38</f>
        <v>1621328</v>
      </c>
      <c r="K31" s="393">
        <f t="shared" si="1"/>
        <v>906887.84759999998</v>
      </c>
    </row>
    <row r="32" spans="1:11">
      <c r="A32" s="391">
        <v>31</v>
      </c>
      <c r="B32" s="395" t="s">
        <v>100</v>
      </c>
      <c r="C32" s="395" t="s">
        <v>101</v>
      </c>
      <c r="D32" s="393">
        <f>+' Shankeshwar'!E35</f>
        <v>571.44000000000005</v>
      </c>
      <c r="E32" s="393">
        <f>+' Shankeshwar'!G35</f>
        <v>52172.472000000002</v>
      </c>
      <c r="F32" s="393">
        <f>+' Shankeshwar'!H35</f>
        <v>38</v>
      </c>
      <c r="G32" s="393">
        <f>+' Shankeshwar'!J35</f>
        <v>3922.3599999999997</v>
      </c>
      <c r="H32" s="393">
        <f t="shared" si="0"/>
        <v>56094.832000000002</v>
      </c>
      <c r="I32" s="393"/>
      <c r="J32" s="393">
        <f>+' Shankeshwar'!L35</f>
        <v>56094.832000000002</v>
      </c>
      <c r="K32" s="393">
        <f t="shared" si="1"/>
        <v>0</v>
      </c>
    </row>
    <row r="33" spans="1:11">
      <c r="A33" s="391">
        <v>32</v>
      </c>
      <c r="B33" s="395" t="s">
        <v>79</v>
      </c>
      <c r="C33" s="395" t="s">
        <v>80</v>
      </c>
      <c r="D33" s="393">
        <f>+' Talikote'!E45</f>
        <v>1558.26</v>
      </c>
      <c r="E33" s="393">
        <f>+' Talikote'!G45</f>
        <v>142580.79</v>
      </c>
      <c r="F33" s="393">
        <f>+' Talikote'!H45</f>
        <v>72.679999999999993</v>
      </c>
      <c r="G33" s="393">
        <f>+' Talikote'!J45</f>
        <v>7518.0192000000006</v>
      </c>
      <c r="H33" s="393">
        <f t="shared" si="0"/>
        <v>150098.80920000002</v>
      </c>
      <c r="I33" s="393">
        <f>+' Talikote'!M3</f>
        <v>2488</v>
      </c>
      <c r="J33" s="393">
        <f>+' Talikote'!L45</f>
        <v>124004.61999999998</v>
      </c>
      <c r="K33" s="393">
        <f t="shared" si="1"/>
        <v>28582.189200000037</v>
      </c>
    </row>
    <row r="34" spans="1:11">
      <c r="A34" s="391">
        <v>33</v>
      </c>
      <c r="B34" s="395" t="s">
        <v>81</v>
      </c>
      <c r="C34" s="395" t="s">
        <v>82</v>
      </c>
      <c r="D34" s="393">
        <f>+Chadchan!E35</f>
        <v>1216.3100000000002</v>
      </c>
      <c r="E34" s="393">
        <f>+Chadchan!G35</f>
        <v>110512.23130000001</v>
      </c>
      <c r="F34" s="393">
        <f>+Chadchan!H35</f>
        <v>71.09</v>
      </c>
      <c r="G34" s="393">
        <f>+Chadchan!J35</f>
        <v>7296.7343999999994</v>
      </c>
      <c r="H34" s="393">
        <f t="shared" si="0"/>
        <v>117808.96570000002</v>
      </c>
      <c r="I34" s="393">
        <f>+Chadchan!K3</f>
        <v>77981.336900000009</v>
      </c>
      <c r="J34" s="393">
        <f>+Chadchan!L35</f>
        <v>102795</v>
      </c>
      <c r="K34" s="393">
        <f t="shared" si="1"/>
        <v>92995.302600000025</v>
      </c>
    </row>
    <row r="35" spans="1:11">
      <c r="A35" s="391">
        <v>34</v>
      </c>
      <c r="B35" s="395" t="s">
        <v>83</v>
      </c>
      <c r="C35" s="395" t="s">
        <v>84</v>
      </c>
      <c r="D35" s="393">
        <f>+Sindagi!E44</f>
        <v>2214.0299999999997</v>
      </c>
      <c r="E35" s="393">
        <f>+Sindagi!G44</f>
        <v>201985.95689999999</v>
      </c>
      <c r="F35" s="393">
        <f>+Sindagi!H44</f>
        <v>4.5199999999999996</v>
      </c>
      <c r="G35" s="393">
        <f>+Sindagi!J44</f>
        <v>499.32439999999997</v>
      </c>
      <c r="H35" s="393">
        <f t="shared" si="0"/>
        <v>202485.2813</v>
      </c>
      <c r="I35" s="393">
        <v>0</v>
      </c>
      <c r="J35" s="393">
        <f>+Sindagi!L44</f>
        <v>192630.53230000002</v>
      </c>
      <c r="K35" s="393">
        <f t="shared" si="1"/>
        <v>9854.7489999999816</v>
      </c>
    </row>
    <row r="36" spans="1:11">
      <c r="A36" s="391">
        <v>35</v>
      </c>
      <c r="B36" s="395" t="s">
        <v>85</v>
      </c>
      <c r="C36" s="395" t="s">
        <v>86</v>
      </c>
      <c r="D36" s="393">
        <f>+Muddebihal!E46</f>
        <v>394.94000000000005</v>
      </c>
      <c r="E36" s="393">
        <f>+Muddebihal!G46</f>
        <v>36117.263000000006</v>
      </c>
      <c r="F36" s="393">
        <f>+Muddebihal!H46</f>
        <v>28.979999999999997</v>
      </c>
      <c r="G36" s="393">
        <f>+Muddebihal!J46</f>
        <v>2996.2422000000001</v>
      </c>
      <c r="H36" s="393">
        <f t="shared" si="0"/>
        <v>39113.505200000007</v>
      </c>
      <c r="I36" s="393">
        <v>0</v>
      </c>
      <c r="J36" s="393">
        <f>+Muddebihal!L46</f>
        <v>11599.4948</v>
      </c>
      <c r="K36" s="393">
        <f t="shared" si="1"/>
        <v>27514.010400000006</v>
      </c>
    </row>
    <row r="37" spans="1:11">
      <c r="A37" s="391">
        <v>36</v>
      </c>
      <c r="B37" s="395" t="s">
        <v>87</v>
      </c>
      <c r="C37" s="395" t="s">
        <v>88</v>
      </c>
      <c r="D37" s="393">
        <f>+Alemela!E43</f>
        <v>1216.1399999999999</v>
      </c>
      <c r="E37" s="393">
        <f>+Alemela!G43</f>
        <v>111070.0662</v>
      </c>
      <c r="F37" s="393">
        <f>+Alemela!H43</f>
        <v>38.840000000000003</v>
      </c>
      <c r="G37" s="393">
        <f>+Alemela!J43</f>
        <v>4010.6183999999998</v>
      </c>
      <c r="H37" s="393">
        <f t="shared" si="0"/>
        <v>115080.68460000001</v>
      </c>
      <c r="I37" s="393">
        <v>0</v>
      </c>
      <c r="J37" s="393">
        <f>+Alemela!L43</f>
        <v>40321.142699999997</v>
      </c>
      <c r="K37" s="393">
        <f t="shared" si="1"/>
        <v>74759.541900000011</v>
      </c>
    </row>
    <row r="38" spans="1:11">
      <c r="A38" s="391">
        <v>37</v>
      </c>
      <c r="B38" s="395" t="s">
        <v>91</v>
      </c>
      <c r="C38" s="395" t="s">
        <v>92</v>
      </c>
      <c r="D38" s="393">
        <f>+Nalatwad!E43</f>
        <v>761.82999999999993</v>
      </c>
      <c r="E38" s="393">
        <f>+Nalatwad!G43</f>
        <v>69798.864600000001</v>
      </c>
      <c r="F38" s="393">
        <f>+Nalatwad!H43</f>
        <v>53.11999999999999</v>
      </c>
      <c r="G38" s="393">
        <f>+Nalatwad!J43</f>
        <v>5501.6383999999998</v>
      </c>
      <c r="H38" s="393">
        <f>E38+G38</f>
        <v>75300.502999999997</v>
      </c>
      <c r="I38" s="393">
        <f>+Nalatwad!M3</f>
        <v>20248.57</v>
      </c>
      <c r="J38" s="393">
        <f>+Nalatwad!L43</f>
        <v>58950.7</v>
      </c>
      <c r="K38" s="393">
        <f>H38+I38-J38</f>
        <v>36598.373000000007</v>
      </c>
    </row>
    <row r="39" spans="1:11">
      <c r="A39" s="391">
        <v>38</v>
      </c>
      <c r="B39" s="395" t="s">
        <v>89</v>
      </c>
      <c r="C39" s="395" t="s">
        <v>90</v>
      </c>
      <c r="D39" s="393">
        <f>+Srirangapatna!E35</f>
        <v>501.25</v>
      </c>
      <c r="E39" s="393">
        <f>+Srirangapatna!G35</f>
        <v>45398.212500000001</v>
      </c>
      <c r="F39" s="393">
        <f>+Srirangapatna!H35</f>
        <v>74.010000000000005</v>
      </c>
      <c r="G39" s="393">
        <f>+Srirangapatna!J35</f>
        <v>7583.0645999999997</v>
      </c>
      <c r="H39" s="393">
        <f t="shared" si="0"/>
        <v>52981.277099999999</v>
      </c>
      <c r="I39" s="393">
        <v>0</v>
      </c>
      <c r="J39" s="393">
        <f>+Srirangapatna!L35</f>
        <v>52981.277099999992</v>
      </c>
      <c r="K39" s="393">
        <f t="shared" si="1"/>
        <v>0</v>
      </c>
    </row>
    <row r="40" spans="1:11">
      <c r="A40" s="451" t="s">
        <v>93</v>
      </c>
      <c r="B40" s="451"/>
      <c r="C40" s="451"/>
      <c r="D40" s="397">
        <f>SUM(D2:D39)</f>
        <v>439033.64000000013</v>
      </c>
      <c r="E40" s="397">
        <f>SUM(E2:E39)</f>
        <v>41683118.362200014</v>
      </c>
      <c r="F40" s="397">
        <f>SUM(F2:F39)</f>
        <v>5346.67</v>
      </c>
      <c r="G40" s="397">
        <f>SUM(G2:G39)</f>
        <v>561023.03890000004</v>
      </c>
      <c r="H40" s="397">
        <f>SUM(H2:H39)</f>
        <v>42245340.424500011</v>
      </c>
      <c r="I40" s="397">
        <f>SUM(I2:I39)</f>
        <v>24869094.381813794</v>
      </c>
      <c r="J40" s="397">
        <f>SUM(J2:J39)</f>
        <v>34459719.446300007</v>
      </c>
      <c r="K40" s="397">
        <f>H40+I40-J40</f>
        <v>32654715.360013805</v>
      </c>
    </row>
    <row r="41" spans="1:11">
      <c r="K41" s="398"/>
    </row>
    <row r="42" spans="1:11">
      <c r="K42" s="398"/>
    </row>
    <row r="44" spans="1:11">
      <c r="K44" s="398"/>
    </row>
    <row r="45" spans="1:11">
      <c r="K45" s="399"/>
    </row>
  </sheetData>
  <sheetProtection algorithmName="SHA-512" hashValue="XrilyTk32+pC8wCmhNGrxTGXztjSAWxXdjA4uALJT21eD58AYIZVT3xr+nvR+ZWu26xi+OL5N3kNDG6GmgD8iw==" saltValue="/Eg4kNKLPKeb4ka0/Ym5Jw==" spinCount="100000" sheet="1" objects="1" scenarios="1"/>
  <mergeCells count="1">
    <mergeCell ref="A40:C4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65961-9A19-4008-9D9A-8602856AE5E6}">
  <sheetPr>
    <tabColor rgb="FF00B050"/>
  </sheetPr>
  <dimension ref="A1:R41"/>
  <sheetViews>
    <sheetView workbookViewId="0">
      <pane ySplit="2" topLeftCell="A16" activePane="bottomLeft" state="frozen"/>
      <selection pane="bottomLeft" activeCell="D26" sqref="D26"/>
    </sheetView>
  </sheetViews>
  <sheetFormatPr defaultRowHeight="15"/>
  <cols>
    <col min="1" max="1" width="5.140625" bestFit="1" customWidth="1"/>
    <col min="2" max="2" width="13" customWidth="1"/>
    <col min="3" max="3" width="16.85546875" bestFit="1" customWidth="1"/>
    <col min="4" max="4" width="16" bestFit="1" customWidth="1"/>
    <col min="5" max="5" width="10.7109375" customWidth="1"/>
    <col min="6" max="6" width="15.140625" customWidth="1"/>
    <col min="7" max="7" width="13.7109375" customWidth="1"/>
    <col min="8" max="8" width="10.5703125" customWidth="1"/>
    <col min="9" max="9" width="9.140625" style="24"/>
    <col min="11" max="11" width="15.28515625" customWidth="1"/>
    <col min="12" max="13" width="14.28515625" customWidth="1"/>
    <col min="14" max="14" width="18.28515625" bestFit="1" customWidth="1"/>
    <col min="16" max="16" width="11.42578125" bestFit="1" customWidth="1"/>
  </cols>
  <sheetData>
    <row r="1" spans="1:16" ht="15.75" customHeight="1">
      <c r="A1" s="452" t="s">
        <v>12</v>
      </c>
      <c r="B1" s="452"/>
      <c r="C1" s="452"/>
      <c r="D1" s="452"/>
      <c r="E1" s="452"/>
      <c r="F1" s="452"/>
      <c r="G1" s="452"/>
      <c r="H1" s="452"/>
      <c r="I1" s="452"/>
      <c r="J1" s="452"/>
      <c r="K1" s="452"/>
      <c r="L1" s="452"/>
      <c r="M1" s="452"/>
      <c r="N1" s="452"/>
      <c r="O1" s="65"/>
    </row>
    <row r="2" spans="1:16">
      <c r="A2" s="76" t="s">
        <v>102</v>
      </c>
      <c r="B2" s="96" t="s">
        <v>103</v>
      </c>
      <c r="C2" s="96" t="s">
        <v>104</v>
      </c>
      <c r="D2" s="96" t="s">
        <v>105</v>
      </c>
      <c r="E2" s="96" t="s">
        <v>106</v>
      </c>
      <c r="F2" s="96" t="s">
        <v>107</v>
      </c>
      <c r="G2" s="96" t="s">
        <v>108</v>
      </c>
      <c r="H2" s="96" t="s">
        <v>109</v>
      </c>
      <c r="I2" s="96" t="s">
        <v>107</v>
      </c>
      <c r="J2" s="97" t="s">
        <v>108</v>
      </c>
      <c r="K2" s="139" t="s">
        <v>110</v>
      </c>
      <c r="L2" s="142" t="s">
        <v>111</v>
      </c>
      <c r="M2" s="142" t="s">
        <v>112</v>
      </c>
      <c r="N2" s="140" t="s">
        <v>113</v>
      </c>
      <c r="O2" s="71"/>
    </row>
    <row r="3" spans="1:16">
      <c r="A3" s="445" t="s">
        <v>114</v>
      </c>
      <c r="B3" s="446"/>
      <c r="C3" s="446"/>
      <c r="D3" s="446"/>
      <c r="E3" s="446"/>
      <c r="F3" s="446"/>
      <c r="G3" s="446"/>
      <c r="H3" s="446"/>
      <c r="I3" s="446"/>
      <c r="J3" s="446"/>
      <c r="K3" s="232">
        <v>2301220.7968000006</v>
      </c>
      <c r="L3" s="108"/>
      <c r="M3" s="46">
        <f>+K3</f>
        <v>2301220.7968000006</v>
      </c>
      <c r="N3" s="19"/>
      <c r="O3" s="1"/>
      <c r="P3" s="24">
        <v>220299.06</v>
      </c>
    </row>
    <row r="4" spans="1:16" ht="15.75">
      <c r="A4" s="28">
        <v>1</v>
      </c>
      <c r="B4" s="29">
        <v>45809</v>
      </c>
      <c r="C4" s="20"/>
      <c r="D4" s="20"/>
      <c r="E4" s="48">
        <v>0</v>
      </c>
      <c r="F4" s="45">
        <v>0</v>
      </c>
      <c r="G4" s="48">
        <f>E4*F4</f>
        <v>0</v>
      </c>
      <c r="H4" s="20">
        <v>0</v>
      </c>
      <c r="I4" s="44">
        <v>0</v>
      </c>
      <c r="J4" s="20">
        <f>H4*I4</f>
        <v>0</v>
      </c>
      <c r="K4" s="160">
        <f>G4+J4</f>
        <v>0</v>
      </c>
      <c r="L4" s="161">
        <v>0</v>
      </c>
      <c r="M4" s="162">
        <f>M3+K4-L4</f>
        <v>2301220.7968000006</v>
      </c>
      <c r="N4" s="161"/>
      <c r="O4" s="1"/>
    </row>
    <row r="5" spans="1:16" ht="15.75">
      <c r="A5" s="28">
        <v>2</v>
      </c>
      <c r="B5" s="29">
        <v>45810</v>
      </c>
      <c r="C5" s="20"/>
      <c r="D5" s="20"/>
      <c r="E5" s="48">
        <v>0</v>
      </c>
      <c r="F5" s="45">
        <v>0</v>
      </c>
      <c r="G5" s="48">
        <f t="shared" ref="G5:G35" si="0">E5*F5</f>
        <v>0</v>
      </c>
      <c r="H5" s="20">
        <v>0</v>
      </c>
      <c r="I5" s="44">
        <v>0</v>
      </c>
      <c r="J5" s="20">
        <f t="shared" ref="J5:J35" si="1">H5*I5</f>
        <v>0</v>
      </c>
      <c r="K5" s="160">
        <f t="shared" ref="K5:K35" si="2">G5+J5</f>
        <v>0</v>
      </c>
      <c r="L5" s="161">
        <v>0</v>
      </c>
      <c r="M5" s="117">
        <f>M4+K5-L5</f>
        <v>2301220.7968000006</v>
      </c>
      <c r="N5" s="20"/>
      <c r="O5" s="1"/>
    </row>
    <row r="6" spans="1:16" ht="15.75">
      <c r="A6" s="28">
        <v>3</v>
      </c>
      <c r="B6" s="29">
        <v>45811</v>
      </c>
      <c r="C6" s="20"/>
      <c r="D6" s="20"/>
      <c r="E6" s="48">
        <v>0</v>
      </c>
      <c r="F6" s="45">
        <v>0</v>
      </c>
      <c r="G6" s="48">
        <f t="shared" si="0"/>
        <v>0</v>
      </c>
      <c r="H6" s="20">
        <v>0</v>
      </c>
      <c r="I6" s="44">
        <v>0</v>
      </c>
      <c r="J6" s="20">
        <f t="shared" si="1"/>
        <v>0</v>
      </c>
      <c r="K6" s="160">
        <f t="shared" si="2"/>
        <v>0</v>
      </c>
      <c r="L6" s="161">
        <v>0</v>
      </c>
      <c r="M6" s="117">
        <f t="shared" ref="M6:M34" si="3">M5+K6-L6</f>
        <v>2301220.7968000006</v>
      </c>
      <c r="N6" s="20"/>
      <c r="O6" s="1"/>
    </row>
    <row r="7" spans="1:16" ht="15.75">
      <c r="A7" s="28">
        <v>4</v>
      </c>
      <c r="B7" s="29">
        <v>45812</v>
      </c>
      <c r="C7" s="20"/>
      <c r="D7" s="20"/>
      <c r="E7" s="48">
        <v>0</v>
      </c>
      <c r="F7" s="45">
        <v>0</v>
      </c>
      <c r="G7" s="48">
        <f t="shared" si="0"/>
        <v>0</v>
      </c>
      <c r="H7" s="20">
        <v>0</v>
      </c>
      <c r="I7" s="44">
        <v>0</v>
      </c>
      <c r="J7" s="20">
        <f t="shared" si="1"/>
        <v>0</v>
      </c>
      <c r="K7" s="160">
        <f t="shared" si="2"/>
        <v>0</v>
      </c>
      <c r="L7" s="161">
        <v>0</v>
      </c>
      <c r="M7" s="117">
        <f t="shared" si="3"/>
        <v>2301220.7968000006</v>
      </c>
      <c r="N7" s="8"/>
      <c r="O7" s="1"/>
    </row>
    <row r="8" spans="1:16" ht="15.75">
      <c r="A8" s="28">
        <v>5</v>
      </c>
      <c r="B8" s="29">
        <v>45813</v>
      </c>
      <c r="C8" s="20"/>
      <c r="D8" s="20"/>
      <c r="E8" s="48">
        <v>0</v>
      </c>
      <c r="F8" s="45">
        <v>0</v>
      </c>
      <c r="G8" s="48">
        <f t="shared" si="0"/>
        <v>0</v>
      </c>
      <c r="H8" s="20">
        <v>0</v>
      </c>
      <c r="I8" s="44">
        <v>0</v>
      </c>
      <c r="J8" s="20">
        <f t="shared" si="1"/>
        <v>0</v>
      </c>
      <c r="K8" s="160">
        <f t="shared" si="2"/>
        <v>0</v>
      </c>
      <c r="L8" s="161">
        <v>2301220</v>
      </c>
      <c r="M8" s="117">
        <f t="shared" si="3"/>
        <v>0.79680000059306622</v>
      </c>
      <c r="N8" s="8"/>
      <c r="O8" s="1"/>
    </row>
    <row r="9" spans="1:16" ht="15.75">
      <c r="A9" s="28">
        <v>6</v>
      </c>
      <c r="B9" s="29">
        <v>45814</v>
      </c>
      <c r="C9" s="20"/>
      <c r="D9" s="20"/>
      <c r="E9" s="48">
        <v>0</v>
      </c>
      <c r="F9" s="45">
        <v>0</v>
      </c>
      <c r="G9" s="48">
        <f t="shared" si="0"/>
        <v>0</v>
      </c>
      <c r="H9" s="20">
        <v>0</v>
      </c>
      <c r="I9" s="44">
        <v>0</v>
      </c>
      <c r="J9" s="20">
        <f t="shared" si="1"/>
        <v>0</v>
      </c>
      <c r="K9" s="160">
        <f t="shared" si="2"/>
        <v>0</v>
      </c>
      <c r="L9" s="161">
        <v>0</v>
      </c>
      <c r="M9" s="117">
        <f t="shared" si="3"/>
        <v>0.79680000059306622</v>
      </c>
      <c r="N9" s="8"/>
      <c r="O9" s="1"/>
    </row>
    <row r="10" spans="1:16" ht="15.75">
      <c r="A10" s="28">
        <v>7</v>
      </c>
      <c r="B10" s="29">
        <v>45815</v>
      </c>
      <c r="C10" s="20"/>
      <c r="D10" s="20"/>
      <c r="E10" s="48">
        <v>0</v>
      </c>
      <c r="F10" s="45">
        <v>0</v>
      </c>
      <c r="G10" s="48">
        <f t="shared" si="0"/>
        <v>0</v>
      </c>
      <c r="H10" s="20">
        <v>0</v>
      </c>
      <c r="I10" s="44">
        <v>0</v>
      </c>
      <c r="J10" s="20">
        <f t="shared" si="1"/>
        <v>0</v>
      </c>
      <c r="K10" s="160">
        <f t="shared" si="2"/>
        <v>0</v>
      </c>
      <c r="L10" s="161">
        <v>0</v>
      </c>
      <c r="M10" s="117">
        <f>M9+K10-L10</f>
        <v>0.79680000059306622</v>
      </c>
      <c r="N10" s="8"/>
      <c r="O10" s="1"/>
    </row>
    <row r="11" spans="1:16" ht="15.75">
      <c r="A11" s="28">
        <v>8</v>
      </c>
      <c r="B11" s="29">
        <v>45816</v>
      </c>
      <c r="C11" s="20"/>
      <c r="D11" s="20"/>
      <c r="E11" s="48">
        <v>0</v>
      </c>
      <c r="F11" s="45">
        <v>0</v>
      </c>
      <c r="G11" s="48">
        <f t="shared" si="0"/>
        <v>0</v>
      </c>
      <c r="H11" s="20">
        <v>0</v>
      </c>
      <c r="I11" s="44">
        <v>0</v>
      </c>
      <c r="J11" s="20">
        <f t="shared" si="1"/>
        <v>0</v>
      </c>
      <c r="K11" s="160">
        <f t="shared" si="2"/>
        <v>0</v>
      </c>
      <c r="L11" s="161">
        <v>0</v>
      </c>
      <c r="M11" s="117">
        <f t="shared" si="3"/>
        <v>0.79680000059306622</v>
      </c>
      <c r="N11" s="8"/>
      <c r="O11" s="1"/>
    </row>
    <row r="12" spans="1:16" ht="15.75">
      <c r="A12" s="28">
        <v>9</v>
      </c>
      <c r="B12" s="29">
        <v>45817</v>
      </c>
      <c r="C12" s="20"/>
      <c r="D12" s="20"/>
      <c r="E12" s="48">
        <v>0</v>
      </c>
      <c r="F12" s="45">
        <v>0</v>
      </c>
      <c r="G12" s="48">
        <f t="shared" si="0"/>
        <v>0</v>
      </c>
      <c r="H12" s="20">
        <v>0</v>
      </c>
      <c r="I12" s="44">
        <v>0</v>
      </c>
      <c r="J12" s="20">
        <f t="shared" si="1"/>
        <v>0</v>
      </c>
      <c r="K12" s="160">
        <f t="shared" si="2"/>
        <v>0</v>
      </c>
      <c r="L12" s="161">
        <v>0</v>
      </c>
      <c r="M12" s="117">
        <f t="shared" si="3"/>
        <v>0.79680000059306622</v>
      </c>
      <c r="N12" s="8"/>
      <c r="O12" s="1"/>
    </row>
    <row r="13" spans="1:16" ht="15.75">
      <c r="A13" s="28">
        <v>10</v>
      </c>
      <c r="B13" s="29">
        <v>45818</v>
      </c>
      <c r="C13" s="20"/>
      <c r="D13" s="20"/>
      <c r="E13" s="48">
        <v>0</v>
      </c>
      <c r="F13" s="45">
        <v>0</v>
      </c>
      <c r="G13" s="48">
        <f t="shared" si="0"/>
        <v>0</v>
      </c>
      <c r="H13" s="20">
        <v>0</v>
      </c>
      <c r="I13" s="44">
        <v>0</v>
      </c>
      <c r="J13" s="20">
        <f t="shared" si="1"/>
        <v>0</v>
      </c>
      <c r="K13" s="160">
        <f t="shared" si="2"/>
        <v>0</v>
      </c>
      <c r="L13" s="161">
        <v>0</v>
      </c>
      <c r="M13" s="117">
        <f t="shared" si="3"/>
        <v>0.79680000059306622</v>
      </c>
      <c r="N13" s="8"/>
      <c r="O13" s="1"/>
    </row>
    <row r="14" spans="1:16" ht="15.75">
      <c r="A14" s="28">
        <v>11</v>
      </c>
      <c r="B14" s="29">
        <v>45819</v>
      </c>
      <c r="C14" s="20"/>
      <c r="D14" s="20"/>
      <c r="E14" s="48">
        <v>0</v>
      </c>
      <c r="F14" s="45">
        <v>0</v>
      </c>
      <c r="G14" s="48">
        <f t="shared" si="0"/>
        <v>0</v>
      </c>
      <c r="H14" s="20">
        <v>0</v>
      </c>
      <c r="I14" s="44">
        <v>0</v>
      </c>
      <c r="J14" s="20">
        <f t="shared" si="1"/>
        <v>0</v>
      </c>
      <c r="K14" s="160">
        <f t="shared" si="2"/>
        <v>0</v>
      </c>
      <c r="L14" s="161">
        <v>0</v>
      </c>
      <c r="M14" s="117">
        <f t="shared" si="3"/>
        <v>0.79680000059306622</v>
      </c>
      <c r="N14" s="8"/>
      <c r="O14" s="1"/>
    </row>
    <row r="15" spans="1:16" ht="15.75">
      <c r="A15" s="28">
        <v>12</v>
      </c>
      <c r="B15" s="29">
        <v>45820</v>
      </c>
      <c r="C15" s="20"/>
      <c r="D15" s="20"/>
      <c r="E15" s="48">
        <v>0</v>
      </c>
      <c r="F15" s="45">
        <v>0</v>
      </c>
      <c r="G15" s="48">
        <f t="shared" si="0"/>
        <v>0</v>
      </c>
      <c r="H15" s="20">
        <v>0</v>
      </c>
      <c r="I15" s="44">
        <v>0</v>
      </c>
      <c r="J15" s="20">
        <f t="shared" si="1"/>
        <v>0</v>
      </c>
      <c r="K15" s="160">
        <f t="shared" si="2"/>
        <v>0</v>
      </c>
      <c r="L15" s="161">
        <v>0</v>
      </c>
      <c r="M15" s="117">
        <f t="shared" si="3"/>
        <v>0.79680000059306622</v>
      </c>
      <c r="N15" s="8"/>
      <c r="O15" s="1"/>
    </row>
    <row r="16" spans="1:16" ht="15.75">
      <c r="A16" s="28">
        <v>13</v>
      </c>
      <c r="B16" s="29">
        <v>45821</v>
      </c>
      <c r="C16" s="20"/>
      <c r="D16" s="20"/>
      <c r="E16" s="48">
        <v>0</v>
      </c>
      <c r="F16" s="45">
        <v>0</v>
      </c>
      <c r="G16" s="48">
        <f t="shared" si="0"/>
        <v>0</v>
      </c>
      <c r="H16" s="20">
        <v>0</v>
      </c>
      <c r="I16" s="44">
        <v>0</v>
      </c>
      <c r="J16" s="20">
        <f t="shared" si="1"/>
        <v>0</v>
      </c>
      <c r="K16" s="160">
        <f t="shared" si="2"/>
        <v>0</v>
      </c>
      <c r="L16" s="161">
        <v>0</v>
      </c>
      <c r="M16" s="117">
        <f t="shared" si="3"/>
        <v>0.79680000059306622</v>
      </c>
      <c r="N16" s="8"/>
      <c r="O16" s="1"/>
    </row>
    <row r="17" spans="1:15" ht="15.75">
      <c r="A17" s="28">
        <v>14</v>
      </c>
      <c r="B17" s="29">
        <v>45822</v>
      </c>
      <c r="C17" s="20"/>
      <c r="D17" s="20"/>
      <c r="E17" s="48">
        <v>0</v>
      </c>
      <c r="F17" s="45">
        <v>0</v>
      </c>
      <c r="G17" s="48">
        <f t="shared" si="0"/>
        <v>0</v>
      </c>
      <c r="H17" s="20">
        <v>0</v>
      </c>
      <c r="I17" s="44">
        <v>0</v>
      </c>
      <c r="J17" s="20">
        <f t="shared" si="1"/>
        <v>0</v>
      </c>
      <c r="K17" s="160">
        <f t="shared" si="2"/>
        <v>0</v>
      </c>
      <c r="L17" s="161">
        <v>0</v>
      </c>
      <c r="M17" s="117">
        <f t="shared" si="3"/>
        <v>0.79680000059306622</v>
      </c>
      <c r="N17" s="118"/>
      <c r="O17" s="1"/>
    </row>
    <row r="18" spans="1:15" ht="15.75">
      <c r="A18" s="28">
        <v>15</v>
      </c>
      <c r="B18" s="29">
        <v>45823</v>
      </c>
      <c r="C18" s="20"/>
      <c r="D18" s="20"/>
      <c r="E18" s="48">
        <v>0</v>
      </c>
      <c r="F18" s="45">
        <v>0</v>
      </c>
      <c r="G18" s="48">
        <f t="shared" si="0"/>
        <v>0</v>
      </c>
      <c r="H18" s="20">
        <v>0</v>
      </c>
      <c r="I18" s="44">
        <v>0</v>
      </c>
      <c r="J18" s="20">
        <f t="shared" si="1"/>
        <v>0</v>
      </c>
      <c r="K18" s="160">
        <f t="shared" si="2"/>
        <v>0</v>
      </c>
      <c r="L18" s="161">
        <v>0</v>
      </c>
      <c r="M18" s="117">
        <f t="shared" si="3"/>
        <v>0.79680000059306622</v>
      </c>
      <c r="N18" s="8"/>
      <c r="O18" s="1"/>
    </row>
    <row r="19" spans="1:15" ht="15.75">
      <c r="A19" s="28">
        <v>16</v>
      </c>
      <c r="B19" s="29">
        <v>45824</v>
      </c>
      <c r="C19" s="20"/>
      <c r="D19" s="20"/>
      <c r="E19" s="48">
        <v>0</v>
      </c>
      <c r="F19" s="45">
        <v>0</v>
      </c>
      <c r="G19" s="48">
        <f t="shared" si="0"/>
        <v>0</v>
      </c>
      <c r="H19" s="20">
        <v>0</v>
      </c>
      <c r="I19" s="44">
        <v>0</v>
      </c>
      <c r="J19" s="20">
        <f t="shared" si="1"/>
        <v>0</v>
      </c>
      <c r="K19" s="160">
        <f t="shared" si="2"/>
        <v>0</v>
      </c>
      <c r="L19" s="161">
        <v>0</v>
      </c>
      <c r="M19" s="117">
        <f t="shared" si="3"/>
        <v>0.79680000059306622</v>
      </c>
      <c r="N19" s="8"/>
      <c r="O19" s="1" t="s">
        <v>115</v>
      </c>
    </row>
    <row r="20" spans="1:15" ht="15.75">
      <c r="A20" s="28">
        <v>17</v>
      </c>
      <c r="B20" s="29">
        <v>45825</v>
      </c>
      <c r="C20" s="20"/>
      <c r="D20" s="20"/>
      <c r="E20" s="48">
        <v>0</v>
      </c>
      <c r="F20" s="45">
        <v>0</v>
      </c>
      <c r="G20" s="48">
        <f t="shared" si="0"/>
        <v>0</v>
      </c>
      <c r="H20" s="20">
        <v>0</v>
      </c>
      <c r="I20" s="44">
        <v>0</v>
      </c>
      <c r="J20" s="20">
        <f t="shared" si="1"/>
        <v>0</v>
      </c>
      <c r="K20" s="160">
        <f t="shared" si="2"/>
        <v>0</v>
      </c>
      <c r="L20" s="161">
        <v>0</v>
      </c>
      <c r="M20" s="117">
        <f t="shared" si="3"/>
        <v>0.79680000059306622</v>
      </c>
      <c r="N20" s="8"/>
      <c r="O20" s="1"/>
    </row>
    <row r="21" spans="1:15" ht="15.75">
      <c r="A21" s="28">
        <v>18</v>
      </c>
      <c r="B21" s="29">
        <v>45826</v>
      </c>
      <c r="C21" s="20"/>
      <c r="D21" s="20"/>
      <c r="E21" s="48">
        <v>0</v>
      </c>
      <c r="F21" s="45">
        <v>0</v>
      </c>
      <c r="G21" s="48">
        <f t="shared" si="0"/>
        <v>0</v>
      </c>
      <c r="H21" s="20">
        <v>0</v>
      </c>
      <c r="I21" s="44">
        <v>0</v>
      </c>
      <c r="J21" s="20">
        <f t="shared" si="1"/>
        <v>0</v>
      </c>
      <c r="K21" s="160">
        <f t="shared" si="2"/>
        <v>0</v>
      </c>
      <c r="L21" s="161">
        <v>0</v>
      </c>
      <c r="M21" s="117">
        <f t="shared" si="3"/>
        <v>0.79680000059306622</v>
      </c>
      <c r="N21" s="8"/>
      <c r="O21" s="1"/>
    </row>
    <row r="22" spans="1:15" ht="15.75">
      <c r="A22" s="28">
        <v>19</v>
      </c>
      <c r="B22" s="29">
        <v>45827</v>
      </c>
      <c r="C22" s="20"/>
      <c r="D22" s="20"/>
      <c r="E22" s="48">
        <v>0</v>
      </c>
      <c r="F22" s="45">
        <v>0</v>
      </c>
      <c r="G22" s="48">
        <f t="shared" si="0"/>
        <v>0</v>
      </c>
      <c r="H22" s="20">
        <v>0</v>
      </c>
      <c r="I22" s="44">
        <v>0</v>
      </c>
      <c r="J22" s="20">
        <f t="shared" si="1"/>
        <v>0</v>
      </c>
      <c r="K22" s="160">
        <f t="shared" si="2"/>
        <v>0</v>
      </c>
      <c r="L22" s="161">
        <v>0</v>
      </c>
      <c r="M22" s="117">
        <f t="shared" si="3"/>
        <v>0.79680000059306622</v>
      </c>
      <c r="N22" s="8"/>
      <c r="O22" s="1"/>
    </row>
    <row r="23" spans="1:15" ht="15.75">
      <c r="A23" s="28">
        <v>20</v>
      </c>
      <c r="B23" s="29">
        <v>45828</v>
      </c>
      <c r="C23" s="20"/>
      <c r="D23" s="20"/>
      <c r="E23" s="48">
        <v>0</v>
      </c>
      <c r="F23" s="45">
        <v>0</v>
      </c>
      <c r="G23" s="48">
        <f t="shared" si="0"/>
        <v>0</v>
      </c>
      <c r="H23" s="20">
        <v>0</v>
      </c>
      <c r="I23" s="44">
        <v>0</v>
      </c>
      <c r="J23" s="20">
        <f t="shared" si="1"/>
        <v>0</v>
      </c>
      <c r="K23" s="160">
        <f t="shared" si="2"/>
        <v>0</v>
      </c>
      <c r="L23" s="161">
        <v>0</v>
      </c>
      <c r="M23" s="117">
        <f t="shared" si="3"/>
        <v>0.79680000059306622</v>
      </c>
      <c r="N23" s="8"/>
      <c r="O23" s="1"/>
    </row>
    <row r="24" spans="1:15" ht="15.75">
      <c r="A24" s="28">
        <v>21</v>
      </c>
      <c r="B24" s="29">
        <v>45829</v>
      </c>
      <c r="C24" s="20"/>
      <c r="D24" s="20"/>
      <c r="E24" s="48">
        <v>0</v>
      </c>
      <c r="F24" s="45">
        <v>0</v>
      </c>
      <c r="G24" s="48">
        <f t="shared" si="0"/>
        <v>0</v>
      </c>
      <c r="H24" s="20">
        <v>0</v>
      </c>
      <c r="I24" s="44">
        <v>0</v>
      </c>
      <c r="J24" s="20">
        <f t="shared" si="1"/>
        <v>0</v>
      </c>
      <c r="K24" s="160">
        <f t="shared" si="2"/>
        <v>0</v>
      </c>
      <c r="L24" s="161">
        <v>0</v>
      </c>
      <c r="M24" s="117">
        <f t="shared" si="3"/>
        <v>0.79680000059306622</v>
      </c>
      <c r="N24" s="8"/>
      <c r="O24" s="1"/>
    </row>
    <row r="25" spans="1:15" ht="15.75">
      <c r="A25" s="28">
        <v>22</v>
      </c>
      <c r="B25" s="29">
        <v>45830</v>
      </c>
      <c r="C25" s="20"/>
      <c r="D25" s="20"/>
      <c r="E25" s="48">
        <v>0</v>
      </c>
      <c r="F25" s="45">
        <v>0</v>
      </c>
      <c r="G25" s="48">
        <f t="shared" si="0"/>
        <v>0</v>
      </c>
      <c r="H25" s="20">
        <v>0</v>
      </c>
      <c r="I25" s="44">
        <v>0</v>
      </c>
      <c r="J25" s="20">
        <f t="shared" si="1"/>
        <v>0</v>
      </c>
      <c r="K25" s="160">
        <f t="shared" si="2"/>
        <v>0</v>
      </c>
      <c r="L25" s="161">
        <v>0</v>
      </c>
      <c r="M25" s="117">
        <f t="shared" si="3"/>
        <v>0.79680000059306622</v>
      </c>
      <c r="N25" s="8"/>
      <c r="O25" s="1"/>
    </row>
    <row r="26" spans="1:15" ht="15.75">
      <c r="A26" s="28">
        <v>23</v>
      </c>
      <c r="B26" s="29">
        <v>45831</v>
      </c>
      <c r="C26" s="20"/>
      <c r="D26" s="20"/>
      <c r="E26" s="48">
        <v>0</v>
      </c>
      <c r="F26" s="45">
        <v>0</v>
      </c>
      <c r="G26" s="48">
        <f t="shared" si="0"/>
        <v>0</v>
      </c>
      <c r="H26" s="20">
        <v>0</v>
      </c>
      <c r="I26" s="44">
        <v>0</v>
      </c>
      <c r="J26" s="20">
        <f t="shared" si="1"/>
        <v>0</v>
      </c>
      <c r="K26" s="160">
        <f t="shared" si="2"/>
        <v>0</v>
      </c>
      <c r="L26" s="161">
        <v>0</v>
      </c>
      <c r="M26" s="117">
        <f t="shared" si="3"/>
        <v>0.79680000059306622</v>
      </c>
      <c r="N26" s="8"/>
      <c r="O26" s="1"/>
    </row>
    <row r="27" spans="1:15" ht="15.75">
      <c r="A27" s="28">
        <v>24</v>
      </c>
      <c r="B27" s="29">
        <v>45832</v>
      </c>
      <c r="C27" s="20"/>
      <c r="D27" s="20"/>
      <c r="E27" s="48">
        <v>0</v>
      </c>
      <c r="F27" s="45">
        <v>0</v>
      </c>
      <c r="G27" s="48">
        <f t="shared" si="0"/>
        <v>0</v>
      </c>
      <c r="H27" s="20">
        <v>0</v>
      </c>
      <c r="I27" s="44">
        <v>0</v>
      </c>
      <c r="J27" s="20">
        <f t="shared" si="1"/>
        <v>0</v>
      </c>
      <c r="K27" s="160">
        <f t="shared" si="2"/>
        <v>0</v>
      </c>
      <c r="L27" s="161">
        <v>0</v>
      </c>
      <c r="M27" s="117">
        <f t="shared" si="3"/>
        <v>0.79680000059306622</v>
      </c>
      <c r="N27" s="8"/>
      <c r="O27" s="1"/>
    </row>
    <row r="28" spans="1:15" ht="15.75">
      <c r="A28" s="28">
        <v>25</v>
      </c>
      <c r="B28" s="29">
        <v>45833</v>
      </c>
      <c r="C28" s="20"/>
      <c r="D28" s="20"/>
      <c r="E28" s="48">
        <v>0</v>
      </c>
      <c r="F28" s="45">
        <v>0</v>
      </c>
      <c r="G28" s="48">
        <f t="shared" si="0"/>
        <v>0</v>
      </c>
      <c r="H28" s="20">
        <v>0</v>
      </c>
      <c r="I28" s="44">
        <v>0</v>
      </c>
      <c r="J28" s="20">
        <f t="shared" si="1"/>
        <v>0</v>
      </c>
      <c r="K28" s="160">
        <f t="shared" si="2"/>
        <v>0</v>
      </c>
      <c r="L28" s="161">
        <v>0</v>
      </c>
      <c r="M28" s="117">
        <f t="shared" si="3"/>
        <v>0.79680000059306622</v>
      </c>
      <c r="N28" s="8"/>
      <c r="O28" s="1"/>
    </row>
    <row r="29" spans="1:15" ht="15.75">
      <c r="A29" s="28">
        <v>26</v>
      </c>
      <c r="B29" s="29">
        <v>45834</v>
      </c>
      <c r="C29" s="20"/>
      <c r="D29" s="20"/>
      <c r="E29" s="48">
        <v>0</v>
      </c>
      <c r="F29" s="45">
        <v>0</v>
      </c>
      <c r="G29" s="48">
        <f t="shared" si="0"/>
        <v>0</v>
      </c>
      <c r="H29" s="20">
        <v>0</v>
      </c>
      <c r="I29" s="44">
        <v>0</v>
      </c>
      <c r="J29" s="20">
        <f t="shared" si="1"/>
        <v>0</v>
      </c>
      <c r="K29" s="160">
        <f t="shared" si="2"/>
        <v>0</v>
      </c>
      <c r="L29" s="161">
        <v>0</v>
      </c>
      <c r="M29" s="117">
        <f t="shared" si="3"/>
        <v>0.79680000059306622</v>
      </c>
      <c r="N29" s="8"/>
      <c r="O29" s="1"/>
    </row>
    <row r="30" spans="1:15" ht="15.75">
      <c r="A30" s="28">
        <v>27</v>
      </c>
      <c r="B30" s="29">
        <v>45835</v>
      </c>
      <c r="C30" s="20"/>
      <c r="D30" s="20"/>
      <c r="E30" s="48">
        <v>0</v>
      </c>
      <c r="F30" s="45">
        <v>0</v>
      </c>
      <c r="G30" s="48">
        <f t="shared" si="0"/>
        <v>0</v>
      </c>
      <c r="H30" s="20">
        <v>0</v>
      </c>
      <c r="I30" s="44">
        <v>0</v>
      </c>
      <c r="J30" s="20">
        <f t="shared" si="1"/>
        <v>0</v>
      </c>
      <c r="K30" s="160">
        <f t="shared" si="2"/>
        <v>0</v>
      </c>
      <c r="L30" s="161">
        <v>0</v>
      </c>
      <c r="M30" s="117">
        <f t="shared" si="3"/>
        <v>0.79680000059306622</v>
      </c>
      <c r="N30" s="8"/>
      <c r="O30" s="1"/>
    </row>
    <row r="31" spans="1:15" ht="15.75">
      <c r="A31" s="28">
        <v>28</v>
      </c>
      <c r="B31" s="29">
        <v>45836</v>
      </c>
      <c r="C31" s="20"/>
      <c r="D31" s="20"/>
      <c r="E31" s="48">
        <v>0</v>
      </c>
      <c r="F31" s="45">
        <v>0</v>
      </c>
      <c r="G31" s="48">
        <f t="shared" si="0"/>
        <v>0</v>
      </c>
      <c r="H31" s="20">
        <v>0</v>
      </c>
      <c r="I31" s="44">
        <v>0</v>
      </c>
      <c r="J31" s="20">
        <f t="shared" si="1"/>
        <v>0</v>
      </c>
      <c r="K31" s="160">
        <f t="shared" si="2"/>
        <v>0</v>
      </c>
      <c r="L31" s="161">
        <v>0</v>
      </c>
      <c r="M31" s="117">
        <f t="shared" si="3"/>
        <v>0.79680000059306622</v>
      </c>
      <c r="N31" s="8"/>
      <c r="O31" s="1"/>
    </row>
    <row r="32" spans="1:15" ht="15.75">
      <c r="A32" s="28">
        <v>29</v>
      </c>
      <c r="B32" s="29">
        <v>45837</v>
      </c>
      <c r="C32" s="20"/>
      <c r="D32" s="20"/>
      <c r="E32" s="48">
        <v>0</v>
      </c>
      <c r="F32" s="45">
        <v>0</v>
      </c>
      <c r="G32" s="48">
        <f t="shared" si="0"/>
        <v>0</v>
      </c>
      <c r="H32" s="20">
        <v>0</v>
      </c>
      <c r="I32" s="44">
        <v>0</v>
      </c>
      <c r="J32" s="20">
        <f t="shared" si="1"/>
        <v>0</v>
      </c>
      <c r="K32" s="160">
        <f t="shared" si="2"/>
        <v>0</v>
      </c>
      <c r="L32" s="161">
        <v>0</v>
      </c>
      <c r="M32" s="117">
        <f t="shared" si="3"/>
        <v>0.79680000059306622</v>
      </c>
      <c r="N32" s="8"/>
      <c r="O32" s="1"/>
    </row>
    <row r="33" spans="1:18" ht="15.75">
      <c r="A33" s="28">
        <v>30</v>
      </c>
      <c r="B33" s="29">
        <v>45838</v>
      </c>
      <c r="C33" s="20"/>
      <c r="D33" s="20"/>
      <c r="E33" s="48">
        <v>0</v>
      </c>
      <c r="F33" s="45">
        <v>0</v>
      </c>
      <c r="G33" s="48">
        <f t="shared" si="0"/>
        <v>0</v>
      </c>
      <c r="H33" s="20">
        <v>0</v>
      </c>
      <c r="I33" s="44">
        <v>0</v>
      </c>
      <c r="J33" s="20">
        <f t="shared" si="1"/>
        <v>0</v>
      </c>
      <c r="K33" s="160">
        <f t="shared" si="2"/>
        <v>0</v>
      </c>
      <c r="L33" s="161">
        <v>0</v>
      </c>
      <c r="M33" s="117">
        <f t="shared" si="3"/>
        <v>0.79680000059306622</v>
      </c>
      <c r="N33" s="8"/>
      <c r="O33" s="1"/>
      <c r="R33">
        <v>2584221.6967999996</v>
      </c>
    </row>
    <row r="34" spans="1:18" ht="15.75">
      <c r="A34" s="28">
        <v>31</v>
      </c>
      <c r="B34" s="29"/>
      <c r="C34" s="20"/>
      <c r="D34" s="20"/>
      <c r="E34" s="48">
        <v>0</v>
      </c>
      <c r="F34" s="45">
        <v>0</v>
      </c>
      <c r="G34" s="48">
        <f t="shared" si="0"/>
        <v>0</v>
      </c>
      <c r="H34" s="20">
        <v>0</v>
      </c>
      <c r="I34" s="44">
        <v>0</v>
      </c>
      <c r="J34" s="20">
        <f t="shared" si="1"/>
        <v>0</v>
      </c>
      <c r="K34" s="160">
        <f t="shared" si="2"/>
        <v>0</v>
      </c>
      <c r="L34" s="161">
        <v>0</v>
      </c>
      <c r="M34" s="117">
        <f t="shared" si="3"/>
        <v>0.79680000059306622</v>
      </c>
      <c r="N34" s="8"/>
      <c r="O34" s="1"/>
    </row>
    <row r="35" spans="1:18" ht="15.75">
      <c r="A35" s="27"/>
      <c r="B35" s="29"/>
      <c r="C35" s="20"/>
      <c r="D35" s="20"/>
      <c r="E35" s="48">
        <v>0</v>
      </c>
      <c r="F35" s="45">
        <v>0</v>
      </c>
      <c r="G35" s="48">
        <f t="shared" si="0"/>
        <v>0</v>
      </c>
      <c r="H35" s="20">
        <v>0</v>
      </c>
      <c r="I35" s="44">
        <v>0</v>
      </c>
      <c r="J35" s="20">
        <f t="shared" si="1"/>
        <v>0</v>
      </c>
      <c r="K35" s="160">
        <f t="shared" si="2"/>
        <v>0</v>
      </c>
      <c r="L35" s="8"/>
      <c r="M35" s="117"/>
      <c r="N35" s="8"/>
      <c r="O35" s="1"/>
    </row>
    <row r="36" spans="1:18">
      <c r="A36" s="51"/>
      <c r="B36" s="51"/>
      <c r="C36" s="51"/>
      <c r="D36" s="51"/>
      <c r="E36" s="52">
        <f>SUM(E4:E35)</f>
        <v>0</v>
      </c>
      <c r="F36" s="52"/>
      <c r="G36" s="52">
        <f>SUM(G4:G35)</f>
        <v>0</v>
      </c>
      <c r="H36" s="52">
        <f>SUM(H4:H35)</f>
        <v>0</v>
      </c>
      <c r="I36" s="52"/>
      <c r="J36" s="52">
        <f>SUM(J3:J35)</f>
        <v>0</v>
      </c>
      <c r="K36" s="52">
        <f>SUM(K4:K35)</f>
        <v>0</v>
      </c>
      <c r="L36" s="52">
        <f>SUM(L4:L35)</f>
        <v>2301220</v>
      </c>
      <c r="M36" s="52"/>
      <c r="N36" s="52"/>
      <c r="O36" s="35"/>
    </row>
    <row r="37" spans="1:18">
      <c r="A37" s="1"/>
      <c r="B37" s="1"/>
      <c r="C37" s="1"/>
      <c r="D37" s="1"/>
      <c r="E37" s="1"/>
      <c r="F37" s="1"/>
      <c r="G37" s="3"/>
      <c r="H37" s="1"/>
      <c r="I37" s="2"/>
      <c r="J37" s="1"/>
      <c r="K37" s="1"/>
      <c r="L37" s="1"/>
      <c r="M37" s="1"/>
      <c r="N37" s="1"/>
      <c r="O37" s="4"/>
    </row>
    <row r="38" spans="1:18">
      <c r="A38" s="1"/>
      <c r="B38" s="453"/>
      <c r="C38" s="453"/>
      <c r="D38" s="453"/>
      <c r="E38" s="453"/>
      <c r="F38" s="62"/>
      <c r="G38" s="1"/>
      <c r="H38" s="1"/>
      <c r="I38" s="453"/>
      <c r="J38" s="453"/>
      <c r="K38" s="453"/>
      <c r="L38" s="453"/>
      <c r="M38" s="453"/>
      <c r="N38" s="453"/>
      <c r="O38" s="4"/>
    </row>
    <row r="39" spans="1:18">
      <c r="A39" s="1"/>
      <c r="B39" s="1"/>
      <c r="C39" s="1"/>
      <c r="D39" s="1"/>
      <c r="E39" s="1"/>
      <c r="F39" s="1"/>
      <c r="G39" s="1"/>
      <c r="H39" s="1"/>
      <c r="I39" s="2"/>
      <c r="J39" s="1"/>
      <c r="K39" s="1"/>
      <c r="L39" s="1"/>
      <c r="M39" s="1"/>
      <c r="N39" s="1"/>
      <c r="O39" s="4"/>
    </row>
    <row r="41" spans="1:18">
      <c r="E41" s="198">
        <f>E36+H36</f>
        <v>0</v>
      </c>
    </row>
  </sheetData>
  <mergeCells count="4">
    <mergeCell ref="A1:N1"/>
    <mergeCell ref="B38:E38"/>
    <mergeCell ref="I38:N38"/>
    <mergeCell ref="A3:J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45461-B56A-421B-8409-CCEF1CCB2111}">
  <sheetPr>
    <tabColor rgb="FF00B050"/>
  </sheetPr>
  <dimension ref="A1:N37"/>
  <sheetViews>
    <sheetView topLeftCell="A21" workbookViewId="0">
      <selection activeCell="M34" sqref="M34"/>
    </sheetView>
  </sheetViews>
  <sheetFormatPr defaultRowHeight="15"/>
  <cols>
    <col min="2" max="2" width="10.5703125" bestFit="1" customWidth="1"/>
    <col min="4" max="4" width="31.28515625" bestFit="1" customWidth="1"/>
    <col min="5" max="5" width="16.85546875" customWidth="1"/>
    <col min="7" max="7" width="13.85546875" customWidth="1"/>
    <col min="11" max="11" width="13" customWidth="1"/>
    <col min="12" max="12" width="16.42578125" customWidth="1"/>
    <col min="13" max="13" width="12.28515625" bestFit="1" customWidth="1"/>
  </cols>
  <sheetData>
    <row r="1" spans="1:14" ht="15.75">
      <c r="A1" s="452" t="s">
        <v>14</v>
      </c>
      <c r="B1" s="452"/>
      <c r="C1" s="452"/>
      <c r="D1" s="452"/>
      <c r="E1" s="452"/>
      <c r="F1" s="452"/>
      <c r="G1" s="452"/>
      <c r="H1" s="452"/>
      <c r="I1" s="452"/>
      <c r="J1" s="452"/>
      <c r="K1" s="452"/>
      <c r="L1" s="452"/>
      <c r="M1" s="452"/>
      <c r="N1" s="452"/>
    </row>
    <row r="2" spans="1:14" ht="30.75">
      <c r="A2" s="139" t="s">
        <v>102</v>
      </c>
      <c r="B2" s="140" t="s">
        <v>103</v>
      </c>
      <c r="C2" s="140" t="s">
        <v>104</v>
      </c>
      <c r="D2" s="140" t="s">
        <v>105</v>
      </c>
      <c r="E2" s="140" t="s">
        <v>106</v>
      </c>
      <c r="F2" s="140" t="s">
        <v>107</v>
      </c>
      <c r="G2" s="140" t="s">
        <v>108</v>
      </c>
      <c r="H2" s="140" t="s">
        <v>109</v>
      </c>
      <c r="I2" s="140" t="s">
        <v>107</v>
      </c>
      <c r="J2" s="141" t="s">
        <v>108</v>
      </c>
      <c r="K2" s="139" t="s">
        <v>110</v>
      </c>
      <c r="L2" s="142" t="s">
        <v>111</v>
      </c>
      <c r="M2" s="142" t="s">
        <v>112</v>
      </c>
      <c r="N2" s="140" t="s">
        <v>113</v>
      </c>
    </row>
    <row r="3" spans="1:14">
      <c r="A3" s="454" t="s">
        <v>114</v>
      </c>
      <c r="B3" s="454"/>
      <c r="C3" s="454"/>
      <c r="D3" s="454"/>
      <c r="E3" s="454"/>
      <c r="F3" s="454"/>
      <c r="G3" s="454"/>
      <c r="H3" s="454"/>
      <c r="I3" s="454"/>
      <c r="J3" s="454"/>
      <c r="K3" s="282">
        <v>9307338.8440000005</v>
      </c>
      <c r="L3" s="283"/>
      <c r="M3" s="255">
        <f>+K3</f>
        <v>9307338.8440000005</v>
      </c>
      <c r="N3" s="107"/>
    </row>
    <row r="4" spans="1:14">
      <c r="A4" s="28">
        <v>1</v>
      </c>
      <c r="B4" s="29">
        <v>45809</v>
      </c>
      <c r="C4" s="19"/>
      <c r="D4" s="19"/>
      <c r="E4" s="19">
        <v>0</v>
      </c>
      <c r="F4" s="19">
        <v>0</v>
      </c>
      <c r="G4" s="19">
        <f>E4*F4</f>
        <v>0</v>
      </c>
      <c r="H4" s="19">
        <v>0</v>
      </c>
      <c r="I4" s="19">
        <v>0</v>
      </c>
      <c r="J4" s="19">
        <f>H4*I4</f>
        <v>0</v>
      </c>
      <c r="K4" s="19">
        <f>G4+J4</f>
        <v>0</v>
      </c>
      <c r="L4" s="19"/>
      <c r="M4" s="46">
        <f>M3+K4-L4</f>
        <v>9307338.8440000005</v>
      </c>
      <c r="N4" s="19"/>
    </row>
    <row r="5" spans="1:14">
      <c r="A5" s="28">
        <v>2</v>
      </c>
      <c r="B5" s="29">
        <v>45810</v>
      </c>
      <c r="C5" s="19">
        <v>2930</v>
      </c>
      <c r="D5" s="227" t="s">
        <v>116</v>
      </c>
      <c r="E5" s="19">
        <v>2500</v>
      </c>
      <c r="F5" s="19">
        <v>95.68</v>
      </c>
      <c r="G5" s="19">
        <f>E5*F5</f>
        <v>239200.00000000003</v>
      </c>
      <c r="H5" s="19">
        <v>70</v>
      </c>
      <c r="I5" s="19">
        <v>107.46</v>
      </c>
      <c r="J5" s="19">
        <f>H5*I5</f>
        <v>7522.2</v>
      </c>
      <c r="K5" s="273">
        <f>G5+J5</f>
        <v>246722.20000000004</v>
      </c>
      <c r="L5" s="19"/>
      <c r="M5" s="46">
        <f>M4+K5-L5</f>
        <v>9554061.0439999998</v>
      </c>
      <c r="N5" s="19"/>
    </row>
    <row r="6" spans="1:14">
      <c r="A6" s="28">
        <v>3</v>
      </c>
      <c r="B6" s="29">
        <v>45811</v>
      </c>
      <c r="C6" s="19">
        <v>2942</v>
      </c>
      <c r="D6" s="384">
        <v>1091</v>
      </c>
      <c r="E6" s="19">
        <v>4999.46</v>
      </c>
      <c r="F6" s="19">
        <v>95.68</v>
      </c>
      <c r="G6" s="19">
        <f>E6*F6</f>
        <v>478348.33280000003</v>
      </c>
      <c r="H6" s="19">
        <v>20</v>
      </c>
      <c r="I6" s="19">
        <v>107.46</v>
      </c>
      <c r="J6" s="19">
        <f>H6*I6</f>
        <v>2149.1999999999998</v>
      </c>
      <c r="K6" s="273">
        <f>G6+J6</f>
        <v>480497.53280000004</v>
      </c>
      <c r="L6" s="19"/>
      <c r="M6" s="46">
        <f t="shared" ref="M5:M8" si="0">M5+K6-L6</f>
        <v>10034558.5768</v>
      </c>
      <c r="N6" s="19"/>
    </row>
    <row r="7" spans="1:14">
      <c r="A7" s="28">
        <v>4</v>
      </c>
      <c r="B7" s="29">
        <v>45812</v>
      </c>
      <c r="C7" s="19">
        <v>2951</v>
      </c>
      <c r="D7" s="384">
        <v>1098</v>
      </c>
      <c r="E7" s="19">
        <v>2500</v>
      </c>
      <c r="F7" s="19">
        <v>95.68</v>
      </c>
      <c r="G7" s="19">
        <f>E7*F7</f>
        <v>239200.00000000003</v>
      </c>
      <c r="H7" s="19">
        <v>35</v>
      </c>
      <c r="I7" s="19">
        <v>107.46</v>
      </c>
      <c r="J7" s="19">
        <f>H7*I7</f>
        <v>3761.1</v>
      </c>
      <c r="K7" s="273">
        <f>G7+J7</f>
        <v>242961.10000000003</v>
      </c>
      <c r="L7" s="19"/>
      <c r="M7" s="46">
        <f t="shared" si="0"/>
        <v>10277519.6768</v>
      </c>
      <c r="N7" s="19"/>
    </row>
    <row r="8" spans="1:14">
      <c r="A8" s="28">
        <v>5</v>
      </c>
      <c r="B8" s="29">
        <v>45813</v>
      </c>
      <c r="C8" s="19">
        <v>2962</v>
      </c>
      <c r="D8" s="19" t="s">
        <v>117</v>
      </c>
      <c r="E8" s="19">
        <v>7500.08</v>
      </c>
      <c r="F8" s="19">
        <v>95.68</v>
      </c>
      <c r="G8" s="19">
        <f>E8*F8</f>
        <v>717607.6544</v>
      </c>
      <c r="H8" s="19">
        <v>55</v>
      </c>
      <c r="I8" s="19">
        <v>107.46</v>
      </c>
      <c r="J8" s="19">
        <f>H8*I8</f>
        <v>5910.2999999999993</v>
      </c>
      <c r="K8" s="273">
        <f>G8+J8</f>
        <v>723517.95440000005</v>
      </c>
      <c r="L8" s="19">
        <v>10036782</v>
      </c>
      <c r="M8" s="46">
        <f t="shared" si="0"/>
        <v>964255.63119999878</v>
      </c>
      <c r="N8" s="19"/>
    </row>
    <row r="9" spans="1:14">
      <c r="A9" s="28">
        <v>6</v>
      </c>
      <c r="B9" s="29">
        <v>45814</v>
      </c>
      <c r="C9" s="19">
        <v>2965</v>
      </c>
      <c r="D9" s="19" t="s">
        <v>118</v>
      </c>
      <c r="E9" s="19">
        <v>2800.25</v>
      </c>
      <c r="F9" s="19">
        <v>95.68</v>
      </c>
      <c r="G9" s="19">
        <f>E9*F9</f>
        <v>267927.92000000004</v>
      </c>
      <c r="H9" s="19">
        <v>55</v>
      </c>
      <c r="I9" s="19">
        <v>107.46</v>
      </c>
      <c r="J9" s="19">
        <f>H9*I9</f>
        <v>5910.2999999999993</v>
      </c>
      <c r="K9" s="273">
        <f>G9+J9</f>
        <v>273838.22000000003</v>
      </c>
      <c r="L9" s="19"/>
      <c r="M9" s="46">
        <f>M8+K9-L9</f>
        <v>1238093.8511999988</v>
      </c>
      <c r="N9" s="19"/>
    </row>
    <row r="10" spans="1:14">
      <c r="A10" s="28">
        <v>7</v>
      </c>
      <c r="B10" s="29">
        <v>45815</v>
      </c>
      <c r="C10" s="19">
        <v>2986</v>
      </c>
      <c r="D10" s="19" t="s">
        <v>119</v>
      </c>
      <c r="E10" s="19">
        <v>3716</v>
      </c>
      <c r="F10" s="19">
        <v>95.68</v>
      </c>
      <c r="G10" s="19">
        <f>E10*F10</f>
        <v>355546.88</v>
      </c>
      <c r="H10" s="19">
        <v>0</v>
      </c>
      <c r="I10" s="19">
        <v>107.46</v>
      </c>
      <c r="J10" s="19">
        <f>H10*I10</f>
        <v>0</v>
      </c>
      <c r="K10" s="273">
        <f>G10+J10</f>
        <v>355546.88</v>
      </c>
      <c r="L10" s="19"/>
      <c r="M10" s="46">
        <f>M9+K10-L10</f>
        <v>1593640.7311999989</v>
      </c>
      <c r="N10" s="19"/>
    </row>
    <row r="11" spans="1:14">
      <c r="A11" s="28">
        <v>8</v>
      </c>
      <c r="B11" s="29">
        <v>45816</v>
      </c>
      <c r="C11" s="19">
        <v>2989</v>
      </c>
      <c r="D11" s="19" t="s">
        <v>120</v>
      </c>
      <c r="E11" s="19">
        <v>5000.3100000000004</v>
      </c>
      <c r="F11" s="19">
        <v>95.68</v>
      </c>
      <c r="G11" s="19">
        <f>E11*F11</f>
        <v>478429.66080000007</v>
      </c>
      <c r="H11" s="19">
        <v>20</v>
      </c>
      <c r="I11" s="19">
        <v>107.46</v>
      </c>
      <c r="J11" s="19">
        <f>H11*I11</f>
        <v>2149.1999999999998</v>
      </c>
      <c r="K11" s="273">
        <f>G11+J11</f>
        <v>480578.86080000008</v>
      </c>
      <c r="L11" s="19"/>
      <c r="M11" s="46">
        <f>M10+K11-L11</f>
        <v>2074219.591999999</v>
      </c>
      <c r="N11" s="19"/>
    </row>
    <row r="12" spans="1:14">
      <c r="A12" s="28">
        <v>9</v>
      </c>
      <c r="B12" s="29">
        <v>45817</v>
      </c>
      <c r="C12" s="385"/>
      <c r="D12" s="384"/>
      <c r="E12" s="19">
        <v>0</v>
      </c>
      <c r="F12" s="19">
        <v>0</v>
      </c>
      <c r="G12" s="19">
        <f>E12*F12</f>
        <v>0</v>
      </c>
      <c r="H12" s="19">
        <v>0</v>
      </c>
      <c r="I12" s="19">
        <v>0</v>
      </c>
      <c r="J12" s="19">
        <f>H12*I12</f>
        <v>0</v>
      </c>
      <c r="K12" s="273">
        <f>G12+J12</f>
        <v>0</v>
      </c>
      <c r="L12" s="19"/>
      <c r="M12" s="46">
        <f>M11+K12-L12</f>
        <v>2074219.591999999</v>
      </c>
      <c r="N12" s="19"/>
    </row>
    <row r="13" spans="1:14">
      <c r="A13" s="28">
        <v>10</v>
      </c>
      <c r="B13" s="29">
        <v>45818</v>
      </c>
      <c r="C13" s="19">
        <v>3010</v>
      </c>
      <c r="D13" s="19" t="s">
        <v>121</v>
      </c>
      <c r="E13" s="19">
        <v>9310.15</v>
      </c>
      <c r="F13" s="19">
        <v>95.68</v>
      </c>
      <c r="G13" s="46">
        <f>E13*F13</f>
        <v>890795.152</v>
      </c>
      <c r="H13" s="19">
        <v>0</v>
      </c>
      <c r="I13" s="19">
        <v>0</v>
      </c>
      <c r="J13" s="19">
        <f>H13*I13</f>
        <v>0</v>
      </c>
      <c r="K13" s="273">
        <f>G13+J13</f>
        <v>890795.152</v>
      </c>
      <c r="L13" s="19"/>
      <c r="M13" s="46">
        <f>M12+K13-L13</f>
        <v>2965014.743999999</v>
      </c>
      <c r="N13" s="19"/>
    </row>
    <row r="14" spans="1:14">
      <c r="A14" s="28">
        <v>11</v>
      </c>
      <c r="B14" s="29">
        <v>45819</v>
      </c>
      <c r="C14" s="19">
        <v>3017</v>
      </c>
      <c r="D14" s="19" t="s">
        <v>122</v>
      </c>
      <c r="E14" s="19">
        <v>9100</v>
      </c>
      <c r="F14" s="19">
        <v>95.68</v>
      </c>
      <c r="G14" s="19">
        <f>E14*F14</f>
        <v>870688.00000000012</v>
      </c>
      <c r="H14" s="19">
        <v>55</v>
      </c>
      <c r="I14" s="19">
        <v>107.46</v>
      </c>
      <c r="J14" s="19">
        <f>H14*I14</f>
        <v>5910.2999999999993</v>
      </c>
      <c r="K14" s="273">
        <f>G14+J14</f>
        <v>876598.30000000016</v>
      </c>
      <c r="L14" s="19"/>
      <c r="M14" s="46">
        <f t="shared" ref="M14:M33" si="1">M13+K14-L14</f>
        <v>3841613.0439999993</v>
      </c>
      <c r="N14" s="19"/>
    </row>
    <row r="15" spans="1:14">
      <c r="A15" s="28">
        <v>12</v>
      </c>
      <c r="B15" s="29">
        <v>45820</v>
      </c>
      <c r="C15" s="19">
        <v>3019</v>
      </c>
      <c r="D15" s="19" t="s">
        <v>123</v>
      </c>
      <c r="E15" s="19">
        <v>7500.1100000000006</v>
      </c>
      <c r="F15" s="19">
        <v>95.68</v>
      </c>
      <c r="G15" s="19">
        <f>E15*F15</f>
        <v>717610.52480000013</v>
      </c>
      <c r="H15" s="19">
        <v>40</v>
      </c>
      <c r="I15" s="19">
        <v>107.46</v>
      </c>
      <c r="J15" s="19">
        <f>H15*I15</f>
        <v>4298.3999999999996</v>
      </c>
      <c r="K15" s="273">
        <f>G15+J15</f>
        <v>721908.92480000015</v>
      </c>
      <c r="L15" s="19"/>
      <c r="M15" s="46">
        <f t="shared" si="1"/>
        <v>4563521.968799999</v>
      </c>
      <c r="N15" s="19"/>
    </row>
    <row r="16" spans="1:14">
      <c r="A16" s="28">
        <v>13</v>
      </c>
      <c r="B16" s="29">
        <v>45821</v>
      </c>
      <c r="C16" s="19">
        <v>3030</v>
      </c>
      <c r="D16" s="19" t="s">
        <v>124</v>
      </c>
      <c r="E16" s="19">
        <v>13500</v>
      </c>
      <c r="F16" s="19">
        <v>95.68</v>
      </c>
      <c r="G16" s="19">
        <f>E16*F16</f>
        <v>1291680</v>
      </c>
      <c r="H16" s="19">
        <v>40</v>
      </c>
      <c r="I16" s="19">
        <v>107.46</v>
      </c>
      <c r="J16" s="19">
        <f>H16*I16</f>
        <v>4298.3999999999996</v>
      </c>
      <c r="K16" s="273">
        <f>G16+J16</f>
        <v>1295978.3999999999</v>
      </c>
      <c r="L16" s="19"/>
      <c r="M16" s="46">
        <f t="shared" si="1"/>
        <v>5859500.3687999994</v>
      </c>
      <c r="N16" s="19"/>
    </row>
    <row r="17" spans="1:14">
      <c r="A17" s="28">
        <v>14</v>
      </c>
      <c r="B17" s="29">
        <v>45822</v>
      </c>
      <c r="C17" s="19">
        <v>3031</v>
      </c>
      <c r="D17" s="19" t="s">
        <v>125</v>
      </c>
      <c r="E17" s="19">
        <v>10365.24</v>
      </c>
      <c r="F17" s="19">
        <v>95.68</v>
      </c>
      <c r="G17" s="19">
        <f>E17*F17</f>
        <v>991746.16320000007</v>
      </c>
      <c r="H17" s="19">
        <v>40</v>
      </c>
      <c r="I17" s="19">
        <v>107.46</v>
      </c>
      <c r="J17" s="19">
        <f>H17*I17</f>
        <v>4298.3999999999996</v>
      </c>
      <c r="K17" s="273">
        <f>G17+J17</f>
        <v>996044.56320000009</v>
      </c>
      <c r="L17" s="19"/>
      <c r="M17" s="46">
        <f t="shared" si="1"/>
        <v>6855544.9319999991</v>
      </c>
      <c r="N17" s="19"/>
    </row>
    <row r="18" spans="1:14">
      <c r="A18" s="28">
        <v>15</v>
      </c>
      <c r="B18" s="29">
        <v>45823</v>
      </c>
      <c r="C18" s="19">
        <v>3045</v>
      </c>
      <c r="D18" s="19" t="s">
        <v>126</v>
      </c>
      <c r="E18" s="19">
        <v>8730.11</v>
      </c>
      <c r="F18" s="19">
        <v>95.68</v>
      </c>
      <c r="G18" s="19">
        <f>E18*F18</f>
        <v>835296.92480000015</v>
      </c>
      <c r="H18" s="19">
        <v>20</v>
      </c>
      <c r="I18" s="19">
        <v>107.46</v>
      </c>
      <c r="J18" s="19">
        <f>H18*I18</f>
        <v>2149.1999999999998</v>
      </c>
      <c r="K18" s="273">
        <f>G18+J18</f>
        <v>837446.12480000011</v>
      </c>
      <c r="L18" s="19"/>
      <c r="M18" s="46">
        <f t="shared" si="1"/>
        <v>7692991.0567999994</v>
      </c>
      <c r="N18" s="19"/>
    </row>
    <row r="19" spans="1:14">
      <c r="A19" s="28">
        <v>16</v>
      </c>
      <c r="B19" s="29">
        <v>45824</v>
      </c>
      <c r="C19" s="19">
        <v>3065</v>
      </c>
      <c r="D19" s="19" t="s">
        <v>127</v>
      </c>
      <c r="E19" s="19">
        <v>8600.07</v>
      </c>
      <c r="F19" s="19">
        <v>95.68</v>
      </c>
      <c r="G19" s="19">
        <f>E19*F19</f>
        <v>822854.69760000007</v>
      </c>
      <c r="H19" s="19">
        <v>0</v>
      </c>
      <c r="I19" s="19">
        <v>0</v>
      </c>
      <c r="J19" s="19">
        <f>H19*I19</f>
        <v>0</v>
      </c>
      <c r="K19" s="273">
        <f>G19+J19</f>
        <v>822854.69760000007</v>
      </c>
      <c r="L19" s="19"/>
      <c r="M19" s="46">
        <f t="shared" si="1"/>
        <v>8515845.7544</v>
      </c>
      <c r="N19" s="19"/>
    </row>
    <row r="20" spans="1:14">
      <c r="A20" s="28">
        <v>17</v>
      </c>
      <c r="B20" s="29">
        <v>45825</v>
      </c>
      <c r="C20" s="19">
        <v>3074</v>
      </c>
      <c r="D20" s="19" t="s">
        <v>128</v>
      </c>
      <c r="E20" s="19">
        <v>6997.07</v>
      </c>
      <c r="F20" s="19">
        <v>95.68</v>
      </c>
      <c r="G20" s="19">
        <f>E20*F20</f>
        <v>669479.65760000004</v>
      </c>
      <c r="H20" s="19">
        <v>60</v>
      </c>
      <c r="I20" s="19">
        <v>107.46</v>
      </c>
      <c r="J20" s="19">
        <f>H20*I20</f>
        <v>6447.5999999999995</v>
      </c>
      <c r="K20" s="273">
        <f>G20+J20</f>
        <v>675927.25760000001</v>
      </c>
      <c r="L20" s="19"/>
      <c r="M20" s="46">
        <f t="shared" si="1"/>
        <v>9191773.0120000001</v>
      </c>
      <c r="N20" s="19"/>
    </row>
    <row r="21" spans="1:14" ht="16.5">
      <c r="A21" s="28">
        <v>18</v>
      </c>
      <c r="B21" s="29">
        <v>45826</v>
      </c>
      <c r="C21" s="385">
        <v>3085</v>
      </c>
      <c r="D21" s="384" t="s">
        <v>129</v>
      </c>
      <c r="E21" s="19">
        <v>9385</v>
      </c>
      <c r="F21" s="19">
        <v>95.68</v>
      </c>
      <c r="G21" s="19">
        <f>E21*F21</f>
        <v>897956.8</v>
      </c>
      <c r="H21" s="19">
        <v>40</v>
      </c>
      <c r="I21" s="19">
        <v>107.46</v>
      </c>
      <c r="J21" s="19">
        <f>H21*I21</f>
        <v>4298.3999999999996</v>
      </c>
      <c r="K21" s="273">
        <f>G21+J21</f>
        <v>902255.20000000007</v>
      </c>
      <c r="L21" s="19"/>
      <c r="M21" s="46">
        <f t="shared" si="1"/>
        <v>10094028.211999999</v>
      </c>
      <c r="N21" s="19"/>
    </row>
    <row r="22" spans="1:14">
      <c r="A22" s="28">
        <v>19</v>
      </c>
      <c r="B22" s="29">
        <v>45827</v>
      </c>
      <c r="C22" s="227">
        <v>3104</v>
      </c>
      <c r="D22" s="227">
        <v>1380</v>
      </c>
      <c r="E22" s="19">
        <v>2800</v>
      </c>
      <c r="F22" s="19">
        <v>95.68</v>
      </c>
      <c r="G22" s="19">
        <f>E22*F22</f>
        <v>267904</v>
      </c>
      <c r="H22" s="19">
        <v>0</v>
      </c>
      <c r="I22" s="19">
        <v>0</v>
      </c>
      <c r="J22" s="19">
        <f>H22*I22</f>
        <v>0</v>
      </c>
      <c r="K22" s="273">
        <f>G22+J22</f>
        <v>267904</v>
      </c>
      <c r="L22" s="19"/>
      <c r="M22" s="46">
        <f t="shared" si="1"/>
        <v>10361932.211999999</v>
      </c>
      <c r="N22" s="19"/>
    </row>
    <row r="23" spans="1:14">
      <c r="A23" s="28">
        <v>20</v>
      </c>
      <c r="B23" s="29">
        <v>45828</v>
      </c>
      <c r="C23" s="19">
        <v>3120</v>
      </c>
      <c r="D23" s="19">
        <v>1399</v>
      </c>
      <c r="E23" s="19">
        <v>2942.85</v>
      </c>
      <c r="F23" s="19">
        <v>95.68</v>
      </c>
      <c r="G23" s="19">
        <f>E23*F23</f>
        <v>281571.88800000004</v>
      </c>
      <c r="H23" s="19">
        <v>0</v>
      </c>
      <c r="I23" s="19">
        <v>0</v>
      </c>
      <c r="J23" s="19">
        <f>H23*I23</f>
        <v>0</v>
      </c>
      <c r="K23" s="273">
        <f>G23+J23</f>
        <v>281571.88800000004</v>
      </c>
      <c r="L23" s="19"/>
      <c r="M23" s="46">
        <f t="shared" si="1"/>
        <v>10643504.1</v>
      </c>
      <c r="N23" s="19"/>
    </row>
    <row r="24" spans="1:14">
      <c r="A24" s="28">
        <v>21</v>
      </c>
      <c r="B24" s="29">
        <v>45829</v>
      </c>
      <c r="C24" s="19">
        <v>3122</v>
      </c>
      <c r="D24" s="19" t="s">
        <v>130</v>
      </c>
      <c r="E24" s="19">
        <v>7000.46</v>
      </c>
      <c r="F24" s="19">
        <v>95.68</v>
      </c>
      <c r="G24" s="19">
        <f>E24*F24</f>
        <v>669804.01280000003</v>
      </c>
      <c r="H24" s="19">
        <v>40</v>
      </c>
      <c r="I24" s="19">
        <v>107.46</v>
      </c>
      <c r="J24" s="19">
        <f>H24*I24</f>
        <v>4298.3999999999996</v>
      </c>
      <c r="K24" s="273">
        <f>G24+J24</f>
        <v>674102.41280000005</v>
      </c>
      <c r="L24" s="19"/>
      <c r="M24" s="46">
        <f t="shared" si="1"/>
        <v>11317606.512800001</v>
      </c>
      <c r="N24" s="19"/>
    </row>
    <row r="25" spans="1:14">
      <c r="A25" s="28">
        <v>22</v>
      </c>
      <c r="B25" s="29">
        <v>45830</v>
      </c>
      <c r="C25" s="19">
        <v>3153</v>
      </c>
      <c r="D25" s="19" t="s">
        <v>131</v>
      </c>
      <c r="E25" s="19">
        <v>6452.43</v>
      </c>
      <c r="F25" s="19">
        <v>95.68</v>
      </c>
      <c r="G25" s="19">
        <f>E25*F25</f>
        <v>617368.50240000011</v>
      </c>
      <c r="H25" s="19">
        <v>0</v>
      </c>
      <c r="I25" s="19">
        <v>0</v>
      </c>
      <c r="J25" s="19">
        <f>H25*I25</f>
        <v>0</v>
      </c>
      <c r="K25" s="273">
        <f>G25+J25</f>
        <v>617368.50240000011</v>
      </c>
      <c r="L25" s="19"/>
      <c r="M25" s="46">
        <f t="shared" si="1"/>
        <v>11934975.0152</v>
      </c>
      <c r="N25" s="19"/>
    </row>
    <row r="26" spans="1:14">
      <c r="A26" s="28">
        <v>23</v>
      </c>
      <c r="B26" s="29">
        <v>45831</v>
      </c>
      <c r="C26" s="19">
        <v>3154</v>
      </c>
      <c r="D26" s="19">
        <v>1500</v>
      </c>
      <c r="E26" s="19">
        <v>4112.71</v>
      </c>
      <c r="F26" s="19">
        <v>95.67</v>
      </c>
      <c r="G26" s="19">
        <f>E26*F26</f>
        <v>393462.9657</v>
      </c>
      <c r="H26" s="19">
        <v>0</v>
      </c>
      <c r="I26" s="19">
        <v>0</v>
      </c>
      <c r="J26" s="19">
        <f>H26*I26</f>
        <v>0</v>
      </c>
      <c r="K26" s="273">
        <f>G26+J26</f>
        <v>393462.9657</v>
      </c>
      <c r="L26" s="19"/>
      <c r="M26" s="46">
        <f t="shared" si="1"/>
        <v>12328437.980900001</v>
      </c>
      <c r="N26" s="19"/>
    </row>
    <row r="27" spans="1:14">
      <c r="A27" s="28">
        <v>24</v>
      </c>
      <c r="B27" s="29">
        <v>45832</v>
      </c>
      <c r="C27" s="19">
        <v>3171</v>
      </c>
      <c r="D27" s="19">
        <v>1528</v>
      </c>
      <c r="E27" s="19">
        <v>5676.03</v>
      </c>
      <c r="F27" s="19">
        <v>95.68</v>
      </c>
      <c r="G27" s="19">
        <f>E27*F27</f>
        <v>543082.55040000007</v>
      </c>
      <c r="H27" s="19">
        <v>20</v>
      </c>
      <c r="I27" s="19">
        <v>107.46</v>
      </c>
      <c r="J27" s="19">
        <f>H27*I27</f>
        <v>2149.1999999999998</v>
      </c>
      <c r="K27" s="273">
        <f>G27+J27</f>
        <v>545231.75040000002</v>
      </c>
      <c r="L27" s="19"/>
      <c r="M27" s="46">
        <f t="shared" si="1"/>
        <v>12873669.7313</v>
      </c>
      <c r="N27" s="19"/>
    </row>
    <row r="28" spans="1:14">
      <c r="A28" s="28">
        <v>25</v>
      </c>
      <c r="B28" s="29">
        <v>45833</v>
      </c>
      <c r="C28" s="19"/>
      <c r="D28" s="110"/>
      <c r="E28" s="19">
        <v>0</v>
      </c>
      <c r="F28" s="19">
        <v>0</v>
      </c>
      <c r="G28" s="19">
        <f>E28*F28</f>
        <v>0</v>
      </c>
      <c r="H28" s="19">
        <v>0</v>
      </c>
      <c r="I28" s="19">
        <v>0</v>
      </c>
      <c r="J28" s="19">
        <f>H28*I28</f>
        <v>0</v>
      </c>
      <c r="K28" s="273">
        <f>G28+J28</f>
        <v>0</v>
      </c>
      <c r="L28" s="19"/>
      <c r="M28" s="46">
        <f t="shared" si="1"/>
        <v>12873669.7313</v>
      </c>
      <c r="N28" s="19"/>
    </row>
    <row r="29" spans="1:14">
      <c r="A29" s="28">
        <v>26</v>
      </c>
      <c r="B29" s="29">
        <v>45834</v>
      </c>
      <c r="C29" s="19">
        <v>3172</v>
      </c>
      <c r="D29" s="19">
        <v>1567</v>
      </c>
      <c r="E29" s="19">
        <v>2478.11</v>
      </c>
      <c r="F29" s="19">
        <v>95.68</v>
      </c>
      <c r="G29" s="19">
        <f>E29*F29</f>
        <v>237105.56480000002</v>
      </c>
      <c r="H29" s="19">
        <v>0</v>
      </c>
      <c r="I29" s="19">
        <v>0</v>
      </c>
      <c r="J29" s="19">
        <f>H29*I29</f>
        <v>0</v>
      </c>
      <c r="K29" s="273">
        <f>G29+J29</f>
        <v>237105.56480000002</v>
      </c>
      <c r="L29" s="19"/>
      <c r="M29" s="46">
        <f t="shared" si="1"/>
        <v>13110775.2961</v>
      </c>
      <c r="N29" s="19"/>
    </row>
    <row r="30" spans="1:14">
      <c r="A30" s="28">
        <v>27</v>
      </c>
      <c r="B30" s="29">
        <v>45835</v>
      </c>
      <c r="C30" s="19"/>
      <c r="D30" s="19"/>
      <c r="E30" s="19">
        <v>0</v>
      </c>
      <c r="F30" s="19">
        <v>0</v>
      </c>
      <c r="G30" s="19">
        <f>E30*F30</f>
        <v>0</v>
      </c>
      <c r="H30" s="19">
        <v>0</v>
      </c>
      <c r="I30" s="19">
        <v>0</v>
      </c>
      <c r="J30" s="19">
        <f>H30*I30</f>
        <v>0</v>
      </c>
      <c r="K30" s="273">
        <f>G30+J30</f>
        <v>0</v>
      </c>
      <c r="L30" s="19"/>
      <c r="M30" s="46">
        <f t="shared" si="1"/>
        <v>13110775.2961</v>
      </c>
      <c r="N30" s="19"/>
    </row>
    <row r="31" spans="1:14">
      <c r="A31" s="28">
        <v>28</v>
      </c>
      <c r="B31" s="29">
        <v>45836</v>
      </c>
      <c r="C31" s="19">
        <v>3193</v>
      </c>
      <c r="D31" s="19">
        <v>1630</v>
      </c>
      <c r="E31" s="19">
        <v>2229.15</v>
      </c>
      <c r="F31" s="19">
        <v>95.68</v>
      </c>
      <c r="G31" s="19">
        <f>E31*F31</f>
        <v>213285.07200000001</v>
      </c>
      <c r="H31" s="19">
        <v>0</v>
      </c>
      <c r="I31" s="19">
        <v>0</v>
      </c>
      <c r="J31" s="19">
        <f>H31*I31</f>
        <v>0</v>
      </c>
      <c r="K31" s="273">
        <f>G31+J31</f>
        <v>213285.07200000001</v>
      </c>
      <c r="L31" s="19"/>
      <c r="M31" s="46">
        <f t="shared" si="1"/>
        <v>13324060.368100001</v>
      </c>
      <c r="N31" s="19"/>
    </row>
    <row r="32" spans="1:14">
      <c r="A32" s="28">
        <v>29</v>
      </c>
      <c r="B32" s="29">
        <v>45837</v>
      </c>
      <c r="C32" s="19"/>
      <c r="D32" s="19">
        <v>1631</v>
      </c>
      <c r="E32" s="19">
        <v>2500</v>
      </c>
      <c r="F32" s="19">
        <v>95.68</v>
      </c>
      <c r="G32" s="19">
        <f>E32*F32</f>
        <v>239200.00000000003</v>
      </c>
      <c r="H32" s="19">
        <v>20</v>
      </c>
      <c r="I32" s="19">
        <v>107.46</v>
      </c>
      <c r="J32" s="19">
        <f>H32*I32</f>
        <v>2149.1999999999998</v>
      </c>
      <c r="K32" s="273">
        <f>G32+J32</f>
        <v>241349.20000000004</v>
      </c>
      <c r="L32" s="19"/>
      <c r="M32" s="46">
        <f t="shared" si="1"/>
        <v>13565409.5681</v>
      </c>
      <c r="N32" s="19"/>
    </row>
    <row r="33" spans="1:14">
      <c r="A33" s="28">
        <v>30</v>
      </c>
      <c r="B33" s="29">
        <v>45838</v>
      </c>
      <c r="C33" s="19"/>
      <c r="D33" s="19"/>
      <c r="E33" s="19">
        <v>0</v>
      </c>
      <c r="F33" s="19">
        <v>0</v>
      </c>
      <c r="G33" s="19">
        <f>E33*F33</f>
        <v>0</v>
      </c>
      <c r="H33" s="19">
        <v>0</v>
      </c>
      <c r="I33" s="19">
        <v>0</v>
      </c>
      <c r="J33" s="19">
        <f>H33*I33</f>
        <v>0</v>
      </c>
      <c r="K33" s="273">
        <f>G33+J33</f>
        <v>0</v>
      </c>
      <c r="L33" s="19"/>
      <c r="M33" s="46">
        <f t="shared" si="1"/>
        <v>13565409.5681</v>
      </c>
      <c r="N33" s="19"/>
    </row>
    <row r="34" spans="1:14">
      <c r="A34" s="28">
        <v>31</v>
      </c>
      <c r="B34" s="29"/>
      <c r="C34" s="19"/>
      <c r="D34" s="19"/>
      <c r="E34" s="19">
        <v>0</v>
      </c>
      <c r="F34" s="19">
        <v>0</v>
      </c>
      <c r="G34" s="19">
        <f>E34*F34</f>
        <v>0</v>
      </c>
      <c r="H34" s="19">
        <v>0</v>
      </c>
      <c r="I34" s="19">
        <v>0</v>
      </c>
      <c r="J34" s="19">
        <f>H34*I34</f>
        <v>0</v>
      </c>
      <c r="K34" s="273">
        <f>G34+J34</f>
        <v>0</v>
      </c>
      <c r="L34" s="19"/>
      <c r="M34" s="46">
        <f>M33+K34-L34</f>
        <v>13565409.5681</v>
      </c>
      <c r="N34" s="19"/>
    </row>
    <row r="35" spans="1:14">
      <c r="A35" s="28">
        <v>32</v>
      </c>
      <c r="B35" s="29"/>
      <c r="C35" s="19"/>
      <c r="D35" s="19"/>
      <c r="E35" s="19">
        <v>0</v>
      </c>
      <c r="F35" s="19">
        <v>0</v>
      </c>
      <c r="G35" s="19">
        <f>E35*F35</f>
        <v>0</v>
      </c>
      <c r="H35" s="19">
        <v>0</v>
      </c>
      <c r="I35" s="19">
        <v>0</v>
      </c>
      <c r="J35" s="19">
        <f>H35*I35</f>
        <v>0</v>
      </c>
      <c r="K35" s="273">
        <f>G35+J35</f>
        <v>0</v>
      </c>
      <c r="L35" s="19"/>
      <c r="M35" s="19"/>
      <c r="N35" s="19"/>
    </row>
    <row r="36" spans="1:14">
      <c r="A36" s="28">
        <v>33</v>
      </c>
      <c r="B36" s="29"/>
      <c r="C36" s="19"/>
      <c r="D36" s="19"/>
      <c r="E36" s="19"/>
      <c r="F36" s="19"/>
      <c r="G36" s="19"/>
      <c r="H36" s="19"/>
      <c r="I36" s="19"/>
      <c r="J36" s="19"/>
      <c r="K36" s="273"/>
      <c r="L36" s="19"/>
      <c r="M36" s="19"/>
      <c r="N36" s="19"/>
    </row>
    <row r="37" spans="1:14">
      <c r="A37" s="51"/>
      <c r="B37" s="51"/>
      <c r="C37" s="51"/>
      <c r="D37" s="51"/>
      <c r="E37" s="286">
        <f>SUM(E3:E36)</f>
        <v>148695.59</v>
      </c>
      <c r="F37" s="286"/>
      <c r="G37" s="286">
        <f>SUM(G3:G36)</f>
        <v>14227152.924100004</v>
      </c>
      <c r="H37" s="286">
        <f>SUM(H3:H36)</f>
        <v>630</v>
      </c>
      <c r="I37" s="286"/>
      <c r="J37" s="286">
        <f>SUM(J3:J36)</f>
        <v>67699.8</v>
      </c>
      <c r="K37" s="286">
        <f>SUM(K4:K36)</f>
        <v>14294852.724099999</v>
      </c>
      <c r="L37" s="286">
        <f>SUM(L3:L36)</f>
        <v>10036782</v>
      </c>
      <c r="M37" s="286"/>
      <c r="N37" s="286"/>
    </row>
  </sheetData>
  <mergeCells count="2">
    <mergeCell ref="A1:N1"/>
    <mergeCell ref="A3:J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40FDB-C841-4265-A23A-57FCCE1432F4}">
  <sheetPr>
    <tabColor rgb="FF00B050"/>
  </sheetPr>
  <dimension ref="A1:O39"/>
  <sheetViews>
    <sheetView topLeftCell="A24" workbookViewId="0">
      <selection activeCell="M34" sqref="M34"/>
    </sheetView>
  </sheetViews>
  <sheetFormatPr defaultRowHeight="15"/>
  <cols>
    <col min="2" max="2" width="12.140625" customWidth="1"/>
    <col min="4" max="4" width="20.85546875" customWidth="1"/>
    <col min="5" max="5" width="23.42578125" customWidth="1"/>
    <col min="7" max="7" width="14.42578125" customWidth="1"/>
    <col min="11" max="11" width="15.5703125" customWidth="1"/>
    <col min="12" max="12" width="16.7109375" customWidth="1"/>
    <col min="13" max="13" width="16" customWidth="1"/>
    <col min="14" max="14" width="34.5703125" customWidth="1"/>
  </cols>
  <sheetData>
    <row r="1" spans="1:14" ht="15.75">
      <c r="A1" s="452" t="s">
        <v>16</v>
      </c>
      <c r="B1" s="452"/>
      <c r="C1" s="452"/>
      <c r="D1" s="452"/>
      <c r="E1" s="452"/>
      <c r="F1" s="452"/>
      <c r="G1" s="452"/>
      <c r="H1" s="452"/>
      <c r="I1" s="452"/>
      <c r="J1" s="452"/>
      <c r="K1" s="452"/>
      <c r="L1" s="452"/>
      <c r="M1" s="452"/>
      <c r="N1" s="452"/>
    </row>
    <row r="2" spans="1:14" ht="30.75">
      <c r="A2" s="76" t="s">
        <v>102</v>
      </c>
      <c r="B2" s="96" t="s">
        <v>103</v>
      </c>
      <c r="C2" s="96" t="s">
        <v>104</v>
      </c>
      <c r="D2" s="96" t="s">
        <v>105</v>
      </c>
      <c r="E2" s="96" t="s">
        <v>106</v>
      </c>
      <c r="F2" s="96" t="s">
        <v>107</v>
      </c>
      <c r="G2" s="96" t="s">
        <v>108</v>
      </c>
      <c r="H2" s="96" t="s">
        <v>109</v>
      </c>
      <c r="I2" s="96" t="s">
        <v>107</v>
      </c>
      <c r="J2" s="97" t="s">
        <v>108</v>
      </c>
      <c r="K2" s="139" t="s">
        <v>110</v>
      </c>
      <c r="L2" s="142" t="s">
        <v>111</v>
      </c>
      <c r="M2" s="142" t="s">
        <v>112</v>
      </c>
      <c r="N2" s="140" t="s">
        <v>113</v>
      </c>
    </row>
    <row r="3" spans="1:14">
      <c r="A3" s="455" t="s">
        <v>114</v>
      </c>
      <c r="B3" s="456"/>
      <c r="C3" s="456"/>
      <c r="D3" s="456"/>
      <c r="E3" s="456"/>
      <c r="F3" s="456"/>
      <c r="G3" s="456"/>
      <c r="H3" s="456"/>
      <c r="I3" s="456"/>
      <c r="J3" s="456"/>
      <c r="K3" s="282">
        <v>7457303.3830000004</v>
      </c>
      <c r="L3" s="283"/>
      <c r="M3" s="255">
        <f>+K3</f>
        <v>7457303.3830000004</v>
      </c>
      <c r="N3" s="107"/>
    </row>
    <row r="4" spans="1:14">
      <c r="A4" s="28">
        <v>1</v>
      </c>
      <c r="B4" s="29">
        <v>45809</v>
      </c>
      <c r="C4" s="19"/>
      <c r="D4" s="369">
        <v>2924</v>
      </c>
      <c r="E4" s="382">
        <f>2500+1800</f>
        <v>4300</v>
      </c>
      <c r="F4" s="383">
        <v>95.7</v>
      </c>
      <c r="G4" s="19">
        <f>E4*F4</f>
        <v>411510</v>
      </c>
      <c r="H4" s="19">
        <v>0</v>
      </c>
      <c r="I4" s="19">
        <v>0</v>
      </c>
      <c r="J4" s="19">
        <v>0</v>
      </c>
      <c r="K4" s="19">
        <f>G4+J4</f>
        <v>411510</v>
      </c>
      <c r="L4" s="19"/>
      <c r="M4" s="46">
        <f>M3+K4-L4</f>
        <v>7868813.3830000004</v>
      </c>
      <c r="N4" s="19"/>
    </row>
    <row r="5" spans="1:14">
      <c r="A5" s="28">
        <v>2</v>
      </c>
      <c r="B5" s="29">
        <v>45810</v>
      </c>
      <c r="C5" s="369">
        <v>2924</v>
      </c>
      <c r="D5" s="369">
        <v>2932</v>
      </c>
      <c r="E5" s="382">
        <v>2384.25</v>
      </c>
      <c r="F5" s="383">
        <v>95.7</v>
      </c>
      <c r="G5" s="19">
        <f t="shared" ref="G5:G34" si="0">E5*F5</f>
        <v>228172.72500000001</v>
      </c>
      <c r="H5" s="19">
        <v>0</v>
      </c>
      <c r="I5" s="19">
        <v>0</v>
      </c>
      <c r="J5" s="19">
        <v>0</v>
      </c>
      <c r="K5" s="19">
        <f t="shared" ref="K5:K34" si="1">G5+J5</f>
        <v>228172.72500000001</v>
      </c>
      <c r="L5" s="19"/>
      <c r="M5" s="46">
        <f t="shared" ref="M5:M17" si="2">M4+K5-L5</f>
        <v>8096986.108</v>
      </c>
      <c r="N5" s="19"/>
    </row>
    <row r="6" spans="1:14">
      <c r="A6" s="28">
        <v>3</v>
      </c>
      <c r="B6" s="29">
        <v>45811</v>
      </c>
      <c r="C6" s="369">
        <v>2941</v>
      </c>
      <c r="D6" s="370" t="s">
        <v>132</v>
      </c>
      <c r="E6" s="382">
        <v>5299.96</v>
      </c>
      <c r="F6" s="383">
        <v>95.7</v>
      </c>
      <c r="G6" s="19">
        <f t="shared" si="0"/>
        <v>507206.17200000002</v>
      </c>
      <c r="H6" s="19">
        <v>0</v>
      </c>
      <c r="I6" s="19">
        <v>0</v>
      </c>
      <c r="J6" s="19">
        <v>0</v>
      </c>
      <c r="K6" s="19">
        <f t="shared" si="1"/>
        <v>507206.17200000002</v>
      </c>
      <c r="L6" s="19"/>
      <c r="M6" s="46">
        <f t="shared" si="2"/>
        <v>8604192.2799999993</v>
      </c>
      <c r="N6" s="19"/>
    </row>
    <row r="7" spans="1:14">
      <c r="A7" s="28">
        <v>4</v>
      </c>
      <c r="B7" s="29">
        <v>45812</v>
      </c>
      <c r="C7" s="227">
        <v>2952</v>
      </c>
      <c r="D7" s="227">
        <v>2562</v>
      </c>
      <c r="E7" s="19">
        <v>2503.0700000000002</v>
      </c>
      <c r="F7" s="383">
        <v>95.7</v>
      </c>
      <c r="G7" s="19">
        <f t="shared" si="0"/>
        <v>239543.79900000003</v>
      </c>
      <c r="H7" s="19">
        <v>0</v>
      </c>
      <c r="I7" s="19">
        <v>0</v>
      </c>
      <c r="J7" s="19">
        <v>0</v>
      </c>
      <c r="K7" s="19">
        <f t="shared" si="1"/>
        <v>239543.79900000003</v>
      </c>
      <c r="L7" s="19"/>
      <c r="M7" s="46">
        <f t="shared" si="2"/>
        <v>8843736.0789999999</v>
      </c>
      <c r="N7" s="19"/>
    </row>
    <row r="8" spans="1:14">
      <c r="A8" s="28">
        <v>5</v>
      </c>
      <c r="B8" s="29">
        <v>45813</v>
      </c>
      <c r="C8" s="227">
        <v>2963</v>
      </c>
      <c r="D8" s="227">
        <v>2579</v>
      </c>
      <c r="E8" s="19">
        <v>3024.9</v>
      </c>
      <c r="F8" s="383">
        <v>95.7</v>
      </c>
      <c r="G8" s="19">
        <f t="shared" si="0"/>
        <v>289482.93</v>
      </c>
      <c r="H8" s="19">
        <v>0</v>
      </c>
      <c r="I8" s="19">
        <v>0</v>
      </c>
      <c r="J8" s="19">
        <v>0</v>
      </c>
      <c r="K8" s="19">
        <f t="shared" si="1"/>
        <v>289482.93</v>
      </c>
      <c r="L8" s="273">
        <v>8843736.0789999999</v>
      </c>
      <c r="M8" s="46">
        <f t="shared" si="2"/>
        <v>289482.9299999997</v>
      </c>
      <c r="N8" s="19"/>
    </row>
    <row r="9" spans="1:14">
      <c r="A9" s="28">
        <v>6</v>
      </c>
      <c r="B9" s="29">
        <v>45814</v>
      </c>
      <c r="C9" s="227">
        <v>2964</v>
      </c>
      <c r="D9" s="227" t="s">
        <v>133</v>
      </c>
      <c r="E9" s="19">
        <v>2700</v>
      </c>
      <c r="F9" s="383">
        <v>95.7</v>
      </c>
      <c r="G9" s="19">
        <f t="shared" si="0"/>
        <v>258390</v>
      </c>
      <c r="H9" s="19">
        <v>0</v>
      </c>
      <c r="I9" s="19">
        <v>0</v>
      </c>
      <c r="J9" s="19">
        <v>0</v>
      </c>
      <c r="K9" s="19">
        <f t="shared" si="1"/>
        <v>258390</v>
      </c>
      <c r="L9" s="19"/>
      <c r="M9" s="46">
        <f t="shared" si="2"/>
        <v>547872.9299999997</v>
      </c>
      <c r="N9" s="287"/>
    </row>
    <row r="10" spans="1:14">
      <c r="A10" s="28">
        <v>7</v>
      </c>
      <c r="B10" s="29">
        <v>45815</v>
      </c>
      <c r="C10" s="19">
        <v>2987</v>
      </c>
      <c r="D10" s="19" t="s">
        <v>134</v>
      </c>
      <c r="E10" s="19">
        <v>2160.5700000000002</v>
      </c>
      <c r="F10" s="383">
        <v>95.7</v>
      </c>
      <c r="G10" s="19">
        <f t="shared" si="0"/>
        <v>206766.54900000003</v>
      </c>
      <c r="H10" s="19">
        <v>37.979999999999997</v>
      </c>
      <c r="I10" s="19">
        <v>107.48</v>
      </c>
      <c r="J10" s="19">
        <f>H10*I10</f>
        <v>4082.0903999999996</v>
      </c>
      <c r="K10" s="19">
        <f>G10+J10</f>
        <v>210848.63940000001</v>
      </c>
      <c r="L10" s="19"/>
      <c r="M10" s="46">
        <f t="shared" si="2"/>
        <v>758721.56939999969</v>
      </c>
      <c r="N10" s="19"/>
    </row>
    <row r="11" spans="1:14">
      <c r="A11" s="28">
        <v>8</v>
      </c>
      <c r="B11" s="29">
        <v>45816</v>
      </c>
      <c r="C11" s="19">
        <v>2990</v>
      </c>
      <c r="D11" s="19">
        <v>2617</v>
      </c>
      <c r="E11" s="19">
        <v>2321.4899999999998</v>
      </c>
      <c r="F11" s="383">
        <v>95.7</v>
      </c>
      <c r="G11" s="19">
        <f t="shared" si="0"/>
        <v>222166.59299999999</v>
      </c>
      <c r="H11" s="19">
        <v>0</v>
      </c>
      <c r="I11" s="19">
        <v>0</v>
      </c>
      <c r="J11" s="19">
        <f>H11*I11</f>
        <v>0</v>
      </c>
      <c r="K11" s="19">
        <f t="shared" si="1"/>
        <v>222166.59299999999</v>
      </c>
      <c r="L11" s="19"/>
      <c r="M11" s="46">
        <f t="shared" si="2"/>
        <v>980888.16239999968</v>
      </c>
      <c r="N11" s="19"/>
    </row>
    <row r="12" spans="1:14">
      <c r="A12" s="28">
        <v>9</v>
      </c>
      <c r="B12" s="29">
        <v>45817</v>
      </c>
      <c r="C12" s="19">
        <v>3001</v>
      </c>
      <c r="D12" s="19" t="s">
        <v>135</v>
      </c>
      <c r="E12" s="19">
        <v>10345.15</v>
      </c>
      <c r="F12" s="383">
        <v>95.7</v>
      </c>
      <c r="G12" s="19">
        <f t="shared" si="0"/>
        <v>990030.85499999998</v>
      </c>
      <c r="H12" s="19">
        <v>95</v>
      </c>
      <c r="I12" s="19">
        <v>107.48</v>
      </c>
      <c r="J12" s="19">
        <f>H12*I12</f>
        <v>10210.6</v>
      </c>
      <c r="K12" s="19">
        <f t="shared" si="1"/>
        <v>1000241.455</v>
      </c>
      <c r="L12" s="19"/>
      <c r="M12" s="46">
        <f t="shared" si="2"/>
        <v>1981129.6173999996</v>
      </c>
      <c r="N12" s="19"/>
    </row>
    <row r="13" spans="1:14">
      <c r="A13" s="28">
        <v>10</v>
      </c>
      <c r="B13" s="29">
        <v>45818</v>
      </c>
      <c r="C13" s="19"/>
      <c r="D13" s="19"/>
      <c r="E13" s="19">
        <v>0</v>
      </c>
      <c r="F13" s="19">
        <v>0</v>
      </c>
      <c r="G13" s="19">
        <f t="shared" si="0"/>
        <v>0</v>
      </c>
      <c r="H13" s="19">
        <v>0</v>
      </c>
      <c r="I13" s="19">
        <v>0</v>
      </c>
      <c r="J13" s="19">
        <f>H13*I13</f>
        <v>0</v>
      </c>
      <c r="K13" s="19">
        <f t="shared" si="1"/>
        <v>0</v>
      </c>
      <c r="L13" s="19"/>
      <c r="M13" s="46">
        <f t="shared" si="2"/>
        <v>1981129.6173999996</v>
      </c>
      <c r="N13" s="19"/>
    </row>
    <row r="14" spans="1:14">
      <c r="A14" s="28">
        <v>11</v>
      </c>
      <c r="B14" s="29">
        <v>45819</v>
      </c>
      <c r="C14" s="19"/>
      <c r="D14" s="19"/>
      <c r="E14" s="19">
        <v>0</v>
      </c>
      <c r="F14" s="19">
        <v>0</v>
      </c>
      <c r="G14" s="19">
        <f t="shared" si="0"/>
        <v>0</v>
      </c>
      <c r="H14" s="19">
        <v>0</v>
      </c>
      <c r="I14" s="19">
        <v>0</v>
      </c>
      <c r="J14" s="19">
        <f>H14*I14</f>
        <v>0</v>
      </c>
      <c r="K14" s="19">
        <f t="shared" si="1"/>
        <v>0</v>
      </c>
      <c r="L14" s="19"/>
      <c r="M14" s="46">
        <f t="shared" si="2"/>
        <v>1981129.6173999996</v>
      </c>
      <c r="N14" s="19"/>
    </row>
    <row r="15" spans="1:14">
      <c r="A15" s="28">
        <v>12</v>
      </c>
      <c r="B15" s="29">
        <v>45820</v>
      </c>
      <c r="C15" s="19"/>
      <c r="D15" s="19"/>
      <c r="E15" s="19">
        <v>0</v>
      </c>
      <c r="F15" s="19">
        <v>0</v>
      </c>
      <c r="G15" s="19">
        <f t="shared" si="0"/>
        <v>0</v>
      </c>
      <c r="H15" s="19">
        <v>0</v>
      </c>
      <c r="I15" s="19">
        <v>0</v>
      </c>
      <c r="J15" s="19">
        <f>H15*I15</f>
        <v>0</v>
      </c>
      <c r="K15" s="19">
        <f t="shared" si="1"/>
        <v>0</v>
      </c>
      <c r="L15" s="19"/>
      <c r="M15" s="46">
        <f t="shared" si="2"/>
        <v>1981129.6173999996</v>
      </c>
      <c r="N15" s="19"/>
    </row>
    <row r="16" spans="1:14">
      <c r="A16" s="28">
        <v>13</v>
      </c>
      <c r="B16" s="29">
        <v>45821</v>
      </c>
      <c r="C16" s="19"/>
      <c r="D16" s="19"/>
      <c r="E16" s="19">
        <v>0</v>
      </c>
      <c r="F16" s="19">
        <v>0</v>
      </c>
      <c r="G16" s="19">
        <f t="shared" si="0"/>
        <v>0</v>
      </c>
      <c r="H16" s="19">
        <v>0</v>
      </c>
      <c r="I16" s="19">
        <v>0</v>
      </c>
      <c r="J16" s="19">
        <f>H16*I16</f>
        <v>0</v>
      </c>
      <c r="K16" s="19">
        <f t="shared" si="1"/>
        <v>0</v>
      </c>
      <c r="L16" s="19"/>
      <c r="M16" s="46">
        <f t="shared" si="2"/>
        <v>1981129.6173999996</v>
      </c>
      <c r="N16" s="19"/>
    </row>
    <row r="17" spans="1:15">
      <c r="A17" s="28">
        <v>14</v>
      </c>
      <c r="B17" s="29">
        <v>45822</v>
      </c>
      <c r="C17" s="19"/>
      <c r="D17" s="19"/>
      <c r="E17" s="19">
        <v>0</v>
      </c>
      <c r="F17" s="19">
        <v>0</v>
      </c>
      <c r="G17" s="19">
        <f t="shared" si="0"/>
        <v>0</v>
      </c>
      <c r="H17" s="19">
        <v>0</v>
      </c>
      <c r="I17" s="19">
        <v>0</v>
      </c>
      <c r="J17" s="19">
        <f>H17*I17</f>
        <v>0</v>
      </c>
      <c r="K17" s="19">
        <f t="shared" si="1"/>
        <v>0</v>
      </c>
      <c r="L17" s="19"/>
      <c r="M17" s="46">
        <f>M16+K17-L17</f>
        <v>1981129.6173999996</v>
      </c>
      <c r="N17" s="19"/>
    </row>
    <row r="18" spans="1:15">
      <c r="A18" s="28">
        <v>15</v>
      </c>
      <c r="B18" s="29">
        <v>45823</v>
      </c>
      <c r="C18" s="19"/>
      <c r="D18" s="19"/>
      <c r="E18" s="19">
        <v>0</v>
      </c>
      <c r="F18" s="19">
        <v>0</v>
      </c>
      <c r="G18" s="19">
        <f t="shared" si="0"/>
        <v>0</v>
      </c>
      <c r="H18" s="19">
        <v>0</v>
      </c>
      <c r="I18" s="19">
        <v>0</v>
      </c>
      <c r="J18" s="19">
        <f>H18*I18</f>
        <v>0</v>
      </c>
      <c r="K18" s="19">
        <f t="shared" si="1"/>
        <v>0</v>
      </c>
      <c r="L18" s="19"/>
      <c r="M18" s="46">
        <f>M17+K18-L18</f>
        <v>1981129.6173999996</v>
      </c>
      <c r="N18" s="19"/>
    </row>
    <row r="19" spans="1:15">
      <c r="A19" s="28">
        <v>16</v>
      </c>
      <c r="B19" s="29">
        <v>45824</v>
      </c>
      <c r="C19" s="19"/>
      <c r="D19" s="19"/>
      <c r="E19" s="19">
        <v>0</v>
      </c>
      <c r="F19" s="19">
        <v>0</v>
      </c>
      <c r="G19" s="19">
        <f t="shared" si="0"/>
        <v>0</v>
      </c>
      <c r="H19" s="19">
        <v>0</v>
      </c>
      <c r="I19" s="19">
        <v>0</v>
      </c>
      <c r="J19" s="19">
        <f>H19*I19</f>
        <v>0</v>
      </c>
      <c r="K19" s="19">
        <f t="shared" si="1"/>
        <v>0</v>
      </c>
      <c r="L19" s="19"/>
      <c r="M19" s="46">
        <f>M18+K19-L19</f>
        <v>1981129.6173999996</v>
      </c>
      <c r="N19" s="19"/>
    </row>
    <row r="20" spans="1:15">
      <c r="A20" s="28">
        <v>17</v>
      </c>
      <c r="B20" s="29">
        <v>45825</v>
      </c>
      <c r="C20" s="19">
        <v>3073</v>
      </c>
      <c r="D20" s="19" t="s">
        <v>136</v>
      </c>
      <c r="E20" s="19">
        <v>3029.76</v>
      </c>
      <c r="F20" s="19">
        <v>95.7</v>
      </c>
      <c r="G20" s="19">
        <f t="shared" si="0"/>
        <v>289948.03200000001</v>
      </c>
      <c r="H20" s="19">
        <v>20</v>
      </c>
      <c r="I20" s="19">
        <v>107.48</v>
      </c>
      <c r="J20" s="19">
        <f>H20*I20</f>
        <v>2149.6</v>
      </c>
      <c r="K20" s="19">
        <f t="shared" si="1"/>
        <v>292097.63199999998</v>
      </c>
      <c r="L20" s="19"/>
      <c r="M20" s="46">
        <f>M19+K20-L20</f>
        <v>2273227.2493999996</v>
      </c>
      <c r="N20" s="19"/>
    </row>
    <row r="21" spans="1:15">
      <c r="A21" s="28">
        <v>18</v>
      </c>
      <c r="B21" s="29">
        <v>45826</v>
      </c>
      <c r="C21" s="19">
        <v>3084</v>
      </c>
      <c r="D21" s="19" t="s">
        <v>137</v>
      </c>
      <c r="E21" s="19">
        <v>7800</v>
      </c>
      <c r="F21" s="19">
        <v>95.7</v>
      </c>
      <c r="G21" s="19">
        <f t="shared" si="0"/>
        <v>746460</v>
      </c>
      <c r="H21" s="19">
        <v>20</v>
      </c>
      <c r="I21" s="19">
        <v>107.48</v>
      </c>
      <c r="J21" s="19">
        <f>H21*I21</f>
        <v>2149.6</v>
      </c>
      <c r="K21" s="19">
        <f t="shared" si="1"/>
        <v>748609.6</v>
      </c>
      <c r="L21" s="19"/>
      <c r="M21" s="46">
        <f>M20+K21-L21</f>
        <v>3021836.8493999997</v>
      </c>
      <c r="N21" s="19"/>
    </row>
    <row r="22" spans="1:15">
      <c r="A22" s="28">
        <v>19</v>
      </c>
      <c r="B22" s="29">
        <v>45827</v>
      </c>
      <c r="C22" s="19">
        <v>3105</v>
      </c>
      <c r="D22" s="19" t="s">
        <v>138</v>
      </c>
      <c r="E22" s="19">
        <v>7500</v>
      </c>
      <c r="F22" s="19">
        <v>95.7</v>
      </c>
      <c r="G22" s="19">
        <f t="shared" si="0"/>
        <v>717750</v>
      </c>
      <c r="H22" s="19">
        <v>60</v>
      </c>
      <c r="I22" s="19">
        <v>107.48</v>
      </c>
      <c r="J22" s="19">
        <f>H22*I22</f>
        <v>6448.8</v>
      </c>
      <c r="K22" s="19">
        <f t="shared" si="1"/>
        <v>724198.8</v>
      </c>
      <c r="L22" s="19"/>
      <c r="M22" s="46">
        <f>M21+K22-L22</f>
        <v>3746035.6493999995</v>
      </c>
      <c r="N22" s="19"/>
    </row>
    <row r="23" spans="1:15">
      <c r="A23" s="28">
        <v>20</v>
      </c>
      <c r="B23" s="29">
        <v>45828</v>
      </c>
      <c r="C23" s="19">
        <v>3121</v>
      </c>
      <c r="D23" s="19" t="s">
        <v>139</v>
      </c>
      <c r="E23" s="19">
        <v>10300</v>
      </c>
      <c r="F23" s="19">
        <v>95.7</v>
      </c>
      <c r="G23" s="19">
        <f t="shared" si="0"/>
        <v>985710</v>
      </c>
      <c r="H23" s="19">
        <v>40</v>
      </c>
      <c r="I23" s="19">
        <v>107.48</v>
      </c>
      <c r="J23" s="19">
        <f>H23*I23</f>
        <v>4299.2</v>
      </c>
      <c r="K23" s="19">
        <f t="shared" si="1"/>
        <v>990009.2</v>
      </c>
      <c r="L23" s="19"/>
      <c r="M23" s="46">
        <f>M22+K23-L23</f>
        <v>4736044.8493999997</v>
      </c>
      <c r="N23" s="19"/>
      <c r="O23" t="s">
        <v>140</v>
      </c>
    </row>
    <row r="24" spans="1:15">
      <c r="A24" s="28">
        <v>21</v>
      </c>
      <c r="B24" s="29">
        <v>45829</v>
      </c>
      <c r="C24" s="19"/>
      <c r="D24" s="19"/>
      <c r="E24" s="19">
        <v>0</v>
      </c>
      <c r="F24" s="19">
        <v>0</v>
      </c>
      <c r="G24" s="19">
        <f t="shared" si="0"/>
        <v>0</v>
      </c>
      <c r="H24" s="19">
        <v>0</v>
      </c>
      <c r="I24" s="19">
        <v>0</v>
      </c>
      <c r="J24" s="19">
        <f>H24*I24</f>
        <v>0</v>
      </c>
      <c r="K24" s="19">
        <f t="shared" si="1"/>
        <v>0</v>
      </c>
      <c r="L24" s="19"/>
      <c r="M24" s="46">
        <f>M23+K24-L24</f>
        <v>4736044.8493999997</v>
      </c>
      <c r="N24" s="19"/>
    </row>
    <row r="25" spans="1:15">
      <c r="A25" s="28">
        <v>22</v>
      </c>
      <c r="B25" s="29">
        <v>45830</v>
      </c>
      <c r="C25" s="19"/>
      <c r="D25" s="19" t="s">
        <v>141</v>
      </c>
      <c r="E25" s="19">
        <v>10000</v>
      </c>
      <c r="F25" s="19">
        <v>95.7</v>
      </c>
      <c r="G25" s="19">
        <f t="shared" si="0"/>
        <v>957000</v>
      </c>
      <c r="H25" s="19">
        <v>20</v>
      </c>
      <c r="I25" s="19">
        <v>107.48</v>
      </c>
      <c r="J25" s="19">
        <f>H25*I25</f>
        <v>2149.6</v>
      </c>
      <c r="K25" s="19">
        <f t="shared" si="1"/>
        <v>959149.6</v>
      </c>
      <c r="L25" s="19"/>
      <c r="M25" s="46">
        <f>M24+K25-L25</f>
        <v>5695194.4493999993</v>
      </c>
      <c r="N25" s="19"/>
    </row>
    <row r="26" spans="1:15">
      <c r="A26" s="28">
        <v>23</v>
      </c>
      <c r="B26" s="29">
        <v>45831</v>
      </c>
      <c r="C26" s="19">
        <v>3152</v>
      </c>
      <c r="D26" s="19" t="s">
        <v>142</v>
      </c>
      <c r="E26" s="19">
        <v>5300</v>
      </c>
      <c r="F26" s="19">
        <v>95.7</v>
      </c>
      <c r="G26" s="19">
        <f t="shared" si="0"/>
        <v>507210</v>
      </c>
      <c r="H26" s="19">
        <v>20</v>
      </c>
      <c r="I26" s="19">
        <v>107.48</v>
      </c>
      <c r="J26" s="19">
        <f>H26*I26</f>
        <v>2149.6</v>
      </c>
      <c r="K26" s="19">
        <f t="shared" si="1"/>
        <v>509359.6</v>
      </c>
      <c r="L26" s="19"/>
      <c r="M26" s="46">
        <f>M25+K26-L26</f>
        <v>6204554.049399999</v>
      </c>
      <c r="N26" s="19"/>
    </row>
    <row r="27" spans="1:15">
      <c r="A27" s="28">
        <v>24</v>
      </c>
      <c r="B27" s="29">
        <v>45832</v>
      </c>
      <c r="C27" s="19">
        <v>3155</v>
      </c>
      <c r="D27" s="19" t="s">
        <v>143</v>
      </c>
      <c r="E27" s="19">
        <v>7800</v>
      </c>
      <c r="F27" s="19">
        <v>95.7</v>
      </c>
      <c r="G27" s="19">
        <f t="shared" si="0"/>
        <v>746460</v>
      </c>
      <c r="H27" s="19">
        <v>75</v>
      </c>
      <c r="I27" s="19">
        <v>107.48</v>
      </c>
      <c r="J27" s="19">
        <f>H27*I27</f>
        <v>8061</v>
      </c>
      <c r="K27" s="19">
        <f t="shared" si="1"/>
        <v>754521</v>
      </c>
      <c r="L27" s="19"/>
      <c r="M27" s="46">
        <f>M26+K27-L27</f>
        <v>6959075.049399999</v>
      </c>
      <c r="N27" s="19"/>
    </row>
    <row r="28" spans="1:15">
      <c r="A28" s="28">
        <v>25</v>
      </c>
      <c r="B28" s="29">
        <v>45833</v>
      </c>
      <c r="C28" s="19">
        <v>3170</v>
      </c>
      <c r="D28" s="19" t="s">
        <v>144</v>
      </c>
      <c r="E28" s="19">
        <v>6200</v>
      </c>
      <c r="F28" s="19">
        <v>95.7</v>
      </c>
      <c r="G28" s="19">
        <f t="shared" si="0"/>
        <v>593340</v>
      </c>
      <c r="H28" s="19">
        <v>0</v>
      </c>
      <c r="I28" s="19">
        <v>0</v>
      </c>
      <c r="J28" s="19">
        <f>H28*I28</f>
        <v>0</v>
      </c>
      <c r="K28" s="19">
        <f t="shared" si="1"/>
        <v>593340</v>
      </c>
      <c r="L28" s="19"/>
      <c r="M28" s="46">
        <f>M27+K28-L28</f>
        <v>7552415.049399999</v>
      </c>
      <c r="N28" s="19"/>
    </row>
    <row r="29" spans="1:15">
      <c r="A29" s="28">
        <v>26</v>
      </c>
      <c r="B29" s="29">
        <v>45834</v>
      </c>
      <c r="C29" s="19">
        <v>3173</v>
      </c>
      <c r="D29" s="19" t="s">
        <v>145</v>
      </c>
      <c r="E29" s="19">
        <v>9800</v>
      </c>
      <c r="F29" s="19">
        <v>95.7</v>
      </c>
      <c r="G29" s="19">
        <f t="shared" si="0"/>
        <v>937860</v>
      </c>
      <c r="H29" s="19">
        <v>20</v>
      </c>
      <c r="I29" s="19">
        <v>107.48</v>
      </c>
      <c r="J29" s="19">
        <f>H29*I29</f>
        <v>2149.6</v>
      </c>
      <c r="K29" s="19">
        <f t="shared" si="1"/>
        <v>940009.6</v>
      </c>
      <c r="L29" s="19"/>
      <c r="M29" s="46">
        <f t="shared" ref="M29:M34" si="3">M28+K29-L29</f>
        <v>8492424.6493999995</v>
      </c>
      <c r="N29" s="19"/>
    </row>
    <row r="30" spans="1:15">
      <c r="A30" s="28">
        <v>27</v>
      </c>
      <c r="B30" s="29">
        <v>45835</v>
      </c>
      <c r="C30" s="369">
        <v>3190</v>
      </c>
      <c r="D30" s="370" t="s">
        <v>146</v>
      </c>
      <c r="E30" s="19">
        <v>8600</v>
      </c>
      <c r="F30" s="19">
        <v>95.7</v>
      </c>
      <c r="G30" s="19">
        <f t="shared" si="0"/>
        <v>823020</v>
      </c>
      <c r="H30" s="19">
        <v>75</v>
      </c>
      <c r="I30" s="19">
        <v>107.48</v>
      </c>
      <c r="J30" s="19">
        <f>H30*I30</f>
        <v>8061</v>
      </c>
      <c r="K30" s="19">
        <f t="shared" si="1"/>
        <v>831081</v>
      </c>
      <c r="L30" s="19"/>
      <c r="M30" s="46">
        <f t="shared" si="3"/>
        <v>9323505.6493999995</v>
      </c>
      <c r="N30" s="19"/>
    </row>
    <row r="31" spans="1:15">
      <c r="A31" s="28">
        <v>28</v>
      </c>
      <c r="B31" s="29">
        <v>45836</v>
      </c>
      <c r="C31" s="369">
        <v>3194</v>
      </c>
      <c r="D31" s="370" t="s">
        <v>147</v>
      </c>
      <c r="E31" s="19">
        <v>7300</v>
      </c>
      <c r="F31" s="19">
        <v>95.7</v>
      </c>
      <c r="G31" s="19">
        <f t="shared" si="0"/>
        <v>698610</v>
      </c>
      <c r="H31" s="19">
        <v>20</v>
      </c>
      <c r="I31" s="19">
        <v>107.48</v>
      </c>
      <c r="J31" s="19">
        <f>H31*I31</f>
        <v>2149.6</v>
      </c>
      <c r="K31" s="19">
        <f t="shared" si="1"/>
        <v>700759.6</v>
      </c>
      <c r="L31" s="19"/>
      <c r="M31" s="46">
        <f t="shared" si="3"/>
        <v>10024265.249399999</v>
      </c>
      <c r="N31" s="19"/>
    </row>
    <row r="32" spans="1:15">
      <c r="A32" s="28">
        <v>29</v>
      </c>
      <c r="B32" s="29">
        <v>45837</v>
      </c>
      <c r="C32" s="369">
        <v>3207</v>
      </c>
      <c r="D32" s="370">
        <v>2839</v>
      </c>
      <c r="E32" s="19">
        <v>696.99</v>
      </c>
      <c r="F32" s="19">
        <v>95.7</v>
      </c>
      <c r="G32" s="19">
        <f t="shared" si="0"/>
        <v>66701.942999999999</v>
      </c>
      <c r="H32" s="19">
        <v>0</v>
      </c>
      <c r="I32" s="19">
        <v>0</v>
      </c>
      <c r="J32" s="19">
        <f>H32*I32</f>
        <v>0</v>
      </c>
      <c r="K32" s="19">
        <f t="shared" si="1"/>
        <v>66701.942999999999</v>
      </c>
      <c r="L32" s="19"/>
      <c r="M32" s="46">
        <f t="shared" si="3"/>
        <v>10090967.192399999</v>
      </c>
      <c r="N32" s="19"/>
    </row>
    <row r="33" spans="1:14">
      <c r="A33" s="28">
        <v>30</v>
      </c>
      <c r="B33" s="29">
        <v>45838</v>
      </c>
      <c r="C33" s="369">
        <v>3208</v>
      </c>
      <c r="D33" s="370">
        <v>2852</v>
      </c>
      <c r="E33" s="19">
        <v>2100</v>
      </c>
      <c r="F33" s="19">
        <v>95.7</v>
      </c>
      <c r="G33" s="19">
        <f t="shared" si="0"/>
        <v>200970</v>
      </c>
      <c r="H33" s="19">
        <v>0</v>
      </c>
      <c r="I33" s="19">
        <v>0</v>
      </c>
      <c r="J33" s="19">
        <f>H33*I33</f>
        <v>0</v>
      </c>
      <c r="K33" s="19">
        <f t="shared" si="1"/>
        <v>200970</v>
      </c>
      <c r="L33" s="19"/>
      <c r="M33" s="46">
        <f t="shared" si="3"/>
        <v>10291937.192399999</v>
      </c>
      <c r="N33" s="19"/>
    </row>
    <row r="34" spans="1:14">
      <c r="A34" s="28">
        <v>31</v>
      </c>
      <c r="B34" s="29"/>
      <c r="C34" s="19"/>
      <c r="D34" s="19"/>
      <c r="E34" s="19">
        <v>0</v>
      </c>
      <c r="F34" s="19">
        <v>0</v>
      </c>
      <c r="G34" s="19">
        <f t="shared" si="0"/>
        <v>0</v>
      </c>
      <c r="H34" s="19">
        <v>0</v>
      </c>
      <c r="I34" s="19">
        <v>0</v>
      </c>
      <c r="J34" s="19">
        <f>H34*I34</f>
        <v>0</v>
      </c>
      <c r="K34" s="19">
        <f t="shared" si="1"/>
        <v>0</v>
      </c>
      <c r="L34" s="19"/>
      <c r="M34" s="46">
        <f t="shared" si="3"/>
        <v>10291937.192399999</v>
      </c>
      <c r="N34" s="19"/>
    </row>
    <row r="35" spans="1:14">
      <c r="A35" s="51"/>
      <c r="B35" s="51"/>
      <c r="C35" s="51"/>
      <c r="D35" s="51"/>
      <c r="E35" s="52">
        <f>SUM(E4:E34)</f>
        <v>121466.14</v>
      </c>
      <c r="F35" s="52"/>
      <c r="G35" s="52">
        <f>SUM(G4:G34)</f>
        <v>11624309.597999999</v>
      </c>
      <c r="H35" s="52">
        <f>SUM(H4:H34)</f>
        <v>502.98</v>
      </c>
      <c r="I35" s="52"/>
      <c r="J35" s="52">
        <f>SUM(J4:J34)</f>
        <v>54060.290399999991</v>
      </c>
      <c r="K35" s="52">
        <f>SUM(K4:K34)</f>
        <v>11678369.888399998</v>
      </c>
      <c r="L35" s="52">
        <f>SUM(L4:L34)</f>
        <v>8843736.0789999999</v>
      </c>
      <c r="M35" s="52"/>
      <c r="N35" s="52"/>
    </row>
    <row r="39" spans="1:14">
      <c r="M39" s="24"/>
    </row>
  </sheetData>
  <mergeCells count="2">
    <mergeCell ref="A1:N1"/>
    <mergeCell ref="A3:J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03A1F-96EA-4DAE-B7A1-3DBAC484D0C4}">
  <dimension ref="A1:U43"/>
  <sheetViews>
    <sheetView topLeftCell="A25" workbookViewId="0">
      <selection activeCell="U21" sqref="U21"/>
    </sheetView>
  </sheetViews>
  <sheetFormatPr defaultRowHeight="15"/>
  <cols>
    <col min="2" max="2" width="13.42578125" customWidth="1"/>
    <col min="3" max="3" width="11.85546875" customWidth="1"/>
    <col min="4" max="4" width="13.85546875" customWidth="1"/>
    <col min="5" max="5" width="12" customWidth="1"/>
    <col min="6" max="6" width="14.140625" customWidth="1"/>
    <col min="7" max="7" width="12" customWidth="1"/>
    <col min="10" max="10" width="11.85546875" customWidth="1"/>
    <col min="11" max="11" width="12.140625" customWidth="1"/>
    <col min="12" max="13" width="14.42578125" customWidth="1"/>
    <col min="14" max="14" width="16.28515625" customWidth="1"/>
    <col min="16" max="16" width="11.42578125" bestFit="1" customWidth="1"/>
    <col min="21" max="21" width="12.5703125" customWidth="1"/>
  </cols>
  <sheetData>
    <row r="1" spans="1:19" ht="15.75" customHeight="1">
      <c r="A1" s="457" t="s">
        <v>18</v>
      </c>
      <c r="B1" s="457"/>
      <c r="C1" s="457"/>
      <c r="D1" s="457"/>
      <c r="E1" s="457"/>
      <c r="F1" s="457"/>
      <c r="G1" s="457"/>
      <c r="H1" s="457"/>
      <c r="I1" s="457"/>
      <c r="J1" s="457"/>
      <c r="K1" s="457"/>
      <c r="L1" s="457"/>
      <c r="M1" s="457"/>
      <c r="N1" s="457"/>
    </row>
    <row r="2" spans="1:19">
      <c r="A2" s="116" t="s">
        <v>102</v>
      </c>
      <c r="B2" s="121" t="s">
        <v>103</v>
      </c>
      <c r="C2" s="121" t="s">
        <v>104</v>
      </c>
      <c r="D2" s="121" t="s">
        <v>105</v>
      </c>
      <c r="E2" s="121" t="s">
        <v>106</v>
      </c>
      <c r="F2" s="121" t="s">
        <v>107</v>
      </c>
      <c r="G2" s="121" t="s">
        <v>108</v>
      </c>
      <c r="H2" s="121" t="s">
        <v>109</v>
      </c>
      <c r="I2" s="121" t="s">
        <v>107</v>
      </c>
      <c r="J2" s="121" t="s">
        <v>108</v>
      </c>
      <c r="K2" s="164" t="s">
        <v>110</v>
      </c>
      <c r="L2" s="164" t="s">
        <v>111</v>
      </c>
      <c r="M2" s="164" t="s">
        <v>148</v>
      </c>
      <c r="N2" s="121" t="s">
        <v>113</v>
      </c>
    </row>
    <row r="3" spans="1:19">
      <c r="A3" s="445" t="s">
        <v>114</v>
      </c>
      <c r="B3" s="446"/>
      <c r="C3" s="446"/>
      <c r="D3" s="446"/>
      <c r="E3" s="446"/>
      <c r="F3" s="446"/>
      <c r="G3" s="446"/>
      <c r="H3" s="446"/>
      <c r="I3" s="446"/>
      <c r="J3" s="446"/>
      <c r="K3" s="146">
        <v>1149870.7969999998</v>
      </c>
      <c r="L3" s="289"/>
      <c r="M3" s="120">
        <f>+K3</f>
        <v>1149870.7969999998</v>
      </c>
      <c r="N3" s="290"/>
    </row>
    <row r="4" spans="1:19">
      <c r="A4" s="28">
        <v>1</v>
      </c>
      <c r="B4" s="29">
        <v>45809</v>
      </c>
      <c r="C4" s="122"/>
      <c r="D4" s="37"/>
      <c r="E4" s="39">
        <v>0</v>
      </c>
      <c r="F4" s="39">
        <v>0</v>
      </c>
      <c r="G4" s="39">
        <v>0</v>
      </c>
      <c r="H4" s="39">
        <v>0</v>
      </c>
      <c r="I4" s="39">
        <v>0</v>
      </c>
      <c r="J4" s="39">
        <f t="shared" ref="J4:J7" si="0">H4*I4</f>
        <v>0</v>
      </c>
      <c r="K4" s="39">
        <f t="shared" ref="K4:K7" si="1">G4+J4</f>
        <v>0</v>
      </c>
      <c r="L4" s="233">
        <v>0</v>
      </c>
      <c r="M4" s="39">
        <f>M3+K4-L4</f>
        <v>1149870.7969999998</v>
      </c>
      <c r="N4" s="291"/>
      <c r="P4" s="24">
        <v>2259050.0095000006</v>
      </c>
    </row>
    <row r="5" spans="1:19">
      <c r="A5" s="28">
        <v>2</v>
      </c>
      <c r="B5" s="29">
        <v>45810</v>
      </c>
      <c r="C5" s="122"/>
      <c r="D5" s="37"/>
      <c r="E5" s="39">
        <v>2400</v>
      </c>
      <c r="F5" s="39">
        <v>96.42</v>
      </c>
      <c r="G5" s="39">
        <f>E5*F5</f>
        <v>231408</v>
      </c>
      <c r="H5" s="39">
        <v>19</v>
      </c>
      <c r="I5" s="39">
        <v>108.23</v>
      </c>
      <c r="J5" s="39">
        <f t="shared" ref="J5:J35" si="2">H5*I5</f>
        <v>2056.37</v>
      </c>
      <c r="K5" s="39">
        <f t="shared" ref="K5:K35" si="3">G5+J5</f>
        <v>233464.37</v>
      </c>
      <c r="L5" s="233">
        <v>0</v>
      </c>
      <c r="M5" s="39">
        <f t="shared" ref="M5:M35" si="4">M4+K5-L5</f>
        <v>1383335.1669999999</v>
      </c>
      <c r="N5" s="292"/>
    </row>
    <row r="6" spans="1:19">
      <c r="A6" s="28">
        <v>3</v>
      </c>
      <c r="B6" s="29">
        <v>45811</v>
      </c>
      <c r="C6" s="122"/>
      <c r="D6" s="37"/>
      <c r="E6" s="39">
        <v>0</v>
      </c>
      <c r="F6" s="39">
        <v>0</v>
      </c>
      <c r="G6" s="39">
        <f t="shared" ref="G6:G7" si="5">E6*F6</f>
        <v>0</v>
      </c>
      <c r="H6" s="39">
        <v>35</v>
      </c>
      <c r="I6" s="39">
        <v>108.23</v>
      </c>
      <c r="J6" s="39">
        <f t="shared" si="2"/>
        <v>3788.05</v>
      </c>
      <c r="K6" s="39">
        <f t="shared" si="3"/>
        <v>3788.05</v>
      </c>
      <c r="L6" s="233">
        <v>0</v>
      </c>
      <c r="M6" s="39">
        <f t="shared" si="4"/>
        <v>1387123.2169999999</v>
      </c>
      <c r="N6" s="293"/>
    </row>
    <row r="7" spans="1:19">
      <c r="A7" s="28">
        <v>4</v>
      </c>
      <c r="B7" s="29">
        <v>45812</v>
      </c>
      <c r="C7" s="122"/>
      <c r="D7" s="37"/>
      <c r="E7" s="39">
        <v>2400</v>
      </c>
      <c r="F7" s="39">
        <v>96.42</v>
      </c>
      <c r="G7" s="39">
        <f t="shared" si="5"/>
        <v>231408</v>
      </c>
      <c r="H7" s="39">
        <v>5</v>
      </c>
      <c r="I7" s="39">
        <v>108.23</v>
      </c>
      <c r="J7" s="39">
        <f t="shared" si="2"/>
        <v>541.15</v>
      </c>
      <c r="K7" s="39">
        <f t="shared" si="3"/>
        <v>231949.15</v>
      </c>
      <c r="L7" s="233">
        <v>0</v>
      </c>
      <c r="M7" s="39">
        <f t="shared" si="4"/>
        <v>1619072.3669999999</v>
      </c>
      <c r="N7" s="234"/>
    </row>
    <row r="8" spans="1:19">
      <c r="A8" s="28">
        <v>5</v>
      </c>
      <c r="B8" s="29">
        <v>45813</v>
      </c>
      <c r="C8" s="36"/>
      <c r="D8" s="37"/>
      <c r="E8" s="39">
        <v>0</v>
      </c>
      <c r="F8" s="39">
        <v>0</v>
      </c>
      <c r="G8" s="39">
        <f>E8*F8</f>
        <v>0</v>
      </c>
      <c r="H8" s="39">
        <v>15</v>
      </c>
      <c r="I8" s="39">
        <v>108.23</v>
      </c>
      <c r="J8" s="39">
        <f t="shared" si="2"/>
        <v>1623.45</v>
      </c>
      <c r="K8" s="39">
        <f t="shared" si="3"/>
        <v>1623.45</v>
      </c>
      <c r="L8" s="233">
        <v>1619072</v>
      </c>
      <c r="M8" s="39">
        <f t="shared" si="4"/>
        <v>1623.8169999998063</v>
      </c>
      <c r="N8" s="234"/>
      <c r="P8" s="435">
        <v>23434</v>
      </c>
    </row>
    <row r="9" spans="1:19">
      <c r="A9" s="28">
        <v>6</v>
      </c>
      <c r="B9" s="29">
        <v>45814</v>
      </c>
      <c r="C9" s="36"/>
      <c r="D9" s="37"/>
      <c r="E9" s="39">
        <v>2200</v>
      </c>
      <c r="F9" s="39">
        <v>96.42</v>
      </c>
      <c r="G9" s="39">
        <f>E9*F9</f>
        <v>212124</v>
      </c>
      <c r="H9" s="39">
        <v>20</v>
      </c>
      <c r="I9" s="39">
        <v>108.23</v>
      </c>
      <c r="J9" s="39">
        <f t="shared" si="2"/>
        <v>2164.6</v>
      </c>
      <c r="K9" s="39">
        <f t="shared" si="3"/>
        <v>214288.6</v>
      </c>
      <c r="L9" s="233">
        <v>0</v>
      </c>
      <c r="M9" s="39">
        <f t="shared" si="4"/>
        <v>215912.41699999981</v>
      </c>
      <c r="N9" s="234"/>
    </row>
    <row r="10" spans="1:19">
      <c r="A10" s="28">
        <v>7</v>
      </c>
      <c r="B10" s="29">
        <v>45815</v>
      </c>
      <c r="C10" s="36"/>
      <c r="D10" s="37"/>
      <c r="E10" s="39">
        <v>34.43</v>
      </c>
      <c r="F10" s="39">
        <v>96.42</v>
      </c>
      <c r="G10" s="39">
        <f>E10*F10</f>
        <v>3319.7406000000001</v>
      </c>
      <c r="H10" s="39">
        <v>15</v>
      </c>
      <c r="I10" s="39">
        <v>108.23</v>
      </c>
      <c r="J10" s="39">
        <f t="shared" si="2"/>
        <v>1623.45</v>
      </c>
      <c r="K10" s="39">
        <f t="shared" si="3"/>
        <v>4943.1905999999999</v>
      </c>
      <c r="L10" s="233">
        <v>0</v>
      </c>
      <c r="M10" s="39">
        <f t="shared" si="4"/>
        <v>220855.60759999981</v>
      </c>
      <c r="N10" s="234"/>
      <c r="P10">
        <f>1619072*96.42</f>
        <v>156110922.24000001</v>
      </c>
    </row>
    <row r="11" spans="1:19">
      <c r="A11" s="28">
        <v>8</v>
      </c>
      <c r="B11" s="29">
        <v>45816</v>
      </c>
      <c r="C11" s="36"/>
      <c r="D11" s="37"/>
      <c r="E11" s="39">
        <v>1500</v>
      </c>
      <c r="F11" s="39">
        <v>96.42</v>
      </c>
      <c r="G11" s="39">
        <f>E11*F11</f>
        <v>144630</v>
      </c>
      <c r="H11" s="39">
        <v>29</v>
      </c>
      <c r="I11" s="39">
        <v>108.23</v>
      </c>
      <c r="J11" s="39">
        <f t="shared" si="2"/>
        <v>3138.67</v>
      </c>
      <c r="K11" s="39">
        <f t="shared" si="3"/>
        <v>147768.67000000001</v>
      </c>
      <c r="L11" s="233">
        <v>0</v>
      </c>
      <c r="M11" s="39">
        <f t="shared" si="4"/>
        <v>368624.2775999998</v>
      </c>
      <c r="N11" s="234"/>
    </row>
    <row r="12" spans="1:19">
      <c r="A12" s="28">
        <v>9</v>
      </c>
      <c r="B12" s="29">
        <v>45817</v>
      </c>
      <c r="C12" s="36"/>
      <c r="D12" s="37"/>
      <c r="E12" s="39">
        <v>0</v>
      </c>
      <c r="F12" s="39">
        <v>0</v>
      </c>
      <c r="G12" s="39">
        <f>E12*F12</f>
        <v>0</v>
      </c>
      <c r="H12" s="39">
        <v>12</v>
      </c>
      <c r="I12" s="39">
        <v>108.23</v>
      </c>
      <c r="J12" s="39">
        <f t="shared" si="2"/>
        <v>1298.76</v>
      </c>
      <c r="K12" s="39">
        <f t="shared" si="3"/>
        <v>1298.76</v>
      </c>
      <c r="L12" s="233">
        <v>0</v>
      </c>
      <c r="M12" s="39">
        <f t="shared" si="4"/>
        <v>369923.03759999981</v>
      </c>
      <c r="N12" s="234"/>
    </row>
    <row r="13" spans="1:19">
      <c r="A13" s="28">
        <v>10</v>
      </c>
      <c r="B13" s="29">
        <v>45818</v>
      </c>
      <c r="C13" s="434">
        <v>1539.16</v>
      </c>
      <c r="D13" s="37">
        <v>0</v>
      </c>
      <c r="E13" s="427">
        <v>1539.16</v>
      </c>
      <c r="F13" s="39">
        <v>96.42</v>
      </c>
      <c r="G13" s="39">
        <f>E13*F13</f>
        <v>148405.80720000001</v>
      </c>
      <c r="H13" s="39">
        <v>5</v>
      </c>
      <c r="I13" s="39">
        <v>108.23</v>
      </c>
      <c r="J13" s="39">
        <f t="shared" si="2"/>
        <v>541.15</v>
      </c>
      <c r="K13" s="39">
        <f t="shared" si="3"/>
        <v>148946.9572</v>
      </c>
      <c r="L13" s="233">
        <v>0</v>
      </c>
      <c r="M13" s="39">
        <f>M12+K13-L13</f>
        <v>518869.99479999981</v>
      </c>
      <c r="N13" s="234"/>
    </row>
    <row r="14" spans="1:19">
      <c r="A14" s="28">
        <v>11</v>
      </c>
      <c r="B14" s="29">
        <v>45819</v>
      </c>
      <c r="C14" s="36"/>
      <c r="D14" s="37"/>
      <c r="E14" s="39">
        <v>0</v>
      </c>
      <c r="F14" s="39">
        <v>0</v>
      </c>
      <c r="G14" s="39">
        <f>E14*F14</f>
        <v>0</v>
      </c>
      <c r="H14" s="39">
        <v>25</v>
      </c>
      <c r="I14" s="39">
        <v>108.23</v>
      </c>
      <c r="J14" s="39">
        <f t="shared" si="2"/>
        <v>2705.75</v>
      </c>
      <c r="K14" s="39">
        <f t="shared" si="3"/>
        <v>2705.75</v>
      </c>
      <c r="L14" s="233">
        <v>0</v>
      </c>
      <c r="M14" s="39">
        <f t="shared" si="4"/>
        <v>521575.74479999981</v>
      </c>
      <c r="N14" s="234"/>
      <c r="S14">
        <f>1539-1490</f>
        <v>49</v>
      </c>
    </row>
    <row r="15" spans="1:19">
      <c r="A15" s="28">
        <v>12</v>
      </c>
      <c r="B15" s="29">
        <v>45820</v>
      </c>
      <c r="C15" s="36"/>
      <c r="D15" s="37"/>
      <c r="E15" s="430">
        <v>1730.01</v>
      </c>
      <c r="F15" s="39">
        <v>96.42</v>
      </c>
      <c r="G15" s="39">
        <f>E15*F15</f>
        <v>166807.56419999999</v>
      </c>
      <c r="H15" s="39">
        <v>10</v>
      </c>
      <c r="I15" s="39">
        <v>108.23</v>
      </c>
      <c r="J15" s="39">
        <f t="shared" si="2"/>
        <v>1082.3</v>
      </c>
      <c r="K15" s="39">
        <f t="shared" si="3"/>
        <v>167889.86419999998</v>
      </c>
      <c r="L15" s="233">
        <v>0</v>
      </c>
      <c r="M15" s="39">
        <f t="shared" si="4"/>
        <v>689465.60899999982</v>
      </c>
      <c r="N15" s="234"/>
      <c r="S15">
        <f>1730-1958</f>
        <v>-228</v>
      </c>
    </row>
    <row r="16" spans="1:19">
      <c r="A16" s="28">
        <v>13</v>
      </c>
      <c r="B16" s="29">
        <v>45821</v>
      </c>
      <c r="C16" s="36"/>
      <c r="D16" s="37"/>
      <c r="E16" s="39">
        <v>228</v>
      </c>
      <c r="F16" s="39">
        <v>96.42</v>
      </c>
      <c r="G16" s="39">
        <f>E16*F16</f>
        <v>21983.760000000002</v>
      </c>
      <c r="H16" s="39">
        <v>20</v>
      </c>
      <c r="I16" s="39">
        <v>108.23</v>
      </c>
      <c r="J16" s="39">
        <f t="shared" si="2"/>
        <v>2164.6</v>
      </c>
      <c r="K16" s="39">
        <f t="shared" si="3"/>
        <v>24148.36</v>
      </c>
      <c r="L16" s="233">
        <v>0</v>
      </c>
      <c r="M16" s="39">
        <f t="shared" si="4"/>
        <v>713613.96899999981</v>
      </c>
      <c r="N16" s="234"/>
    </row>
    <row r="17" spans="1:21">
      <c r="A17" s="28">
        <v>14</v>
      </c>
      <c r="B17" s="29">
        <v>45822</v>
      </c>
      <c r="C17" s="36"/>
      <c r="D17" s="37"/>
      <c r="E17" s="39">
        <v>2032</v>
      </c>
      <c r="F17" s="39">
        <v>96.42</v>
      </c>
      <c r="G17" s="39">
        <f>E17*F17</f>
        <v>195925.44</v>
      </c>
      <c r="H17" s="39">
        <v>10</v>
      </c>
      <c r="I17" s="39">
        <v>108.23</v>
      </c>
      <c r="J17" s="39">
        <f t="shared" si="2"/>
        <v>1082.3</v>
      </c>
      <c r="K17" s="39">
        <f t="shared" si="3"/>
        <v>197007.74</v>
      </c>
      <c r="L17" s="233">
        <v>0</v>
      </c>
      <c r="M17" s="39">
        <f t="shared" si="4"/>
        <v>910621.7089999998</v>
      </c>
      <c r="N17" s="234"/>
    </row>
    <row r="18" spans="1:21">
      <c r="A18" s="28">
        <v>15</v>
      </c>
      <c r="B18" s="29">
        <v>45823</v>
      </c>
      <c r="C18" s="192"/>
      <c r="D18" s="432">
        <v>2000</v>
      </c>
      <c r="E18" s="431">
        <v>0</v>
      </c>
      <c r="F18" s="39">
        <v>0</v>
      </c>
      <c r="G18" s="39">
        <f>E18*F18</f>
        <v>0</v>
      </c>
      <c r="H18" s="39">
        <v>15</v>
      </c>
      <c r="I18" s="39">
        <v>108.23</v>
      </c>
      <c r="J18" s="39">
        <f t="shared" si="2"/>
        <v>1623.45</v>
      </c>
      <c r="K18" s="39">
        <f t="shared" si="3"/>
        <v>1623.45</v>
      </c>
      <c r="L18" s="233">
        <v>0</v>
      </c>
      <c r="M18" s="39">
        <f t="shared" si="4"/>
        <v>912245.15899999975</v>
      </c>
      <c r="N18" s="294"/>
    </row>
    <row r="19" spans="1:21">
      <c r="A19" s="28">
        <v>16</v>
      </c>
      <c r="B19" s="29">
        <v>45824</v>
      </c>
      <c r="C19" s="122"/>
      <c r="D19" s="432">
        <v>1000</v>
      </c>
      <c r="E19" s="39">
        <v>3000</v>
      </c>
      <c r="F19" s="39">
        <v>96.42</v>
      </c>
      <c r="G19" s="39">
        <f>E19*F19</f>
        <v>289260</v>
      </c>
      <c r="H19" s="39">
        <v>20</v>
      </c>
      <c r="I19" s="39">
        <v>108.23</v>
      </c>
      <c r="J19" s="39">
        <f t="shared" si="2"/>
        <v>2164.6</v>
      </c>
      <c r="K19" s="39">
        <f t="shared" si="3"/>
        <v>291424.59999999998</v>
      </c>
      <c r="L19" s="233">
        <v>0</v>
      </c>
      <c r="M19" s="39">
        <f t="shared" si="4"/>
        <v>1203669.7589999996</v>
      </c>
      <c r="N19" s="294"/>
    </row>
    <row r="20" spans="1:21">
      <c r="A20" s="28">
        <v>17</v>
      </c>
      <c r="B20" s="29">
        <v>45825</v>
      </c>
      <c r="C20" s="205"/>
      <c r="D20" s="37"/>
      <c r="E20" s="39">
        <v>2053.9699999999998</v>
      </c>
      <c r="F20" s="39">
        <v>96.42</v>
      </c>
      <c r="G20" s="39">
        <f>E20*F20</f>
        <v>198043.78739999997</v>
      </c>
      <c r="H20" s="39">
        <v>15</v>
      </c>
      <c r="I20" s="39">
        <v>108.23</v>
      </c>
      <c r="J20" s="39">
        <f t="shared" si="2"/>
        <v>1623.45</v>
      </c>
      <c r="K20" s="39">
        <f t="shared" si="3"/>
        <v>199667.23739999998</v>
      </c>
      <c r="L20" s="233">
        <v>0</v>
      </c>
      <c r="M20" s="39">
        <f t="shared" si="4"/>
        <v>1403336.9963999996</v>
      </c>
      <c r="N20" s="294"/>
    </row>
    <row r="21" spans="1:21">
      <c r="A21" s="28">
        <v>18</v>
      </c>
      <c r="B21" s="29">
        <v>45826</v>
      </c>
      <c r="C21" s="205"/>
      <c r="D21" s="37">
        <v>2200</v>
      </c>
      <c r="E21" s="427">
        <v>0</v>
      </c>
      <c r="F21" s="39">
        <v>96.42</v>
      </c>
      <c r="G21" s="39">
        <f>E21*F21</f>
        <v>0</v>
      </c>
      <c r="H21" s="39">
        <v>20</v>
      </c>
      <c r="I21" s="39">
        <v>108.23</v>
      </c>
      <c r="J21" s="39">
        <f t="shared" si="2"/>
        <v>2164.6</v>
      </c>
      <c r="K21" s="39">
        <f t="shared" si="3"/>
        <v>2164.6</v>
      </c>
      <c r="L21" s="233">
        <v>0</v>
      </c>
      <c r="M21" s="39">
        <f t="shared" si="4"/>
        <v>1405501.5963999997</v>
      </c>
      <c r="N21" s="294"/>
    </row>
    <row r="22" spans="1:21">
      <c r="A22" s="28">
        <v>19</v>
      </c>
      <c r="B22" s="29">
        <v>45827</v>
      </c>
      <c r="C22" s="433">
        <v>2500</v>
      </c>
      <c r="D22" s="37">
        <v>0</v>
      </c>
      <c r="E22" s="39">
        <v>2500</v>
      </c>
      <c r="F22" s="39">
        <v>96.42</v>
      </c>
      <c r="G22" s="39">
        <f>E22*F22</f>
        <v>241050</v>
      </c>
      <c r="H22" s="39">
        <v>20</v>
      </c>
      <c r="I22" s="39">
        <v>108.23</v>
      </c>
      <c r="J22" s="39">
        <f t="shared" si="2"/>
        <v>2164.6</v>
      </c>
      <c r="K22" s="39">
        <f t="shared" si="3"/>
        <v>243214.6</v>
      </c>
      <c r="L22" s="233">
        <v>0</v>
      </c>
      <c r="M22" s="39">
        <f t="shared" si="4"/>
        <v>1648716.1963999998</v>
      </c>
      <c r="N22" s="234"/>
      <c r="P22">
        <v>2422641</v>
      </c>
    </row>
    <row r="23" spans="1:21">
      <c r="A23" s="28">
        <v>20</v>
      </c>
      <c r="B23" s="29">
        <v>45828</v>
      </c>
      <c r="C23" s="122"/>
      <c r="D23" s="37"/>
      <c r="E23" s="39">
        <v>0</v>
      </c>
      <c r="F23" s="39">
        <v>0</v>
      </c>
      <c r="G23" s="39">
        <f>E23*F23</f>
        <v>0</v>
      </c>
      <c r="H23" s="39">
        <v>16.350000000000001</v>
      </c>
      <c r="I23" s="39">
        <v>108.23</v>
      </c>
      <c r="J23" s="39">
        <f t="shared" si="2"/>
        <v>1769.5605000000003</v>
      </c>
      <c r="K23" s="39">
        <f t="shared" si="3"/>
        <v>1769.5605000000003</v>
      </c>
      <c r="L23" s="233">
        <v>0</v>
      </c>
      <c r="M23" s="39">
        <f t="shared" si="4"/>
        <v>1650485.7568999997</v>
      </c>
      <c r="N23" s="234"/>
      <c r="P23">
        <v>2419549</v>
      </c>
    </row>
    <row r="24" spans="1:21">
      <c r="A24" s="28">
        <v>21</v>
      </c>
      <c r="B24" s="29">
        <v>45829</v>
      </c>
      <c r="C24" s="122"/>
      <c r="D24" s="37"/>
      <c r="E24" s="39">
        <v>2830</v>
      </c>
      <c r="F24" s="39">
        <v>96.42</v>
      </c>
      <c r="G24" s="39">
        <f>E24*F24</f>
        <v>272868.59999999998</v>
      </c>
      <c r="H24" s="39">
        <v>20</v>
      </c>
      <c r="I24" s="39">
        <v>108.23</v>
      </c>
      <c r="J24" s="39">
        <f t="shared" si="2"/>
        <v>2164.6</v>
      </c>
      <c r="K24" s="39">
        <f t="shared" si="3"/>
        <v>275033.19999999995</v>
      </c>
      <c r="L24" s="233">
        <v>0</v>
      </c>
      <c r="M24" s="39">
        <f t="shared" si="4"/>
        <v>1925518.9568999996</v>
      </c>
      <c r="N24" s="234"/>
      <c r="P24">
        <f>P23-P22</f>
        <v>-3092</v>
      </c>
    </row>
    <row r="25" spans="1:21">
      <c r="A25" s="28">
        <v>22</v>
      </c>
      <c r="B25" s="29">
        <v>45830</v>
      </c>
      <c r="C25" s="122"/>
      <c r="D25" s="37"/>
      <c r="E25" s="39">
        <v>0</v>
      </c>
      <c r="F25" s="39">
        <v>0</v>
      </c>
      <c r="G25" s="39">
        <f>E25*F25</f>
        <v>0</v>
      </c>
      <c r="H25" s="39">
        <v>5</v>
      </c>
      <c r="I25" s="39">
        <v>108.23</v>
      </c>
      <c r="J25" s="39">
        <f t="shared" si="2"/>
        <v>541.15</v>
      </c>
      <c r="K25" s="39">
        <f t="shared" si="3"/>
        <v>541.15</v>
      </c>
      <c r="L25" s="233">
        <v>0</v>
      </c>
      <c r="M25" s="39">
        <f t="shared" si="4"/>
        <v>1926060.1068999995</v>
      </c>
      <c r="N25" s="234"/>
    </row>
    <row r="26" spans="1:21">
      <c r="A26" s="28">
        <v>23</v>
      </c>
      <c r="B26" s="29">
        <v>45831</v>
      </c>
      <c r="C26" s="122"/>
      <c r="D26" s="37"/>
      <c r="E26" s="39">
        <v>2030.8</v>
      </c>
      <c r="F26" s="39">
        <v>96.42</v>
      </c>
      <c r="G26" s="39">
        <f>E26*F26</f>
        <v>195809.736</v>
      </c>
      <c r="H26" s="39">
        <v>15</v>
      </c>
      <c r="I26" s="39">
        <v>108.23</v>
      </c>
      <c r="J26" s="39">
        <f t="shared" si="2"/>
        <v>1623.45</v>
      </c>
      <c r="K26" s="39">
        <f t="shared" si="3"/>
        <v>197433.18600000002</v>
      </c>
      <c r="L26" s="233">
        <v>0</v>
      </c>
      <c r="M26" s="39">
        <f t="shared" si="4"/>
        <v>2123493.2928999998</v>
      </c>
      <c r="N26" s="234"/>
    </row>
    <row r="27" spans="1:21">
      <c r="A27" s="28">
        <v>24</v>
      </c>
      <c r="B27" s="29">
        <v>45832</v>
      </c>
      <c r="C27" s="122"/>
      <c r="D27" s="37"/>
      <c r="E27" s="39">
        <v>0</v>
      </c>
      <c r="F27" s="39">
        <v>0</v>
      </c>
      <c r="G27" s="39">
        <f>E27*F27</f>
        <v>0</v>
      </c>
      <c r="H27" s="39">
        <v>24</v>
      </c>
      <c r="I27" s="39">
        <v>108.23</v>
      </c>
      <c r="J27" s="39">
        <f t="shared" si="2"/>
        <v>2597.52</v>
      </c>
      <c r="K27" s="39">
        <f t="shared" si="3"/>
        <v>2597.52</v>
      </c>
      <c r="L27" s="233">
        <v>0</v>
      </c>
      <c r="M27" s="39">
        <f t="shared" si="4"/>
        <v>2126090.8128999998</v>
      </c>
      <c r="N27" s="234"/>
    </row>
    <row r="28" spans="1:21">
      <c r="A28" s="28">
        <v>25</v>
      </c>
      <c r="B28" s="29">
        <v>45833</v>
      </c>
      <c r="C28" s="122"/>
      <c r="D28" s="37"/>
      <c r="E28" s="39">
        <v>0</v>
      </c>
      <c r="F28" s="39">
        <v>0</v>
      </c>
      <c r="G28" s="39">
        <f>E28*F28</f>
        <v>0</v>
      </c>
      <c r="H28" s="39">
        <v>10</v>
      </c>
      <c r="I28" s="39">
        <v>108.23</v>
      </c>
      <c r="J28" s="39">
        <f t="shared" si="2"/>
        <v>1082.3</v>
      </c>
      <c r="K28" s="39">
        <f t="shared" si="3"/>
        <v>1082.3</v>
      </c>
      <c r="L28" s="233">
        <v>0</v>
      </c>
      <c r="M28" s="39">
        <f t="shared" si="4"/>
        <v>2127173.1128999996</v>
      </c>
      <c r="N28" s="234"/>
      <c r="U28" s="198">
        <f>2139146-M35</f>
        <v>-0.19289999967440963</v>
      </c>
    </row>
    <row r="29" spans="1:21">
      <c r="A29" s="28">
        <v>26</v>
      </c>
      <c r="B29" s="29">
        <v>45834</v>
      </c>
      <c r="C29" s="122"/>
      <c r="D29" s="37"/>
      <c r="E29" s="39">
        <v>0</v>
      </c>
      <c r="F29" s="39">
        <v>0</v>
      </c>
      <c r="G29" s="39">
        <f>E29*F29</f>
        <v>0</v>
      </c>
      <c r="H29" s="39">
        <v>20</v>
      </c>
      <c r="I29" s="39">
        <v>108.23</v>
      </c>
      <c r="J29" s="39">
        <f t="shared" si="2"/>
        <v>2164.6</v>
      </c>
      <c r="K29" s="39">
        <f t="shared" si="3"/>
        <v>2164.6</v>
      </c>
      <c r="L29" s="233">
        <v>0</v>
      </c>
      <c r="M29" s="39">
        <f t="shared" si="4"/>
        <v>2129337.7128999997</v>
      </c>
      <c r="N29" s="234"/>
    </row>
    <row r="30" spans="1:21">
      <c r="A30" s="28">
        <v>27</v>
      </c>
      <c r="B30" s="29">
        <v>45835</v>
      </c>
      <c r="C30" s="122"/>
      <c r="D30" s="37"/>
      <c r="E30" s="39">
        <v>35.5</v>
      </c>
      <c r="F30" s="39">
        <v>96.42</v>
      </c>
      <c r="G30" s="39">
        <f>E30*F30</f>
        <v>3422.91</v>
      </c>
      <c r="H30" s="39">
        <v>20</v>
      </c>
      <c r="I30" s="39">
        <v>108.23</v>
      </c>
      <c r="J30" s="39">
        <f t="shared" si="2"/>
        <v>2164.6</v>
      </c>
      <c r="K30" s="39">
        <f t="shared" si="3"/>
        <v>5587.51</v>
      </c>
      <c r="L30" s="233">
        <v>0</v>
      </c>
      <c r="M30" s="39">
        <f t="shared" si="4"/>
        <v>2134925.2228999995</v>
      </c>
      <c r="N30" s="234"/>
    </row>
    <row r="31" spans="1:21">
      <c r="A31" s="28">
        <v>28</v>
      </c>
      <c r="B31" s="29">
        <v>45836</v>
      </c>
      <c r="C31" s="122"/>
      <c r="D31" s="37"/>
      <c r="E31" s="39">
        <v>0</v>
      </c>
      <c r="F31" s="39">
        <v>0</v>
      </c>
      <c r="G31" s="39">
        <f>E31*F31</f>
        <v>0</v>
      </c>
      <c r="H31" s="39">
        <v>15</v>
      </c>
      <c r="I31" s="39">
        <v>108.23</v>
      </c>
      <c r="J31" s="39">
        <f t="shared" si="2"/>
        <v>1623.45</v>
      </c>
      <c r="K31" s="39">
        <f t="shared" si="3"/>
        <v>1623.45</v>
      </c>
      <c r="L31" s="233">
        <v>0</v>
      </c>
      <c r="M31" s="39">
        <f t="shared" si="4"/>
        <v>2136548.6728999997</v>
      </c>
      <c r="N31" s="234"/>
    </row>
    <row r="32" spans="1:21">
      <c r="A32" s="28">
        <v>29</v>
      </c>
      <c r="B32" s="29">
        <v>45837</v>
      </c>
      <c r="C32" s="122"/>
      <c r="D32" s="37"/>
      <c r="E32" s="39">
        <v>0</v>
      </c>
      <c r="F32" s="39">
        <v>0</v>
      </c>
      <c r="G32" s="39">
        <f>E32*F32</f>
        <v>0</v>
      </c>
      <c r="H32" s="39">
        <v>15</v>
      </c>
      <c r="I32" s="39">
        <v>108.23</v>
      </c>
      <c r="J32" s="39">
        <f t="shared" si="2"/>
        <v>1623.45</v>
      </c>
      <c r="K32" s="39">
        <f t="shared" si="3"/>
        <v>1623.45</v>
      </c>
      <c r="L32" s="233">
        <v>0</v>
      </c>
      <c r="M32" s="39">
        <f t="shared" si="4"/>
        <v>2138172.1228999998</v>
      </c>
      <c r="N32" s="234"/>
    </row>
    <row r="33" spans="1:14">
      <c r="A33" s="28">
        <v>30</v>
      </c>
      <c r="B33" s="29">
        <v>45838</v>
      </c>
      <c r="C33" s="122"/>
      <c r="D33" s="37"/>
      <c r="E33" s="39">
        <v>0</v>
      </c>
      <c r="F33" s="39">
        <v>0</v>
      </c>
      <c r="G33" s="39">
        <f>E33*F33</f>
        <v>0</v>
      </c>
      <c r="H33" s="39">
        <v>9</v>
      </c>
      <c r="I33" s="39">
        <v>108.23</v>
      </c>
      <c r="J33" s="39">
        <f t="shared" si="2"/>
        <v>974.07</v>
      </c>
      <c r="K33" s="39">
        <f t="shared" si="3"/>
        <v>974.07</v>
      </c>
      <c r="L33" s="233">
        <v>0</v>
      </c>
      <c r="M33" s="39">
        <f t="shared" si="4"/>
        <v>2139146.1928999997</v>
      </c>
      <c r="N33" s="234"/>
    </row>
    <row r="34" spans="1:14">
      <c r="A34" s="28">
        <v>31</v>
      </c>
      <c r="B34" s="29"/>
      <c r="C34" s="122"/>
      <c r="D34" s="37"/>
      <c r="E34" s="39">
        <v>0</v>
      </c>
      <c r="F34" s="39">
        <v>0</v>
      </c>
      <c r="G34" s="39">
        <f>E34*F34</f>
        <v>0</v>
      </c>
      <c r="H34" s="39">
        <v>0</v>
      </c>
      <c r="I34" s="39">
        <v>0</v>
      </c>
      <c r="J34" s="39">
        <f t="shared" si="2"/>
        <v>0</v>
      </c>
      <c r="K34" s="39">
        <f t="shared" si="3"/>
        <v>0</v>
      </c>
      <c r="L34" s="233">
        <v>0</v>
      </c>
      <c r="M34" s="39">
        <f t="shared" si="4"/>
        <v>2139146.1928999997</v>
      </c>
      <c r="N34" s="294"/>
    </row>
    <row r="35" spans="1:14">
      <c r="A35" s="365"/>
      <c r="B35" s="29"/>
      <c r="C35" s="35"/>
      <c r="D35" s="366"/>
      <c r="E35" s="39">
        <v>0</v>
      </c>
      <c r="F35" s="39">
        <v>0</v>
      </c>
      <c r="G35" s="39">
        <f>E35*F35</f>
        <v>0</v>
      </c>
      <c r="H35" s="39">
        <v>0</v>
      </c>
      <c r="I35" s="39">
        <v>0</v>
      </c>
      <c r="J35" s="39">
        <f t="shared" si="2"/>
        <v>0</v>
      </c>
      <c r="K35" s="39">
        <f t="shared" si="3"/>
        <v>0</v>
      </c>
      <c r="L35" s="41"/>
      <c r="M35" s="39">
        <f>M34+K35-L35</f>
        <v>2139146.1928999997</v>
      </c>
      <c r="N35" s="39"/>
    </row>
    <row r="36" spans="1:14">
      <c r="A36" s="206"/>
      <c r="B36" s="203"/>
      <c r="C36" s="203"/>
      <c r="D36" s="203"/>
      <c r="E36" s="49">
        <f>SUM(E4:E34)</f>
        <v>26513.87</v>
      </c>
      <c r="F36" s="49"/>
      <c r="G36" s="49">
        <f>SUM(G4:G34)</f>
        <v>2556467.3454</v>
      </c>
      <c r="H36" s="49">
        <f>SUM(H4:H34)</f>
        <v>479.35</v>
      </c>
      <c r="I36" s="49"/>
      <c r="J36" s="49">
        <f>SUM(J4:J34)</f>
        <v>51880.050499999983</v>
      </c>
      <c r="K36" s="49">
        <f>SUM(K4:K34)</f>
        <v>2608347.3959000004</v>
      </c>
      <c r="L36" s="49">
        <f>SUM(L4:L34)</f>
        <v>1619072</v>
      </c>
      <c r="M36" s="119"/>
      <c r="N36" s="50"/>
    </row>
    <row r="37" spans="1:14">
      <c r="A37" s="40"/>
      <c r="B37" s="40"/>
      <c r="C37" s="40"/>
      <c r="D37" s="40"/>
      <c r="E37" s="43"/>
      <c r="F37" s="43"/>
      <c r="G37" s="43"/>
      <c r="H37" s="43"/>
      <c r="I37" s="43"/>
      <c r="J37" s="43"/>
      <c r="K37" s="43"/>
      <c r="L37" s="43"/>
      <c r="M37" s="43"/>
      <c r="N37" s="43"/>
    </row>
    <row r="38" spans="1:14">
      <c r="A38" s="35"/>
      <c r="B38" s="35"/>
      <c r="C38" s="35"/>
      <c r="D38" s="35"/>
      <c r="E38" s="429">
        <v>26130</v>
      </c>
      <c r="F38" s="35"/>
      <c r="G38" s="42"/>
      <c r="H38" s="35"/>
      <c r="I38" s="35"/>
      <c r="J38" s="35"/>
      <c r="K38" s="35"/>
      <c r="L38" s="35"/>
      <c r="M38" s="35"/>
      <c r="N38" s="35"/>
    </row>
    <row r="39" spans="1:14">
      <c r="A39" s="35"/>
      <c r="B39" s="35"/>
      <c r="C39" s="35"/>
      <c r="D39" s="35"/>
      <c r="E39" s="428">
        <f>E36-E38</f>
        <v>383.86999999999898</v>
      </c>
      <c r="F39" s="35"/>
      <c r="G39" s="35"/>
      <c r="H39" s="35"/>
      <c r="I39" s="35"/>
      <c r="J39" s="35"/>
      <c r="K39" s="35"/>
      <c r="L39" s="35"/>
      <c r="M39" s="35"/>
      <c r="N39" s="35"/>
    </row>
    <row r="43" spans="1:14">
      <c r="E43" s="198"/>
    </row>
  </sheetData>
  <mergeCells count="2">
    <mergeCell ref="A1:N1"/>
    <mergeCell ref="A3:J3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BAF7B-DC01-4BAF-BE8E-0B06339E3045}">
  <dimension ref="A1:R35"/>
  <sheetViews>
    <sheetView workbookViewId="0">
      <pane ySplit="2" topLeftCell="A18" activePane="bottomLeft" state="frozen"/>
      <selection pane="bottomLeft" activeCell="S16" sqref="S16"/>
    </sheetView>
  </sheetViews>
  <sheetFormatPr defaultRowHeight="15"/>
  <cols>
    <col min="1" max="1" width="6.28515625" customWidth="1"/>
    <col min="2" max="2" width="10" bestFit="1" customWidth="1"/>
    <col min="3" max="3" width="11.140625" customWidth="1"/>
    <col min="4" max="4" width="14.140625" customWidth="1"/>
    <col min="5" max="5" width="14.5703125" customWidth="1"/>
    <col min="6" max="6" width="9.85546875" customWidth="1"/>
    <col min="7" max="7" width="12.42578125" customWidth="1"/>
    <col min="9" max="9" width="9.7109375" customWidth="1"/>
    <col min="10" max="10" width="11.5703125" customWidth="1"/>
    <col min="11" max="11" width="11.85546875" bestFit="1" customWidth="1"/>
    <col min="12" max="12" width="12.5703125" customWidth="1"/>
    <col min="13" max="13" width="17.42578125" customWidth="1"/>
    <col min="14" max="14" width="13.42578125" customWidth="1"/>
    <col min="15" max="15" width="11.42578125" bestFit="1" customWidth="1"/>
  </cols>
  <sheetData>
    <row r="1" spans="1:18" ht="15.75">
      <c r="A1" s="458" t="s">
        <v>20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</row>
    <row r="2" spans="1:18" ht="27">
      <c r="A2" s="116" t="s">
        <v>102</v>
      </c>
      <c r="B2" s="121" t="s">
        <v>103</v>
      </c>
      <c r="C2" s="121" t="s">
        <v>104</v>
      </c>
      <c r="D2" s="121" t="s">
        <v>105</v>
      </c>
      <c r="E2" s="228" t="s">
        <v>106</v>
      </c>
      <c r="F2" s="121" t="s">
        <v>107</v>
      </c>
      <c r="G2" s="121" t="s">
        <v>108</v>
      </c>
      <c r="H2" s="121" t="s">
        <v>109</v>
      </c>
      <c r="I2" s="121" t="s">
        <v>107</v>
      </c>
      <c r="J2" s="121" t="s">
        <v>108</v>
      </c>
      <c r="K2" s="121" t="s">
        <v>110</v>
      </c>
      <c r="L2" s="121" t="s">
        <v>111</v>
      </c>
      <c r="M2" s="121" t="s">
        <v>149</v>
      </c>
      <c r="N2" s="121" t="s">
        <v>113</v>
      </c>
    </row>
    <row r="3" spans="1:18">
      <c r="A3" s="459" t="s">
        <v>114</v>
      </c>
      <c r="B3" s="459"/>
      <c r="C3" s="459"/>
      <c r="D3" s="459"/>
      <c r="E3" s="459"/>
      <c r="F3" s="459"/>
      <c r="G3" s="459"/>
      <c r="H3" s="459"/>
      <c r="I3" s="459"/>
      <c r="J3" s="459"/>
      <c r="K3" s="260">
        <v>331699.52630000003</v>
      </c>
      <c r="L3" s="260"/>
      <c r="M3" s="261">
        <f>+K3</f>
        <v>331699.52630000003</v>
      </c>
      <c r="N3" s="107"/>
    </row>
    <row r="4" spans="1:18">
      <c r="A4" s="28">
        <v>1</v>
      </c>
      <c r="B4" s="29">
        <v>45809</v>
      </c>
      <c r="C4" s="19"/>
      <c r="D4" s="19"/>
      <c r="E4" s="19"/>
      <c r="F4" s="19"/>
      <c r="G4" s="19">
        <f>E4*F4</f>
        <v>0</v>
      </c>
      <c r="H4" s="19"/>
      <c r="I4" s="19"/>
      <c r="J4" s="19">
        <f>H4*I4</f>
        <v>0</v>
      </c>
      <c r="K4" s="19">
        <f>G4+J4</f>
        <v>0</v>
      </c>
      <c r="L4" s="19"/>
      <c r="M4" s="151">
        <f>M3+K4-L4</f>
        <v>331699.52630000003</v>
      </c>
      <c r="N4" s="19"/>
      <c r="O4" s="24"/>
    </row>
    <row r="5" spans="1:18">
      <c r="A5" s="28">
        <v>2</v>
      </c>
      <c r="B5" s="29">
        <v>45810</v>
      </c>
      <c r="C5" s="19"/>
      <c r="D5" s="19"/>
      <c r="E5" s="19">
        <v>0</v>
      </c>
      <c r="F5" s="19">
        <v>0</v>
      </c>
      <c r="G5" s="19">
        <f t="shared" ref="G5:G34" si="0">E5*F5</f>
        <v>0</v>
      </c>
      <c r="H5" s="19"/>
      <c r="I5" s="19"/>
      <c r="J5" s="19">
        <f t="shared" ref="J5:J34" si="1">H5*I5</f>
        <v>0</v>
      </c>
      <c r="K5" s="19">
        <f t="shared" ref="K5:K34" si="2">G5+J5</f>
        <v>0</v>
      </c>
      <c r="L5" s="19"/>
      <c r="M5" s="151">
        <f t="shared" ref="M4:O31" si="3">M4+K5-L5</f>
        <v>331699.52630000003</v>
      </c>
      <c r="N5" s="19"/>
    </row>
    <row r="6" spans="1:18">
      <c r="A6" s="28">
        <v>3</v>
      </c>
      <c r="B6" s="29">
        <v>45811</v>
      </c>
      <c r="C6" s="19"/>
      <c r="D6" s="19"/>
      <c r="E6" s="19">
        <v>0</v>
      </c>
      <c r="F6" s="19">
        <v>0</v>
      </c>
      <c r="G6" s="19">
        <f t="shared" si="0"/>
        <v>0</v>
      </c>
      <c r="H6" s="19"/>
      <c r="I6" s="19"/>
      <c r="J6" s="19">
        <f t="shared" si="1"/>
        <v>0</v>
      </c>
      <c r="K6" s="19">
        <f t="shared" si="2"/>
        <v>0</v>
      </c>
      <c r="L6" s="19"/>
      <c r="M6" s="151">
        <f t="shared" si="3"/>
        <v>331699.52630000003</v>
      </c>
      <c r="N6" s="19"/>
      <c r="R6">
        <v>541.08000000000004</v>
      </c>
    </row>
    <row r="7" spans="1:18">
      <c r="A7" s="28">
        <v>4</v>
      </c>
      <c r="B7" s="29">
        <v>45812</v>
      </c>
      <c r="C7" s="19"/>
      <c r="D7" s="19"/>
      <c r="E7" s="19">
        <v>0</v>
      </c>
      <c r="F7" s="19">
        <v>0</v>
      </c>
      <c r="G7" s="19">
        <f t="shared" si="0"/>
        <v>0</v>
      </c>
      <c r="H7" s="19"/>
      <c r="I7" s="19"/>
      <c r="J7" s="19">
        <f t="shared" si="1"/>
        <v>0</v>
      </c>
      <c r="K7" s="19">
        <f t="shared" si="2"/>
        <v>0</v>
      </c>
      <c r="L7" s="19">
        <v>331700</v>
      </c>
      <c r="M7" s="151">
        <f t="shared" si="3"/>
        <v>-0.47369999997317791</v>
      </c>
      <c r="N7" s="19"/>
    </row>
    <row r="8" spans="1:18">
      <c r="A8" s="28">
        <v>5</v>
      </c>
      <c r="B8" s="29">
        <v>45813</v>
      </c>
      <c r="C8" s="19"/>
      <c r="D8" s="19"/>
      <c r="E8" s="19">
        <v>0</v>
      </c>
      <c r="F8" s="19">
        <v>0</v>
      </c>
      <c r="G8" s="19">
        <f t="shared" si="0"/>
        <v>0</v>
      </c>
      <c r="H8" s="19"/>
      <c r="I8" s="19"/>
      <c r="J8" s="19">
        <f t="shared" si="1"/>
        <v>0</v>
      </c>
      <c r="K8" s="19">
        <f t="shared" si="2"/>
        <v>0</v>
      </c>
      <c r="L8" s="19"/>
      <c r="M8" s="151">
        <f t="shared" si="3"/>
        <v>-0.47369999997317791</v>
      </c>
      <c r="N8" s="19"/>
    </row>
    <row r="9" spans="1:18">
      <c r="A9" s="28">
        <v>6</v>
      </c>
      <c r="B9" s="29">
        <v>45814</v>
      </c>
      <c r="C9" s="19"/>
      <c r="D9" s="19"/>
      <c r="E9" s="19">
        <v>0</v>
      </c>
      <c r="F9" s="19">
        <v>0</v>
      </c>
      <c r="G9" s="19">
        <f t="shared" si="0"/>
        <v>0</v>
      </c>
      <c r="H9" s="19"/>
      <c r="I9" s="19"/>
      <c r="J9" s="19">
        <f t="shared" si="1"/>
        <v>0</v>
      </c>
      <c r="K9" s="19">
        <f t="shared" si="2"/>
        <v>0</v>
      </c>
      <c r="L9" s="19"/>
      <c r="M9" s="151">
        <f t="shared" si="3"/>
        <v>-0.47369999997317791</v>
      </c>
      <c r="N9" s="19"/>
    </row>
    <row r="10" spans="1:18">
      <c r="A10" s="28">
        <v>7</v>
      </c>
      <c r="B10" s="29">
        <v>45815</v>
      </c>
      <c r="C10" s="19"/>
      <c r="D10" s="19"/>
      <c r="E10" s="19">
        <v>0</v>
      </c>
      <c r="F10" s="19">
        <v>0</v>
      </c>
      <c r="G10" s="19">
        <f t="shared" si="0"/>
        <v>0</v>
      </c>
      <c r="H10" s="19"/>
      <c r="I10" s="19"/>
      <c r="J10" s="19">
        <f t="shared" si="1"/>
        <v>0</v>
      </c>
      <c r="K10" s="19">
        <f t="shared" si="2"/>
        <v>0</v>
      </c>
      <c r="L10" s="19"/>
      <c r="M10" s="151">
        <f t="shared" si="3"/>
        <v>-0.47369999997317791</v>
      </c>
      <c r="N10" s="19"/>
    </row>
    <row r="11" spans="1:18">
      <c r="A11" s="28">
        <v>8</v>
      </c>
      <c r="B11" s="29">
        <v>45816</v>
      </c>
      <c r="C11" s="19"/>
      <c r="D11" s="19"/>
      <c r="E11" s="19">
        <v>0</v>
      </c>
      <c r="F11" s="19">
        <v>0</v>
      </c>
      <c r="G11" s="19">
        <f t="shared" si="0"/>
        <v>0</v>
      </c>
      <c r="H11" s="19"/>
      <c r="I11" s="19"/>
      <c r="J11" s="19">
        <f t="shared" si="1"/>
        <v>0</v>
      </c>
      <c r="K11" s="19">
        <f t="shared" si="2"/>
        <v>0</v>
      </c>
      <c r="L11" s="19"/>
      <c r="M11" s="151">
        <f t="shared" si="3"/>
        <v>-0.47369999997317791</v>
      </c>
      <c r="N11" s="19"/>
    </row>
    <row r="12" spans="1:18">
      <c r="A12" s="28">
        <v>9</v>
      </c>
      <c r="B12" s="29">
        <v>45817</v>
      </c>
      <c r="C12" s="19"/>
      <c r="D12" s="19"/>
      <c r="E12" s="19">
        <v>0</v>
      </c>
      <c r="F12" s="19">
        <v>0</v>
      </c>
      <c r="G12" s="19">
        <f t="shared" si="0"/>
        <v>0</v>
      </c>
      <c r="H12" s="19"/>
      <c r="I12" s="19"/>
      <c r="J12" s="19">
        <f t="shared" si="1"/>
        <v>0</v>
      </c>
      <c r="K12" s="19">
        <f t="shared" si="2"/>
        <v>0</v>
      </c>
      <c r="L12" s="19"/>
      <c r="M12" s="151">
        <f t="shared" si="3"/>
        <v>-0.47369999997317791</v>
      </c>
      <c r="N12" s="19"/>
    </row>
    <row r="13" spans="1:18">
      <c r="A13" s="28">
        <v>10</v>
      </c>
      <c r="B13" s="29">
        <v>45818</v>
      </c>
      <c r="C13" s="19"/>
      <c r="D13" s="19"/>
      <c r="E13" s="19">
        <v>0</v>
      </c>
      <c r="F13" s="19">
        <v>0</v>
      </c>
      <c r="G13" s="19">
        <f t="shared" si="0"/>
        <v>0</v>
      </c>
      <c r="H13" s="19"/>
      <c r="I13" s="19"/>
      <c r="J13" s="19">
        <f t="shared" si="1"/>
        <v>0</v>
      </c>
      <c r="K13" s="19">
        <f t="shared" si="2"/>
        <v>0</v>
      </c>
      <c r="L13" s="19"/>
      <c r="M13" s="151">
        <f t="shared" si="3"/>
        <v>-0.47369999997317791</v>
      </c>
      <c r="N13" s="19"/>
    </row>
    <row r="14" spans="1:18">
      <c r="A14" s="28">
        <v>11</v>
      </c>
      <c r="B14" s="29">
        <v>45819</v>
      </c>
      <c r="C14" s="19"/>
      <c r="D14" s="19"/>
      <c r="E14" s="19">
        <v>0</v>
      </c>
      <c r="F14" s="19">
        <v>0</v>
      </c>
      <c r="G14" s="19">
        <f t="shared" si="0"/>
        <v>0</v>
      </c>
      <c r="H14" s="19"/>
      <c r="I14" s="19"/>
      <c r="J14" s="19">
        <f t="shared" si="1"/>
        <v>0</v>
      </c>
      <c r="K14" s="19">
        <f t="shared" si="2"/>
        <v>0</v>
      </c>
      <c r="L14" s="19"/>
      <c r="M14" s="151">
        <f t="shared" si="3"/>
        <v>-0.47369999997317791</v>
      </c>
      <c r="N14" s="19"/>
    </row>
    <row r="15" spans="1:18">
      <c r="A15" s="28">
        <v>12</v>
      </c>
      <c r="B15" s="29">
        <v>45820</v>
      </c>
      <c r="C15" s="19"/>
      <c r="D15" s="19"/>
      <c r="E15" s="19">
        <v>0</v>
      </c>
      <c r="F15" s="19">
        <v>0</v>
      </c>
      <c r="G15" s="19">
        <f t="shared" si="0"/>
        <v>0</v>
      </c>
      <c r="H15" s="19"/>
      <c r="I15" s="19"/>
      <c r="J15" s="19">
        <f t="shared" si="1"/>
        <v>0</v>
      </c>
      <c r="K15" s="19">
        <f t="shared" si="2"/>
        <v>0</v>
      </c>
      <c r="L15" s="19"/>
      <c r="M15" s="151">
        <f t="shared" si="3"/>
        <v>-0.47369999997317791</v>
      </c>
      <c r="N15" s="19"/>
    </row>
    <row r="16" spans="1:18">
      <c r="A16" s="28">
        <v>13</v>
      </c>
      <c r="B16" s="29">
        <v>45821</v>
      </c>
      <c r="C16" s="19"/>
      <c r="D16" s="19"/>
      <c r="E16" s="19">
        <v>0</v>
      </c>
      <c r="F16" s="19">
        <v>0</v>
      </c>
      <c r="G16" s="19">
        <f t="shared" si="0"/>
        <v>0</v>
      </c>
      <c r="H16" s="19"/>
      <c r="I16" s="19"/>
      <c r="J16" s="19">
        <f t="shared" si="1"/>
        <v>0</v>
      </c>
      <c r="K16" s="19">
        <f t="shared" si="2"/>
        <v>0</v>
      </c>
      <c r="L16" s="19"/>
      <c r="M16" s="151">
        <f t="shared" si="3"/>
        <v>-0.47369999997317791</v>
      </c>
      <c r="N16" s="19"/>
    </row>
    <row r="17" spans="1:16">
      <c r="A17" s="28">
        <v>14</v>
      </c>
      <c r="B17" s="29">
        <v>45822</v>
      </c>
      <c r="C17" s="19"/>
      <c r="D17" s="19"/>
      <c r="E17" s="19">
        <v>0</v>
      </c>
      <c r="F17" s="19">
        <v>0</v>
      </c>
      <c r="G17" s="19">
        <f t="shared" si="0"/>
        <v>0</v>
      </c>
      <c r="H17" s="19"/>
      <c r="I17" s="19"/>
      <c r="J17" s="19">
        <f t="shared" si="1"/>
        <v>0</v>
      </c>
      <c r="K17" s="19">
        <f t="shared" si="2"/>
        <v>0</v>
      </c>
      <c r="L17" s="19"/>
      <c r="M17" s="151">
        <f t="shared" si="3"/>
        <v>-0.47369999997317791</v>
      </c>
      <c r="N17" s="19"/>
    </row>
    <row r="18" spans="1:16">
      <c r="A18" s="28">
        <v>15</v>
      </c>
      <c r="B18" s="29">
        <v>45823</v>
      </c>
      <c r="C18" s="19"/>
      <c r="D18" s="19"/>
      <c r="E18" s="19">
        <v>0</v>
      </c>
      <c r="F18" s="19">
        <v>0</v>
      </c>
      <c r="G18" s="19">
        <f t="shared" si="0"/>
        <v>0</v>
      </c>
      <c r="H18" s="19"/>
      <c r="I18" s="19"/>
      <c r="J18" s="19">
        <f t="shared" si="1"/>
        <v>0</v>
      </c>
      <c r="K18" s="19">
        <f t="shared" si="2"/>
        <v>0</v>
      </c>
      <c r="L18" s="19"/>
      <c r="M18" s="151">
        <f t="shared" si="3"/>
        <v>-0.47369999997317791</v>
      </c>
      <c r="N18" s="19"/>
    </row>
    <row r="19" spans="1:16">
      <c r="A19" s="28">
        <v>16</v>
      </c>
      <c r="B19" s="29">
        <v>45824</v>
      </c>
      <c r="C19" s="19"/>
      <c r="D19" s="19"/>
      <c r="E19" s="19">
        <v>0</v>
      </c>
      <c r="F19" s="19">
        <v>0</v>
      </c>
      <c r="G19" s="19">
        <f t="shared" si="0"/>
        <v>0</v>
      </c>
      <c r="H19" s="19"/>
      <c r="I19" s="19"/>
      <c r="J19" s="19">
        <f t="shared" si="1"/>
        <v>0</v>
      </c>
      <c r="K19" s="19">
        <f t="shared" si="2"/>
        <v>0</v>
      </c>
      <c r="L19" s="19"/>
      <c r="M19" s="151">
        <f t="shared" si="3"/>
        <v>-0.47369999997317791</v>
      </c>
      <c r="N19" s="19"/>
    </row>
    <row r="20" spans="1:16">
      <c r="A20" s="28">
        <v>17</v>
      </c>
      <c r="B20" s="29">
        <v>45825</v>
      </c>
      <c r="C20" s="19"/>
      <c r="D20" s="19"/>
      <c r="E20" s="19">
        <v>0</v>
      </c>
      <c r="F20" s="19">
        <v>0</v>
      </c>
      <c r="G20" s="19">
        <f t="shared" si="0"/>
        <v>0</v>
      </c>
      <c r="H20" s="19"/>
      <c r="I20" s="19"/>
      <c r="J20" s="19">
        <f t="shared" si="1"/>
        <v>0</v>
      </c>
      <c r="K20" s="19">
        <f t="shared" si="2"/>
        <v>0</v>
      </c>
      <c r="L20" s="19"/>
      <c r="M20" s="151">
        <f t="shared" si="3"/>
        <v>-0.47369999997317791</v>
      </c>
      <c r="N20" s="19"/>
    </row>
    <row r="21" spans="1:16">
      <c r="A21" s="28">
        <v>18</v>
      </c>
      <c r="B21" s="29">
        <v>45826</v>
      </c>
      <c r="C21" s="19"/>
      <c r="D21" s="19"/>
      <c r="E21" s="19">
        <v>0</v>
      </c>
      <c r="F21" s="19">
        <v>0</v>
      </c>
      <c r="G21" s="19">
        <f t="shared" si="0"/>
        <v>0</v>
      </c>
      <c r="H21" s="19"/>
      <c r="I21" s="19"/>
      <c r="J21" s="19">
        <f t="shared" si="1"/>
        <v>0</v>
      </c>
      <c r="K21" s="19">
        <f t="shared" si="2"/>
        <v>0</v>
      </c>
      <c r="L21" s="19"/>
      <c r="M21" s="151">
        <f t="shared" si="3"/>
        <v>-0.47369999997317791</v>
      </c>
      <c r="N21" s="19"/>
    </row>
    <row r="22" spans="1:16">
      <c r="A22" s="28">
        <v>19</v>
      </c>
      <c r="B22" s="29">
        <v>45827</v>
      </c>
      <c r="C22" s="19"/>
      <c r="D22" s="19"/>
      <c r="E22" s="19">
        <v>0</v>
      </c>
      <c r="F22" s="19">
        <v>0</v>
      </c>
      <c r="G22" s="19">
        <f t="shared" si="0"/>
        <v>0</v>
      </c>
      <c r="H22" s="19"/>
      <c r="I22" s="19"/>
      <c r="J22" s="19">
        <f t="shared" si="1"/>
        <v>0</v>
      </c>
      <c r="K22" s="19">
        <f t="shared" si="2"/>
        <v>0</v>
      </c>
      <c r="L22" s="19"/>
      <c r="M22" s="151">
        <f t="shared" si="3"/>
        <v>-0.47369999997317791</v>
      </c>
      <c r="N22" s="19"/>
    </row>
    <row r="23" spans="1:16">
      <c r="A23" s="28">
        <v>20</v>
      </c>
      <c r="B23" s="29">
        <v>45828</v>
      </c>
      <c r="C23" s="19"/>
      <c r="D23" s="19"/>
      <c r="E23" s="19">
        <v>0</v>
      </c>
      <c r="F23" s="19">
        <v>0</v>
      </c>
      <c r="G23" s="19">
        <f t="shared" si="0"/>
        <v>0</v>
      </c>
      <c r="H23" s="19"/>
      <c r="I23" s="19"/>
      <c r="J23" s="19">
        <f t="shared" si="1"/>
        <v>0</v>
      </c>
      <c r="K23" s="19">
        <f t="shared" si="2"/>
        <v>0</v>
      </c>
      <c r="L23" s="19"/>
      <c r="M23" s="151">
        <f t="shared" si="3"/>
        <v>-0.47369999997317791</v>
      </c>
      <c r="N23" s="19"/>
    </row>
    <row r="24" spans="1:16">
      <c r="A24" s="28">
        <v>21</v>
      </c>
      <c r="B24" s="29">
        <v>45829</v>
      </c>
      <c r="C24" s="19"/>
      <c r="D24" s="19"/>
      <c r="E24" s="19">
        <v>0</v>
      </c>
      <c r="F24" s="19">
        <v>0</v>
      </c>
      <c r="G24" s="19">
        <f t="shared" si="0"/>
        <v>0</v>
      </c>
      <c r="H24" s="19"/>
      <c r="I24" s="19"/>
      <c r="J24" s="19">
        <f t="shared" si="1"/>
        <v>0</v>
      </c>
      <c r="K24" s="19">
        <f t="shared" si="2"/>
        <v>0</v>
      </c>
      <c r="L24" s="19"/>
      <c r="M24" s="151">
        <f t="shared" si="3"/>
        <v>-0.47369999997317791</v>
      </c>
      <c r="N24" s="19"/>
    </row>
    <row r="25" spans="1:16">
      <c r="A25" s="28">
        <v>22</v>
      </c>
      <c r="B25" s="29">
        <v>45830</v>
      </c>
      <c r="C25" s="19"/>
      <c r="D25" s="19"/>
      <c r="E25" s="19">
        <v>0</v>
      </c>
      <c r="F25" s="19">
        <v>0</v>
      </c>
      <c r="G25" s="19">
        <f t="shared" si="0"/>
        <v>0</v>
      </c>
      <c r="H25" s="19"/>
      <c r="I25" s="19"/>
      <c r="J25" s="19">
        <f t="shared" si="1"/>
        <v>0</v>
      </c>
      <c r="K25" s="19">
        <f t="shared" si="2"/>
        <v>0</v>
      </c>
      <c r="L25" s="19"/>
      <c r="M25" s="151">
        <f t="shared" si="3"/>
        <v>-0.47369999997317791</v>
      </c>
      <c r="N25" s="19"/>
    </row>
    <row r="26" spans="1:16">
      <c r="A26" s="28">
        <v>23</v>
      </c>
      <c r="B26" s="29">
        <v>45831</v>
      </c>
      <c r="C26" s="19"/>
      <c r="D26" s="19"/>
      <c r="E26" s="19">
        <v>0</v>
      </c>
      <c r="F26" s="19">
        <v>0</v>
      </c>
      <c r="G26" s="19">
        <f t="shared" si="0"/>
        <v>0</v>
      </c>
      <c r="H26" s="19"/>
      <c r="I26" s="19"/>
      <c r="J26" s="19">
        <f t="shared" si="1"/>
        <v>0</v>
      </c>
      <c r="K26" s="19">
        <f t="shared" si="2"/>
        <v>0</v>
      </c>
      <c r="L26" s="19"/>
      <c r="M26" s="151">
        <f t="shared" si="3"/>
        <v>-0.47369999997317791</v>
      </c>
      <c r="N26" s="19"/>
    </row>
    <row r="27" spans="1:16">
      <c r="A27" s="28">
        <v>24</v>
      </c>
      <c r="B27" s="29">
        <v>45832</v>
      </c>
      <c r="C27" s="19"/>
      <c r="D27" s="19"/>
      <c r="E27" s="19">
        <v>0</v>
      </c>
      <c r="F27" s="19">
        <v>0</v>
      </c>
      <c r="G27" s="19">
        <f t="shared" si="0"/>
        <v>0</v>
      </c>
      <c r="H27" s="19"/>
      <c r="I27" s="19"/>
      <c r="J27" s="19">
        <f t="shared" si="1"/>
        <v>0</v>
      </c>
      <c r="K27" s="19">
        <f t="shared" si="2"/>
        <v>0</v>
      </c>
      <c r="L27" s="19"/>
      <c r="M27" s="151">
        <f t="shared" si="3"/>
        <v>-0.47369999997317791</v>
      </c>
      <c r="N27" s="19"/>
    </row>
    <row r="28" spans="1:16">
      <c r="A28" s="28">
        <v>25</v>
      </c>
      <c r="B28" s="29">
        <v>45833</v>
      </c>
      <c r="C28" s="19"/>
      <c r="D28" s="19"/>
      <c r="E28" s="19">
        <v>0</v>
      </c>
      <c r="F28" s="19">
        <v>0</v>
      </c>
      <c r="G28" s="19">
        <f t="shared" si="0"/>
        <v>0</v>
      </c>
      <c r="H28" s="19"/>
      <c r="I28" s="19"/>
      <c r="J28" s="19">
        <f t="shared" si="1"/>
        <v>0</v>
      </c>
      <c r="K28" s="19">
        <f t="shared" si="2"/>
        <v>0</v>
      </c>
      <c r="L28" s="19"/>
      <c r="M28" s="151">
        <f t="shared" si="3"/>
        <v>-0.47369999997317791</v>
      </c>
      <c r="N28" s="19"/>
    </row>
    <row r="29" spans="1:16">
      <c r="A29" s="28">
        <v>26</v>
      </c>
      <c r="B29" s="29">
        <v>45834</v>
      </c>
      <c r="C29" s="19"/>
      <c r="D29" s="19"/>
      <c r="E29" s="19">
        <v>0</v>
      </c>
      <c r="F29" s="19">
        <v>0</v>
      </c>
      <c r="G29" s="19">
        <f t="shared" si="0"/>
        <v>0</v>
      </c>
      <c r="H29" s="19"/>
      <c r="I29" s="19"/>
      <c r="J29" s="19">
        <f t="shared" si="1"/>
        <v>0</v>
      </c>
      <c r="K29" s="19">
        <f t="shared" si="2"/>
        <v>0</v>
      </c>
      <c r="L29" s="19"/>
      <c r="M29" s="151">
        <f t="shared" si="3"/>
        <v>-0.47369999997317791</v>
      </c>
      <c r="N29" s="19"/>
    </row>
    <row r="30" spans="1:16">
      <c r="A30" s="28">
        <v>27</v>
      </c>
      <c r="B30" s="29">
        <v>45835</v>
      </c>
      <c r="C30" s="19"/>
      <c r="D30" s="19"/>
      <c r="E30" s="19">
        <v>0</v>
      </c>
      <c r="F30" s="19">
        <v>0</v>
      </c>
      <c r="G30" s="19">
        <f t="shared" si="0"/>
        <v>0</v>
      </c>
      <c r="H30" s="19"/>
      <c r="I30" s="19"/>
      <c r="J30" s="19">
        <f t="shared" si="1"/>
        <v>0</v>
      </c>
      <c r="K30" s="19">
        <f t="shared" si="2"/>
        <v>0</v>
      </c>
      <c r="L30" s="19"/>
      <c r="M30" s="151">
        <f t="shared" si="3"/>
        <v>-0.47369999997317791</v>
      </c>
      <c r="N30" s="19"/>
      <c r="P30">
        <f>2939612.08-2939070.93</f>
        <v>541.14999999990687</v>
      </c>
    </row>
    <row r="31" spans="1:16">
      <c r="A31" s="28">
        <v>28</v>
      </c>
      <c r="B31" s="29">
        <v>45836</v>
      </c>
      <c r="C31" s="19"/>
      <c r="D31" s="19"/>
      <c r="E31" s="19">
        <v>0</v>
      </c>
      <c r="F31" s="19">
        <v>0</v>
      </c>
      <c r="G31" s="19">
        <f t="shared" si="0"/>
        <v>0</v>
      </c>
      <c r="H31" s="19"/>
      <c r="I31" s="19"/>
      <c r="J31" s="19">
        <f t="shared" si="1"/>
        <v>0</v>
      </c>
      <c r="K31" s="19">
        <f t="shared" si="2"/>
        <v>0</v>
      </c>
      <c r="L31" s="19"/>
      <c r="M31" s="151">
        <f t="shared" si="3"/>
        <v>-0.47369999997317791</v>
      </c>
      <c r="N31" s="19"/>
    </row>
    <row r="32" spans="1:16">
      <c r="A32" s="28">
        <v>29</v>
      </c>
      <c r="B32" s="29">
        <v>45837</v>
      </c>
      <c r="C32" s="19"/>
      <c r="D32" s="19"/>
      <c r="E32" s="19">
        <v>0</v>
      </c>
      <c r="F32" s="19">
        <v>0</v>
      </c>
      <c r="G32" s="19">
        <f t="shared" si="0"/>
        <v>0</v>
      </c>
      <c r="H32" s="19"/>
      <c r="I32" s="19"/>
      <c r="J32" s="19">
        <f t="shared" si="1"/>
        <v>0</v>
      </c>
      <c r="K32" s="19">
        <f t="shared" si="2"/>
        <v>0</v>
      </c>
      <c r="L32" s="19"/>
      <c r="M32" s="151"/>
      <c r="N32" s="19"/>
    </row>
    <row r="33" spans="1:15">
      <c r="A33" s="28">
        <v>30</v>
      </c>
      <c r="B33" s="29">
        <v>45838</v>
      </c>
      <c r="C33" s="19"/>
      <c r="D33" s="19"/>
      <c r="E33" s="19">
        <v>0</v>
      </c>
      <c r="F33" s="19">
        <v>0</v>
      </c>
      <c r="G33" s="19">
        <f t="shared" si="0"/>
        <v>0</v>
      </c>
      <c r="H33" s="19"/>
      <c r="I33" s="19"/>
      <c r="J33" s="19">
        <f t="shared" si="1"/>
        <v>0</v>
      </c>
      <c r="K33" s="19">
        <f t="shared" si="2"/>
        <v>0</v>
      </c>
      <c r="L33" s="19"/>
      <c r="M33" s="151"/>
      <c r="N33" s="19"/>
    </row>
    <row r="34" spans="1:15">
      <c r="A34" s="28">
        <v>31</v>
      </c>
      <c r="B34" s="29"/>
      <c r="C34" s="19"/>
      <c r="D34" s="19"/>
      <c r="E34" s="19">
        <v>0</v>
      </c>
      <c r="F34" s="19">
        <v>0</v>
      </c>
      <c r="G34" s="19">
        <f t="shared" si="0"/>
        <v>0</v>
      </c>
      <c r="H34" s="19"/>
      <c r="I34" s="19"/>
      <c r="J34" s="19">
        <f t="shared" si="1"/>
        <v>0</v>
      </c>
      <c r="K34" s="19">
        <f t="shared" si="2"/>
        <v>0</v>
      </c>
      <c r="L34" s="19"/>
      <c r="M34" s="151"/>
      <c r="N34" s="19"/>
    </row>
    <row r="35" spans="1:15">
      <c r="A35" s="51"/>
      <c r="B35" s="51"/>
      <c r="C35" s="51"/>
      <c r="D35" s="51"/>
      <c r="E35" s="229">
        <f>SUM(E4:E34)</f>
        <v>0</v>
      </c>
      <c r="F35" s="52"/>
      <c r="G35" s="229">
        <f>SUM(G4:G34)</f>
        <v>0</v>
      </c>
      <c r="H35" s="229">
        <f>SUM(H4:H34)</f>
        <v>0</v>
      </c>
      <c r="I35" s="52"/>
      <c r="J35" s="229">
        <f>SUM(J4:J34)</f>
        <v>0</v>
      </c>
      <c r="K35" s="229">
        <f>SUM(K4:K34)</f>
        <v>0</v>
      </c>
      <c r="L35" s="229">
        <f>SUM(L4:L34)</f>
        <v>331700</v>
      </c>
      <c r="M35" s="52"/>
      <c r="N35" s="52"/>
      <c r="O35" s="35"/>
    </row>
  </sheetData>
  <mergeCells count="2">
    <mergeCell ref="A1:N1"/>
    <mergeCell ref="A3:J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8C841-9E0F-4432-87D3-E0CE7CD55810}">
  <dimension ref="A1:R35"/>
  <sheetViews>
    <sheetView topLeftCell="A18" workbookViewId="0">
      <selection activeCell="M34" sqref="M34"/>
    </sheetView>
  </sheetViews>
  <sheetFormatPr defaultRowHeight="15"/>
  <cols>
    <col min="2" max="2" width="10.5703125" bestFit="1" customWidth="1"/>
    <col min="5" max="5" width="10.5703125" customWidth="1"/>
    <col min="7" max="7" width="14.85546875" customWidth="1"/>
    <col min="8" max="8" width="9.7109375" customWidth="1"/>
    <col min="11" max="12" width="11.85546875" bestFit="1" customWidth="1"/>
    <col min="13" max="13" width="13.5703125" bestFit="1" customWidth="1"/>
  </cols>
  <sheetData>
    <row r="1" spans="1:18" ht="15.75">
      <c r="A1" s="458" t="s">
        <v>24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</row>
    <row r="2" spans="1:18" ht="27">
      <c r="A2" s="116" t="s">
        <v>102</v>
      </c>
      <c r="B2" s="121" t="s">
        <v>103</v>
      </c>
      <c r="C2" s="121" t="s">
        <v>104</v>
      </c>
      <c r="D2" s="121" t="s">
        <v>105</v>
      </c>
      <c r="E2" s="228" t="s">
        <v>106</v>
      </c>
      <c r="F2" s="121" t="s">
        <v>107</v>
      </c>
      <c r="G2" s="121" t="s">
        <v>108</v>
      </c>
      <c r="H2" s="121" t="s">
        <v>109</v>
      </c>
      <c r="I2" s="121" t="s">
        <v>107</v>
      </c>
      <c r="J2" s="121" t="s">
        <v>108</v>
      </c>
      <c r="K2" s="121" t="s">
        <v>110</v>
      </c>
      <c r="L2" s="121" t="s">
        <v>111</v>
      </c>
      <c r="M2" s="121" t="s">
        <v>149</v>
      </c>
      <c r="N2" s="121" t="s">
        <v>113</v>
      </c>
    </row>
    <row r="3" spans="1:18">
      <c r="A3" s="459" t="s">
        <v>114</v>
      </c>
      <c r="B3" s="459"/>
      <c r="C3" s="459"/>
      <c r="D3" s="459"/>
      <c r="E3" s="459"/>
      <c r="F3" s="459"/>
      <c r="G3" s="459"/>
      <c r="H3" s="459"/>
      <c r="I3" s="459"/>
      <c r="J3" s="459"/>
      <c r="K3" s="260">
        <v>0</v>
      </c>
      <c r="L3" s="260"/>
      <c r="M3" s="261">
        <f>+K3</f>
        <v>0</v>
      </c>
      <c r="N3" s="107"/>
    </row>
    <row r="4" spans="1:18">
      <c r="A4" s="28">
        <v>1</v>
      </c>
      <c r="B4" s="29">
        <v>45809</v>
      </c>
      <c r="C4" s="19"/>
      <c r="D4" s="19"/>
      <c r="E4" s="19">
        <v>2400</v>
      </c>
      <c r="F4" s="19">
        <v>96.43</v>
      </c>
      <c r="G4" s="19">
        <f>E4*F4</f>
        <v>231432.00000000003</v>
      </c>
      <c r="H4" s="19"/>
      <c r="I4" s="19"/>
      <c r="J4" s="19">
        <f>H4*I4</f>
        <v>0</v>
      </c>
      <c r="K4" s="19">
        <f>G4+J4</f>
        <v>231432.00000000003</v>
      </c>
      <c r="L4" s="19"/>
      <c r="M4" s="151">
        <f>M3+K4-L4</f>
        <v>231432.00000000003</v>
      </c>
      <c r="N4" s="19"/>
      <c r="O4" s="24"/>
    </row>
    <row r="5" spans="1:18">
      <c r="A5" s="28">
        <v>2</v>
      </c>
      <c r="B5" s="29">
        <v>45810</v>
      </c>
      <c r="C5" s="19"/>
      <c r="D5" s="19"/>
      <c r="E5" s="19"/>
      <c r="F5" s="19"/>
      <c r="G5" s="19">
        <f t="shared" ref="G5:G34" si="0">E5*F5</f>
        <v>0</v>
      </c>
      <c r="H5" s="19"/>
      <c r="I5" s="19"/>
      <c r="J5" s="19">
        <f t="shared" ref="J5:J34" si="1">H5*I5</f>
        <v>0</v>
      </c>
      <c r="K5" s="19">
        <f t="shared" ref="K5:K34" si="2">G5+J5</f>
        <v>0</v>
      </c>
      <c r="L5" s="19"/>
      <c r="M5" s="151">
        <f t="shared" ref="M5:M34" si="3">M4+K5-L5</f>
        <v>231432.00000000003</v>
      </c>
      <c r="N5" s="19"/>
    </row>
    <row r="6" spans="1:18">
      <c r="A6" s="28">
        <v>3</v>
      </c>
      <c r="B6" s="29">
        <v>45811</v>
      </c>
      <c r="C6" s="19"/>
      <c r="D6" s="19"/>
      <c r="E6" s="19">
        <v>2100</v>
      </c>
      <c r="F6" s="19">
        <v>96.43</v>
      </c>
      <c r="G6" s="19">
        <f t="shared" si="0"/>
        <v>202503</v>
      </c>
      <c r="H6" s="19"/>
      <c r="I6" s="19"/>
      <c r="J6" s="19">
        <f t="shared" si="1"/>
        <v>0</v>
      </c>
      <c r="K6" s="19">
        <f t="shared" si="2"/>
        <v>202503</v>
      </c>
      <c r="L6" s="19"/>
      <c r="M6" s="151">
        <f t="shared" si="3"/>
        <v>433935</v>
      </c>
      <c r="N6" s="19"/>
      <c r="R6">
        <v>541.08000000000004</v>
      </c>
    </row>
    <row r="7" spans="1:18">
      <c r="A7" s="28">
        <v>4</v>
      </c>
      <c r="B7" s="29">
        <v>45812</v>
      </c>
      <c r="C7" s="19"/>
      <c r="D7" s="19"/>
      <c r="E7" s="19"/>
      <c r="F7" s="19"/>
      <c r="G7" s="19">
        <f t="shared" si="0"/>
        <v>0</v>
      </c>
      <c r="H7" s="19"/>
      <c r="I7" s="19"/>
      <c r="J7" s="19">
        <f t="shared" si="1"/>
        <v>0</v>
      </c>
      <c r="K7" s="19">
        <f t="shared" si="2"/>
        <v>0</v>
      </c>
      <c r="L7" s="19"/>
      <c r="M7" s="151">
        <f t="shared" si="3"/>
        <v>433935</v>
      </c>
      <c r="N7" s="19"/>
    </row>
    <row r="8" spans="1:18">
      <c r="A8" s="28">
        <v>5</v>
      </c>
      <c r="B8" s="29">
        <v>45813</v>
      </c>
      <c r="C8" s="19"/>
      <c r="D8" s="19"/>
      <c r="E8" s="19">
        <v>2400</v>
      </c>
      <c r="F8" s="19">
        <v>96.43</v>
      </c>
      <c r="G8" s="19">
        <f t="shared" si="0"/>
        <v>231432.00000000003</v>
      </c>
      <c r="H8" s="19"/>
      <c r="I8" s="19"/>
      <c r="J8" s="19">
        <f t="shared" si="1"/>
        <v>0</v>
      </c>
      <c r="K8" s="19">
        <f t="shared" si="2"/>
        <v>231432.00000000003</v>
      </c>
      <c r="L8" s="19">
        <v>433935</v>
      </c>
      <c r="M8" s="151">
        <f t="shared" si="3"/>
        <v>231432</v>
      </c>
      <c r="N8" s="19"/>
    </row>
    <row r="9" spans="1:18">
      <c r="A9" s="28">
        <v>6</v>
      </c>
      <c r="B9" s="29">
        <v>45814</v>
      </c>
      <c r="C9" s="19"/>
      <c r="D9" s="19"/>
      <c r="E9" s="19"/>
      <c r="F9" s="19"/>
      <c r="G9" s="19">
        <f t="shared" si="0"/>
        <v>0</v>
      </c>
      <c r="H9" s="19"/>
      <c r="I9" s="19"/>
      <c r="J9" s="19">
        <f t="shared" si="1"/>
        <v>0</v>
      </c>
      <c r="K9" s="19">
        <f t="shared" si="2"/>
        <v>0</v>
      </c>
      <c r="L9" s="19"/>
      <c r="M9" s="151">
        <f t="shared" si="3"/>
        <v>231432</v>
      </c>
      <c r="N9" s="19"/>
    </row>
    <row r="10" spans="1:18">
      <c r="A10" s="28">
        <v>7</v>
      </c>
      <c r="B10" s="29">
        <v>45815</v>
      </c>
      <c r="C10" s="19"/>
      <c r="D10" s="19"/>
      <c r="E10" s="19">
        <v>2460</v>
      </c>
      <c r="F10" s="19">
        <v>96.43</v>
      </c>
      <c r="G10" s="19">
        <f t="shared" si="0"/>
        <v>237217.80000000002</v>
      </c>
      <c r="H10" s="19"/>
      <c r="I10" s="19"/>
      <c r="J10" s="19">
        <f t="shared" si="1"/>
        <v>0</v>
      </c>
      <c r="K10" s="19">
        <f t="shared" si="2"/>
        <v>237217.80000000002</v>
      </c>
      <c r="L10" s="19"/>
      <c r="M10" s="151">
        <f t="shared" si="3"/>
        <v>468649.80000000005</v>
      </c>
      <c r="N10" s="19"/>
    </row>
    <row r="11" spans="1:18">
      <c r="A11" s="28">
        <v>8</v>
      </c>
      <c r="B11" s="29">
        <v>45816</v>
      </c>
      <c r="C11" s="19"/>
      <c r="D11" s="19"/>
      <c r="E11" s="19"/>
      <c r="F11" s="19"/>
      <c r="G11" s="19">
        <f t="shared" si="0"/>
        <v>0</v>
      </c>
      <c r="H11" s="19"/>
      <c r="I11" s="19"/>
      <c r="J11" s="19">
        <f t="shared" si="1"/>
        <v>0</v>
      </c>
      <c r="K11" s="19">
        <f t="shared" si="2"/>
        <v>0</v>
      </c>
      <c r="L11" s="19"/>
      <c r="M11" s="151">
        <f t="shared" si="3"/>
        <v>468649.80000000005</v>
      </c>
      <c r="N11" s="19"/>
    </row>
    <row r="12" spans="1:18">
      <c r="A12" s="28">
        <v>9</v>
      </c>
      <c r="B12" s="29">
        <v>45817</v>
      </c>
      <c r="C12" s="19"/>
      <c r="D12" s="19"/>
      <c r="E12" s="19">
        <v>1428</v>
      </c>
      <c r="F12" s="19">
        <v>96.43</v>
      </c>
      <c r="G12" s="19">
        <f t="shared" si="0"/>
        <v>137702.04</v>
      </c>
      <c r="H12" s="19"/>
      <c r="I12" s="19"/>
      <c r="J12" s="19">
        <f t="shared" si="1"/>
        <v>0</v>
      </c>
      <c r="K12" s="19">
        <f t="shared" si="2"/>
        <v>137702.04</v>
      </c>
      <c r="L12" s="19"/>
      <c r="M12" s="151">
        <f t="shared" si="3"/>
        <v>606351.84000000008</v>
      </c>
      <c r="N12" s="19"/>
    </row>
    <row r="13" spans="1:18">
      <c r="A13" s="28">
        <v>10</v>
      </c>
      <c r="B13" s="29">
        <v>45818</v>
      </c>
      <c r="C13" s="19"/>
      <c r="D13" s="19"/>
      <c r="E13" s="19">
        <v>0</v>
      </c>
      <c r="F13" s="19"/>
      <c r="G13" s="19">
        <f t="shared" si="0"/>
        <v>0</v>
      </c>
      <c r="H13" s="19"/>
      <c r="I13" s="19"/>
      <c r="J13" s="19">
        <f t="shared" si="1"/>
        <v>0</v>
      </c>
      <c r="K13" s="19">
        <f t="shared" si="2"/>
        <v>0</v>
      </c>
      <c r="L13" s="19"/>
      <c r="M13" s="151">
        <f t="shared" si="3"/>
        <v>606351.84000000008</v>
      </c>
      <c r="N13" s="19"/>
    </row>
    <row r="14" spans="1:18">
      <c r="A14" s="28">
        <v>11</v>
      </c>
      <c r="B14" s="29">
        <v>45819</v>
      </c>
      <c r="C14" s="19"/>
      <c r="D14" s="19"/>
      <c r="E14" s="19">
        <v>1400</v>
      </c>
      <c r="F14" s="19">
        <v>96.43</v>
      </c>
      <c r="G14" s="19">
        <f t="shared" si="0"/>
        <v>135002</v>
      </c>
      <c r="H14" s="19"/>
      <c r="I14" s="19"/>
      <c r="J14" s="19">
        <f t="shared" si="1"/>
        <v>0</v>
      </c>
      <c r="K14" s="19">
        <f t="shared" si="2"/>
        <v>135002</v>
      </c>
      <c r="L14" s="19"/>
      <c r="M14" s="151">
        <f t="shared" si="3"/>
        <v>741353.84000000008</v>
      </c>
      <c r="N14" s="19"/>
    </row>
    <row r="15" spans="1:18">
      <c r="A15" s="28">
        <v>12</v>
      </c>
      <c r="B15" s="29">
        <v>45820</v>
      </c>
      <c r="C15" s="19"/>
      <c r="D15" s="19"/>
      <c r="E15" s="19"/>
      <c r="F15" s="19"/>
      <c r="G15" s="19">
        <f t="shared" si="0"/>
        <v>0</v>
      </c>
      <c r="H15" s="19"/>
      <c r="I15" s="19"/>
      <c r="J15" s="19">
        <f t="shared" si="1"/>
        <v>0</v>
      </c>
      <c r="K15" s="19">
        <f t="shared" si="2"/>
        <v>0</v>
      </c>
      <c r="L15" s="19"/>
      <c r="M15" s="151">
        <f t="shared" si="3"/>
        <v>741353.84000000008</v>
      </c>
      <c r="N15" s="19"/>
    </row>
    <row r="16" spans="1:18">
      <c r="A16" s="28">
        <v>13</v>
      </c>
      <c r="B16" s="29">
        <v>45821</v>
      </c>
      <c r="C16" s="19"/>
      <c r="D16" s="19"/>
      <c r="E16" s="19">
        <v>2000</v>
      </c>
      <c r="F16" s="19">
        <v>96.43</v>
      </c>
      <c r="G16" s="19">
        <f t="shared" si="0"/>
        <v>192860</v>
      </c>
      <c r="H16" s="19"/>
      <c r="I16" s="19"/>
      <c r="J16" s="19">
        <f t="shared" si="1"/>
        <v>0</v>
      </c>
      <c r="K16" s="19">
        <f t="shared" si="2"/>
        <v>192860</v>
      </c>
      <c r="L16" s="19"/>
      <c r="M16" s="151">
        <f t="shared" si="3"/>
        <v>934213.84000000008</v>
      </c>
      <c r="N16" s="19"/>
    </row>
    <row r="17" spans="1:17">
      <c r="A17" s="28">
        <v>14</v>
      </c>
      <c r="B17" s="29">
        <v>45822</v>
      </c>
      <c r="C17" s="19"/>
      <c r="D17" s="19"/>
      <c r="E17" s="19"/>
      <c r="F17" s="19"/>
      <c r="G17" s="19">
        <f t="shared" si="0"/>
        <v>0</v>
      </c>
      <c r="H17" s="19"/>
      <c r="I17" s="19"/>
      <c r="J17" s="19">
        <f t="shared" si="1"/>
        <v>0</v>
      </c>
      <c r="K17" s="19">
        <f t="shared" si="2"/>
        <v>0</v>
      </c>
      <c r="L17" s="19"/>
      <c r="M17" s="151">
        <f t="shared" si="3"/>
        <v>934213.84000000008</v>
      </c>
      <c r="N17" s="19"/>
    </row>
    <row r="18" spans="1:17">
      <c r="A18" s="28">
        <v>15</v>
      </c>
      <c r="B18" s="29">
        <v>45823</v>
      </c>
      <c r="C18" s="19"/>
      <c r="D18" s="19"/>
      <c r="E18" s="19">
        <v>1200</v>
      </c>
      <c r="F18" s="19">
        <v>96.43</v>
      </c>
      <c r="G18" s="19">
        <f t="shared" si="0"/>
        <v>115716.00000000001</v>
      </c>
      <c r="H18" s="19"/>
      <c r="I18" s="19"/>
      <c r="J18" s="19">
        <f t="shared" si="1"/>
        <v>0</v>
      </c>
      <c r="K18" s="19">
        <f t="shared" si="2"/>
        <v>115716.00000000001</v>
      </c>
      <c r="L18" s="19"/>
      <c r="M18" s="151">
        <f t="shared" si="3"/>
        <v>1049929.8400000001</v>
      </c>
      <c r="N18" s="19"/>
    </row>
    <row r="19" spans="1:17">
      <c r="A19" s="28">
        <v>16</v>
      </c>
      <c r="B19" s="29">
        <v>45824</v>
      </c>
      <c r="C19" s="19"/>
      <c r="D19" s="19"/>
      <c r="E19" s="19"/>
      <c r="F19" s="19"/>
      <c r="G19" s="19">
        <f t="shared" si="0"/>
        <v>0</v>
      </c>
      <c r="H19" s="19"/>
      <c r="I19" s="19"/>
      <c r="J19" s="19">
        <f t="shared" si="1"/>
        <v>0</v>
      </c>
      <c r="K19" s="19">
        <f t="shared" si="2"/>
        <v>0</v>
      </c>
      <c r="L19" s="19"/>
      <c r="M19" s="151">
        <f t="shared" si="3"/>
        <v>1049929.8400000001</v>
      </c>
      <c r="N19" s="19"/>
    </row>
    <row r="20" spans="1:17">
      <c r="A20" s="28">
        <v>17</v>
      </c>
      <c r="B20" s="29">
        <v>45825</v>
      </c>
      <c r="C20" s="19"/>
      <c r="D20" s="19"/>
      <c r="E20" s="19"/>
      <c r="F20" s="19"/>
      <c r="G20" s="19">
        <f t="shared" si="0"/>
        <v>0</v>
      </c>
      <c r="H20" s="19"/>
      <c r="I20" s="19"/>
      <c r="J20" s="19">
        <f t="shared" si="1"/>
        <v>0</v>
      </c>
      <c r="K20" s="19">
        <f t="shared" si="2"/>
        <v>0</v>
      </c>
      <c r="L20" s="19"/>
      <c r="M20" s="151">
        <f t="shared" si="3"/>
        <v>1049929.8400000001</v>
      </c>
      <c r="N20" s="19"/>
    </row>
    <row r="21" spans="1:17">
      <c r="A21" s="28">
        <v>18</v>
      </c>
      <c r="B21" s="29">
        <v>45826</v>
      </c>
      <c r="C21" s="19"/>
      <c r="D21" s="19"/>
      <c r="E21" s="426">
        <v>2200</v>
      </c>
      <c r="F21" s="19">
        <v>96.43</v>
      </c>
      <c r="G21" s="19">
        <f t="shared" si="0"/>
        <v>212146.00000000003</v>
      </c>
      <c r="H21" s="19"/>
      <c r="I21" s="19"/>
      <c r="J21" s="19">
        <f t="shared" si="1"/>
        <v>0</v>
      </c>
      <c r="K21" s="19">
        <f t="shared" si="2"/>
        <v>212146.00000000003</v>
      </c>
      <c r="L21" s="19"/>
      <c r="M21" s="151">
        <f t="shared" si="3"/>
        <v>1262075.8400000001</v>
      </c>
      <c r="N21" s="19"/>
      <c r="P21">
        <v>2200</v>
      </c>
      <c r="Q21">
        <f>2200*96.43</f>
        <v>212146.00000000003</v>
      </c>
    </row>
    <row r="22" spans="1:17">
      <c r="A22" s="28">
        <v>19</v>
      </c>
      <c r="B22" s="29">
        <v>45827</v>
      </c>
      <c r="C22" s="19"/>
      <c r="D22" s="19"/>
      <c r="E22" s="19">
        <v>1500</v>
      </c>
      <c r="F22" s="19">
        <v>96.43</v>
      </c>
      <c r="G22" s="19">
        <f t="shared" si="0"/>
        <v>144645</v>
      </c>
      <c r="H22" s="19"/>
      <c r="I22" s="19"/>
      <c r="J22" s="19">
        <f t="shared" si="1"/>
        <v>0</v>
      </c>
      <c r="K22" s="19">
        <f t="shared" si="2"/>
        <v>144645</v>
      </c>
      <c r="L22" s="19"/>
      <c r="M22" s="151">
        <f t="shared" si="3"/>
        <v>1406720.84</v>
      </c>
      <c r="N22" s="19"/>
    </row>
    <row r="23" spans="1:17">
      <c r="A23" s="28">
        <v>20</v>
      </c>
      <c r="B23" s="29">
        <v>45828</v>
      </c>
      <c r="C23" s="19"/>
      <c r="D23" s="19"/>
      <c r="E23" s="19"/>
      <c r="F23" s="19"/>
      <c r="G23" s="19">
        <f t="shared" si="0"/>
        <v>0</v>
      </c>
      <c r="H23" s="19"/>
      <c r="I23" s="19"/>
      <c r="J23" s="19">
        <f t="shared" si="1"/>
        <v>0</v>
      </c>
      <c r="K23" s="19">
        <f t="shared" si="2"/>
        <v>0</v>
      </c>
      <c r="L23" s="19"/>
      <c r="M23" s="151">
        <f t="shared" si="3"/>
        <v>1406720.84</v>
      </c>
      <c r="N23" s="19"/>
    </row>
    <row r="24" spans="1:17">
      <c r="A24" s="28">
        <v>21</v>
      </c>
      <c r="B24" s="29">
        <v>45829</v>
      </c>
      <c r="C24" s="19"/>
      <c r="D24" s="19"/>
      <c r="E24" s="19"/>
      <c r="F24" s="19"/>
      <c r="G24" s="19">
        <f t="shared" si="0"/>
        <v>0</v>
      </c>
      <c r="H24" s="19"/>
      <c r="I24" s="19"/>
      <c r="J24" s="19">
        <f t="shared" si="1"/>
        <v>0</v>
      </c>
      <c r="K24" s="19">
        <f t="shared" si="2"/>
        <v>0</v>
      </c>
      <c r="L24" s="19"/>
      <c r="M24" s="151">
        <f t="shared" si="3"/>
        <v>1406720.84</v>
      </c>
      <c r="N24" s="19"/>
    </row>
    <row r="25" spans="1:17">
      <c r="A25" s="28">
        <v>22</v>
      </c>
      <c r="B25" s="29">
        <v>45830</v>
      </c>
      <c r="C25" s="19"/>
      <c r="D25" s="19"/>
      <c r="E25" s="19">
        <v>2000</v>
      </c>
      <c r="F25" s="19">
        <v>96.43</v>
      </c>
      <c r="G25" s="19">
        <f t="shared" si="0"/>
        <v>192860</v>
      </c>
      <c r="H25" s="19"/>
      <c r="I25" s="19"/>
      <c r="J25" s="19">
        <f t="shared" si="1"/>
        <v>0</v>
      </c>
      <c r="K25" s="19">
        <f t="shared" si="2"/>
        <v>192860</v>
      </c>
      <c r="L25" s="19"/>
      <c r="M25" s="151">
        <f t="shared" si="3"/>
        <v>1599580.84</v>
      </c>
      <c r="N25" s="19"/>
    </row>
    <row r="26" spans="1:17">
      <c r="A26" s="28">
        <v>23</v>
      </c>
      <c r="B26" s="29">
        <v>45831</v>
      </c>
      <c r="C26" s="19"/>
      <c r="D26" s="19"/>
      <c r="E26" s="19"/>
      <c r="F26" s="19"/>
      <c r="G26" s="19">
        <f t="shared" si="0"/>
        <v>0</v>
      </c>
      <c r="H26" s="19"/>
      <c r="I26" s="19"/>
      <c r="J26" s="19">
        <f t="shared" si="1"/>
        <v>0</v>
      </c>
      <c r="K26" s="19">
        <f t="shared" si="2"/>
        <v>0</v>
      </c>
      <c r="L26" s="19"/>
      <c r="M26" s="151">
        <f t="shared" si="3"/>
        <v>1599580.84</v>
      </c>
      <c r="N26" s="19"/>
    </row>
    <row r="27" spans="1:17">
      <c r="A27" s="28">
        <v>24</v>
      </c>
      <c r="B27" s="29">
        <v>45832</v>
      </c>
      <c r="C27" s="19"/>
      <c r="D27" s="19"/>
      <c r="E27" s="19">
        <v>3984.59</v>
      </c>
      <c r="F27" s="19">
        <v>96.43</v>
      </c>
      <c r="G27" s="19">
        <f t="shared" si="0"/>
        <v>384234.01370000007</v>
      </c>
      <c r="H27" s="19"/>
      <c r="I27" s="19"/>
      <c r="J27" s="19">
        <f t="shared" si="1"/>
        <v>0</v>
      </c>
      <c r="K27" s="19">
        <f t="shared" si="2"/>
        <v>384234.01370000007</v>
      </c>
      <c r="L27" s="19"/>
      <c r="M27" s="151">
        <f t="shared" si="3"/>
        <v>1983814.8537000001</v>
      </c>
      <c r="N27" s="19"/>
    </row>
    <row r="28" spans="1:17">
      <c r="A28" s="28">
        <v>25</v>
      </c>
      <c r="B28" s="29">
        <v>45833</v>
      </c>
      <c r="C28" s="19"/>
      <c r="D28" s="19"/>
      <c r="E28" s="19">
        <v>4200</v>
      </c>
      <c r="F28" s="19">
        <v>96.43</v>
      </c>
      <c r="G28" s="19">
        <f t="shared" si="0"/>
        <v>405006</v>
      </c>
      <c r="H28" s="19"/>
      <c r="I28" s="19"/>
      <c r="J28" s="19">
        <f t="shared" si="1"/>
        <v>0</v>
      </c>
      <c r="K28" s="19">
        <f t="shared" si="2"/>
        <v>405006</v>
      </c>
      <c r="L28" s="19"/>
      <c r="M28" s="151">
        <f t="shared" si="3"/>
        <v>2388820.8536999999</v>
      </c>
      <c r="N28" s="19"/>
    </row>
    <row r="29" spans="1:17">
      <c r="A29" s="28">
        <v>26</v>
      </c>
      <c r="B29" s="29">
        <v>45834</v>
      </c>
      <c r="C29" s="19"/>
      <c r="D29" s="19"/>
      <c r="E29" s="188">
        <v>1723</v>
      </c>
      <c r="F29" s="19">
        <v>96.43</v>
      </c>
      <c r="G29" s="19">
        <f t="shared" si="0"/>
        <v>166148.89000000001</v>
      </c>
      <c r="H29" s="19"/>
      <c r="I29" s="19"/>
      <c r="J29" s="19">
        <f t="shared" si="1"/>
        <v>0</v>
      </c>
      <c r="K29" s="19">
        <f t="shared" si="2"/>
        <v>166148.89000000001</v>
      </c>
      <c r="L29" s="19"/>
      <c r="M29" s="151">
        <f t="shared" si="3"/>
        <v>2554969.7437</v>
      </c>
      <c r="N29" s="19"/>
      <c r="P29">
        <v>4200</v>
      </c>
    </row>
    <row r="30" spans="1:17">
      <c r="A30" s="28">
        <v>27</v>
      </c>
      <c r="B30" s="29">
        <v>45835</v>
      </c>
      <c r="C30" s="19"/>
      <c r="D30" s="19"/>
      <c r="E30" s="19">
        <v>2000</v>
      </c>
      <c r="F30" s="19">
        <v>96.43</v>
      </c>
      <c r="G30" s="19">
        <f t="shared" si="0"/>
        <v>192860</v>
      </c>
      <c r="H30" s="19"/>
      <c r="I30" s="19"/>
      <c r="J30" s="19">
        <f t="shared" si="1"/>
        <v>0</v>
      </c>
      <c r="K30" s="19">
        <f t="shared" si="2"/>
        <v>192860</v>
      </c>
      <c r="L30" s="19">
        <v>2300000</v>
      </c>
      <c r="M30" s="151">
        <f t="shared" si="3"/>
        <v>447829.74369999999</v>
      </c>
      <c r="N30" s="19"/>
    </row>
    <row r="31" spans="1:17">
      <c r="A31" s="28">
        <v>28</v>
      </c>
      <c r="B31" s="29">
        <v>45836</v>
      </c>
      <c r="C31" s="19"/>
      <c r="D31" s="19"/>
      <c r="E31" s="19">
        <v>2000</v>
      </c>
      <c r="F31" s="19">
        <v>96.43</v>
      </c>
      <c r="G31" s="19">
        <f t="shared" si="0"/>
        <v>192860</v>
      </c>
      <c r="H31" s="19"/>
      <c r="I31" s="19"/>
      <c r="J31" s="19">
        <f t="shared" si="1"/>
        <v>0</v>
      </c>
      <c r="K31" s="19">
        <f t="shared" si="2"/>
        <v>192860</v>
      </c>
      <c r="L31" s="19"/>
      <c r="M31" s="151">
        <f t="shared" si="3"/>
        <v>640689.74369999999</v>
      </c>
      <c r="N31" s="19"/>
      <c r="P31">
        <f>SUM(P21:P30)</f>
        <v>6400</v>
      </c>
      <c r="Q31">
        <f>62008*6.43</f>
        <v>398711.44</v>
      </c>
    </row>
    <row r="32" spans="1:17">
      <c r="A32" s="28">
        <v>29</v>
      </c>
      <c r="B32" s="29">
        <v>45837</v>
      </c>
      <c r="C32" s="19"/>
      <c r="D32" s="19"/>
      <c r="E32" s="19">
        <v>2400</v>
      </c>
      <c r="F32" s="19">
        <v>96.43</v>
      </c>
      <c r="G32" s="19">
        <f t="shared" si="0"/>
        <v>231432.00000000003</v>
      </c>
      <c r="H32" s="19"/>
      <c r="I32" s="19"/>
      <c r="J32" s="19">
        <f t="shared" si="1"/>
        <v>0</v>
      </c>
      <c r="K32" s="19">
        <f t="shared" si="2"/>
        <v>231432.00000000003</v>
      </c>
      <c r="L32" s="19"/>
      <c r="M32" s="151">
        <f t="shared" si="3"/>
        <v>872121.74369999999</v>
      </c>
      <c r="N32" s="19"/>
    </row>
    <row r="33" spans="1:15">
      <c r="A33" s="28">
        <v>30</v>
      </c>
      <c r="B33" s="29">
        <v>45838</v>
      </c>
      <c r="C33" s="19"/>
      <c r="D33" s="19"/>
      <c r="E33" s="19">
        <v>3500</v>
      </c>
      <c r="F33" s="19">
        <v>96.43</v>
      </c>
      <c r="G33" s="19">
        <f t="shared" si="0"/>
        <v>337505</v>
      </c>
      <c r="H33" s="19"/>
      <c r="I33" s="19"/>
      <c r="J33" s="19">
        <f t="shared" si="1"/>
        <v>0</v>
      </c>
      <c r="K33" s="19">
        <f t="shared" si="2"/>
        <v>337505</v>
      </c>
      <c r="L33" s="19"/>
      <c r="M33" s="151">
        <f t="shared" si="3"/>
        <v>1209626.7437</v>
      </c>
      <c r="N33" s="19"/>
    </row>
    <row r="34" spans="1:15">
      <c r="A34" s="28">
        <v>31</v>
      </c>
      <c r="B34" s="29"/>
      <c r="C34" s="19"/>
      <c r="D34" s="19"/>
      <c r="E34" s="19"/>
      <c r="F34" s="19"/>
      <c r="G34" s="19">
        <f t="shared" si="0"/>
        <v>0</v>
      </c>
      <c r="H34" s="19"/>
      <c r="I34" s="19"/>
      <c r="J34" s="19">
        <f t="shared" si="1"/>
        <v>0</v>
      </c>
      <c r="K34" s="19">
        <f t="shared" si="2"/>
        <v>0</v>
      </c>
      <c r="L34" s="19"/>
      <c r="M34" s="151">
        <f t="shared" si="3"/>
        <v>1209626.7437</v>
      </c>
      <c r="N34" s="19"/>
    </row>
    <row r="35" spans="1:15">
      <c r="A35" s="51"/>
      <c r="B35" s="51"/>
      <c r="C35" s="51"/>
      <c r="D35" s="51"/>
      <c r="E35" s="229">
        <f>SUM(E4:E34)</f>
        <v>40895.589999999997</v>
      </c>
      <c r="F35" s="52"/>
      <c r="G35" s="229">
        <f>SUM(G4:G34)</f>
        <v>3943561.7437000005</v>
      </c>
      <c r="H35" s="229">
        <f>SUM(H4:H34)</f>
        <v>0</v>
      </c>
      <c r="I35" s="52"/>
      <c r="J35" s="229">
        <f>SUM(J4:J34)</f>
        <v>0</v>
      </c>
      <c r="K35" s="229">
        <f>SUM(K4:K34)</f>
        <v>3943561.7437000005</v>
      </c>
      <c r="L35" s="229">
        <f>SUM(L4:L34)</f>
        <v>2733935</v>
      </c>
      <c r="M35" s="52"/>
      <c r="N35" s="52"/>
      <c r="O35" s="35"/>
    </row>
  </sheetData>
  <mergeCells count="2">
    <mergeCell ref="A1:N1"/>
    <mergeCell ref="A3:J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36F5E-9E9B-42D1-AB84-1EC3DDAE3F46}">
  <dimension ref="A1:P41"/>
  <sheetViews>
    <sheetView topLeftCell="A25" workbookViewId="0">
      <selection activeCell="Q42" sqref="Q42"/>
    </sheetView>
  </sheetViews>
  <sheetFormatPr defaultColWidth="10.5703125" defaultRowHeight="15" customHeight="1"/>
  <cols>
    <col min="3" max="3" width="12.85546875" customWidth="1"/>
    <col min="4" max="4" width="10.85546875" customWidth="1"/>
    <col min="5" max="6" width="10.5703125" style="24"/>
    <col min="7" max="7" width="12.85546875" style="24" customWidth="1"/>
    <col min="8" max="9" width="10.5703125" style="24"/>
    <col min="10" max="10" width="13.85546875" style="24" customWidth="1"/>
    <col min="11" max="11" width="13.5703125" style="24" customWidth="1"/>
    <col min="12" max="12" width="16.140625" style="24" customWidth="1"/>
    <col min="13" max="13" width="17.42578125" style="24" customWidth="1"/>
  </cols>
  <sheetData>
    <row r="1" spans="1:16" ht="15" customHeight="1">
      <c r="A1" s="458" t="s">
        <v>32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275"/>
    </row>
    <row r="2" spans="1:16" ht="26.25" customHeight="1">
      <c r="A2" s="116" t="s">
        <v>102</v>
      </c>
      <c r="B2" s="121" t="s">
        <v>103</v>
      </c>
      <c r="C2" s="121" t="s">
        <v>104</v>
      </c>
      <c r="D2" s="121" t="s">
        <v>105</v>
      </c>
      <c r="E2" s="285" t="s">
        <v>106</v>
      </c>
      <c r="F2" s="277" t="s">
        <v>107</v>
      </c>
      <c r="G2" s="277" t="s">
        <v>108</v>
      </c>
      <c r="H2" s="277" t="s">
        <v>109</v>
      </c>
      <c r="I2" s="277" t="s">
        <v>107</v>
      </c>
      <c r="J2" s="277" t="s">
        <v>108</v>
      </c>
      <c r="K2" s="277" t="s">
        <v>110</v>
      </c>
      <c r="L2" s="277" t="s">
        <v>111</v>
      </c>
      <c r="M2" s="277" t="s">
        <v>149</v>
      </c>
      <c r="N2" s="121" t="s">
        <v>113</v>
      </c>
    </row>
    <row r="3" spans="1:16" ht="15" customHeight="1">
      <c r="A3" s="459" t="s">
        <v>114</v>
      </c>
      <c r="B3" s="459"/>
      <c r="C3" s="459"/>
      <c r="D3" s="459"/>
      <c r="E3" s="459"/>
      <c r="F3" s="459"/>
      <c r="G3" s="459"/>
      <c r="H3" s="459"/>
      <c r="I3" s="459"/>
      <c r="J3" s="459"/>
      <c r="K3" s="278">
        <v>0</v>
      </c>
      <c r="L3" s="278"/>
      <c r="M3" s="255">
        <f>+K3</f>
        <v>0</v>
      </c>
      <c r="N3" s="107"/>
    </row>
    <row r="4" spans="1:16">
      <c r="A4" s="28">
        <v>1</v>
      </c>
      <c r="B4" s="29">
        <v>45809</v>
      </c>
      <c r="C4" s="19"/>
      <c r="D4" s="19"/>
      <c r="E4" s="379">
        <v>0</v>
      </c>
      <c r="F4" s="46">
        <v>0</v>
      </c>
      <c r="G4" s="46">
        <f>E4*F4</f>
        <v>0</v>
      </c>
      <c r="H4" s="46">
        <v>0</v>
      </c>
      <c r="I4" s="46">
        <v>0</v>
      </c>
      <c r="J4" s="46">
        <f>H4*I4</f>
        <v>0</v>
      </c>
      <c r="K4" s="46">
        <f>G4+J4</f>
        <v>0</v>
      </c>
      <c r="L4" s="46"/>
      <c r="M4" s="46">
        <f>M3+K4-L4</f>
        <v>0</v>
      </c>
      <c r="N4" s="19"/>
      <c r="P4" s="24"/>
    </row>
    <row r="5" spans="1:16">
      <c r="A5" s="28">
        <v>2</v>
      </c>
      <c r="B5" s="29">
        <v>45810</v>
      </c>
      <c r="C5" s="19"/>
      <c r="D5" s="19"/>
      <c r="E5" s="379">
        <v>700</v>
      </c>
      <c r="F5" s="381">
        <v>96.23</v>
      </c>
      <c r="G5" s="46">
        <f t="shared" ref="G5:G39" si="0">E5*F5</f>
        <v>67361</v>
      </c>
      <c r="H5" s="46">
        <v>0</v>
      </c>
      <c r="I5" s="46">
        <v>0</v>
      </c>
      <c r="J5" s="46">
        <f t="shared" ref="J5:J39" si="1">H5*I5</f>
        <v>0</v>
      </c>
      <c r="K5" s="46">
        <f t="shared" ref="K5:K39" si="2">G5+J5</f>
        <v>67361</v>
      </c>
      <c r="L5" s="46">
        <f>+K5</f>
        <v>67361</v>
      </c>
      <c r="M5" s="46">
        <f t="shared" ref="M5:M39" si="3">M4+K5-L5</f>
        <v>0</v>
      </c>
      <c r="N5" s="19"/>
    </row>
    <row r="6" spans="1:16">
      <c r="A6" s="28">
        <v>3</v>
      </c>
      <c r="B6" s="29">
        <v>45811</v>
      </c>
      <c r="C6" s="19"/>
      <c r="D6" s="19"/>
      <c r="E6" s="380">
        <v>290</v>
      </c>
      <c r="F6" s="381">
        <v>96.23</v>
      </c>
      <c r="G6" s="46">
        <f t="shared" si="0"/>
        <v>27906.7</v>
      </c>
      <c r="H6" s="46">
        <v>0</v>
      </c>
      <c r="I6" s="46">
        <v>0</v>
      </c>
      <c r="J6" s="46">
        <f t="shared" si="1"/>
        <v>0</v>
      </c>
      <c r="K6" s="46">
        <f t="shared" si="2"/>
        <v>27906.7</v>
      </c>
      <c r="L6" s="46">
        <f>+K6</f>
        <v>27906.7</v>
      </c>
      <c r="M6" s="46">
        <f t="shared" si="3"/>
        <v>0</v>
      </c>
      <c r="N6" s="19"/>
    </row>
    <row r="7" spans="1:16">
      <c r="A7" s="28"/>
      <c r="B7" s="29">
        <v>45811</v>
      </c>
      <c r="C7" s="19"/>
      <c r="D7" s="19"/>
      <c r="E7" s="380">
        <v>400</v>
      </c>
      <c r="F7" s="381">
        <v>96.23</v>
      </c>
      <c r="G7" s="46">
        <f t="shared" si="0"/>
        <v>38492</v>
      </c>
      <c r="H7" s="46">
        <v>0</v>
      </c>
      <c r="I7" s="46">
        <v>0</v>
      </c>
      <c r="J7" s="46">
        <f t="shared" si="1"/>
        <v>0</v>
      </c>
      <c r="K7" s="46">
        <f t="shared" si="2"/>
        <v>38492</v>
      </c>
      <c r="L7" s="46"/>
      <c r="M7" s="46">
        <f t="shared" si="3"/>
        <v>38492</v>
      </c>
      <c r="N7" s="19"/>
    </row>
    <row r="8" spans="1:16">
      <c r="A8" s="28">
        <v>4</v>
      </c>
      <c r="B8" s="29">
        <v>45812</v>
      </c>
      <c r="C8" s="19"/>
      <c r="D8" s="19"/>
      <c r="E8" s="46">
        <v>100</v>
      </c>
      <c r="F8" s="381">
        <v>96.23</v>
      </c>
      <c r="G8" s="46">
        <f t="shared" si="0"/>
        <v>9623</v>
      </c>
      <c r="H8" s="46">
        <v>0</v>
      </c>
      <c r="I8" s="46">
        <v>0</v>
      </c>
      <c r="J8" s="46">
        <f t="shared" si="1"/>
        <v>0</v>
      </c>
      <c r="K8" s="46">
        <f t="shared" si="2"/>
        <v>9623</v>
      </c>
      <c r="L8" s="46">
        <v>48115</v>
      </c>
      <c r="M8" s="46">
        <f t="shared" si="3"/>
        <v>0</v>
      </c>
      <c r="N8" s="19"/>
    </row>
    <row r="9" spans="1:16">
      <c r="A9" s="28">
        <v>5</v>
      </c>
      <c r="B9" s="29">
        <v>45813</v>
      </c>
      <c r="C9" s="19"/>
      <c r="D9" s="19"/>
      <c r="E9" s="46">
        <v>600</v>
      </c>
      <c r="F9" s="27">
        <v>96.23</v>
      </c>
      <c r="G9" s="46">
        <f t="shared" si="0"/>
        <v>57738</v>
      </c>
      <c r="H9" s="46">
        <v>0</v>
      </c>
      <c r="I9" s="46">
        <v>0</v>
      </c>
      <c r="J9" s="46">
        <f t="shared" si="1"/>
        <v>0</v>
      </c>
      <c r="K9" s="46">
        <f t="shared" si="2"/>
        <v>57738</v>
      </c>
      <c r="L9" s="46"/>
      <c r="M9" s="46">
        <f t="shared" si="3"/>
        <v>57738</v>
      </c>
      <c r="N9" s="19"/>
    </row>
    <row r="10" spans="1:16">
      <c r="A10" s="28">
        <v>6</v>
      </c>
      <c r="B10" s="29">
        <v>45814</v>
      </c>
      <c r="C10" s="19"/>
      <c r="D10" s="19"/>
      <c r="E10" s="46">
        <v>600</v>
      </c>
      <c r="F10" s="27">
        <v>96.23</v>
      </c>
      <c r="G10" s="46">
        <f t="shared" si="0"/>
        <v>57738</v>
      </c>
      <c r="H10" s="46">
        <v>0</v>
      </c>
      <c r="I10" s="46">
        <v>0</v>
      </c>
      <c r="J10" s="46">
        <f t="shared" si="1"/>
        <v>0</v>
      </c>
      <c r="K10" s="46">
        <f t="shared" si="2"/>
        <v>57738</v>
      </c>
      <c r="L10" s="46"/>
      <c r="M10" s="46">
        <f t="shared" si="3"/>
        <v>115476</v>
      </c>
      <c r="N10" s="19"/>
    </row>
    <row r="11" spans="1:16">
      <c r="A11" s="28">
        <v>7</v>
      </c>
      <c r="B11" s="29">
        <v>45815</v>
      </c>
      <c r="C11" s="19"/>
      <c r="D11" s="19"/>
      <c r="E11" s="46">
        <v>600</v>
      </c>
      <c r="F11" s="27">
        <v>96.23</v>
      </c>
      <c r="G11" s="46">
        <f t="shared" si="0"/>
        <v>57738</v>
      </c>
      <c r="H11" s="46">
        <v>20</v>
      </c>
      <c r="I11" s="46">
        <v>108.03</v>
      </c>
      <c r="J11" s="46">
        <f t="shared" si="1"/>
        <v>2160.6</v>
      </c>
      <c r="K11" s="46">
        <f t="shared" si="2"/>
        <v>59898.6</v>
      </c>
      <c r="L11" s="46"/>
      <c r="M11" s="46">
        <f t="shared" si="3"/>
        <v>175374.6</v>
      </c>
      <c r="N11" s="19"/>
    </row>
    <row r="12" spans="1:16">
      <c r="A12" s="28">
        <v>8</v>
      </c>
      <c r="B12" s="29">
        <v>45816</v>
      </c>
      <c r="C12" s="19"/>
      <c r="D12" s="19"/>
      <c r="E12" s="46">
        <v>0</v>
      </c>
      <c r="F12" s="46">
        <v>0</v>
      </c>
      <c r="G12" s="46">
        <f t="shared" si="0"/>
        <v>0</v>
      </c>
      <c r="H12" s="46">
        <v>0</v>
      </c>
      <c r="I12" s="46">
        <v>0</v>
      </c>
      <c r="J12" s="46">
        <f t="shared" si="1"/>
        <v>0</v>
      </c>
      <c r="K12" s="46">
        <f t="shared" si="2"/>
        <v>0</v>
      </c>
      <c r="L12" s="46"/>
      <c r="M12" s="46">
        <f t="shared" si="3"/>
        <v>175374.6</v>
      </c>
      <c r="N12" s="19"/>
      <c r="P12" s="24"/>
    </row>
    <row r="13" spans="1:16">
      <c r="A13" s="28">
        <v>9</v>
      </c>
      <c r="B13" s="29">
        <v>45817</v>
      </c>
      <c r="C13" s="19"/>
      <c r="D13" s="19"/>
      <c r="E13" s="46">
        <v>0</v>
      </c>
      <c r="F13" s="46">
        <v>0</v>
      </c>
      <c r="G13" s="46">
        <f t="shared" si="0"/>
        <v>0</v>
      </c>
      <c r="H13" s="46">
        <v>0</v>
      </c>
      <c r="I13" s="46">
        <v>0</v>
      </c>
      <c r="J13" s="46">
        <f t="shared" si="1"/>
        <v>0</v>
      </c>
      <c r="K13" s="46">
        <f t="shared" si="2"/>
        <v>0</v>
      </c>
      <c r="L13" s="46"/>
      <c r="M13" s="46">
        <f t="shared" si="3"/>
        <v>175374.6</v>
      </c>
      <c r="N13" s="19"/>
    </row>
    <row r="14" spans="1:16">
      <c r="A14" s="28">
        <v>10</v>
      </c>
      <c r="B14" s="29">
        <v>45818</v>
      </c>
      <c r="C14" s="19"/>
      <c r="D14" s="19"/>
      <c r="E14" s="46">
        <v>0</v>
      </c>
      <c r="F14" s="46">
        <v>0</v>
      </c>
      <c r="G14" s="46">
        <f t="shared" si="0"/>
        <v>0</v>
      </c>
      <c r="H14" s="46">
        <v>0</v>
      </c>
      <c r="I14" s="46">
        <v>0</v>
      </c>
      <c r="J14" s="46">
        <f t="shared" si="1"/>
        <v>0</v>
      </c>
      <c r="K14" s="46">
        <f t="shared" si="2"/>
        <v>0</v>
      </c>
      <c r="L14" s="46"/>
      <c r="M14" s="46">
        <f t="shared" si="3"/>
        <v>175374.6</v>
      </c>
      <c r="N14" s="19"/>
    </row>
    <row r="15" spans="1:16">
      <c r="A15" s="28">
        <v>11</v>
      </c>
      <c r="B15" s="29">
        <v>45819</v>
      </c>
      <c r="C15" s="19"/>
      <c r="D15" s="19"/>
      <c r="E15" s="46">
        <v>600</v>
      </c>
      <c r="F15" s="46">
        <v>96.23</v>
      </c>
      <c r="G15" s="46">
        <f t="shared" si="0"/>
        <v>57738</v>
      </c>
      <c r="H15" s="46">
        <v>20</v>
      </c>
      <c r="I15" s="46">
        <v>108.03</v>
      </c>
      <c r="J15" s="46">
        <f t="shared" si="1"/>
        <v>2160.6</v>
      </c>
      <c r="K15" s="46">
        <f t="shared" si="2"/>
        <v>59898.6</v>
      </c>
      <c r="L15" s="46"/>
      <c r="M15" s="46">
        <f t="shared" si="3"/>
        <v>235273.2</v>
      </c>
      <c r="N15" s="19"/>
    </row>
    <row r="16" spans="1:16">
      <c r="A16" s="28">
        <v>12</v>
      </c>
      <c r="B16" s="29">
        <v>45820</v>
      </c>
      <c r="C16" s="19"/>
      <c r="D16" s="19"/>
      <c r="E16" s="46">
        <v>0</v>
      </c>
      <c r="F16" s="46">
        <v>0</v>
      </c>
      <c r="G16" s="46">
        <f t="shared" si="0"/>
        <v>0</v>
      </c>
      <c r="H16" s="46">
        <v>0</v>
      </c>
      <c r="I16" s="46">
        <v>0</v>
      </c>
      <c r="J16" s="46">
        <f t="shared" si="1"/>
        <v>0</v>
      </c>
      <c r="K16" s="46">
        <f t="shared" si="2"/>
        <v>0</v>
      </c>
      <c r="L16" s="46"/>
      <c r="M16" s="46">
        <f t="shared" si="3"/>
        <v>235273.2</v>
      </c>
      <c r="N16" s="19"/>
    </row>
    <row r="17" spans="1:14">
      <c r="A17" s="28">
        <v>13</v>
      </c>
      <c r="B17" s="29">
        <v>45821</v>
      </c>
      <c r="C17" s="19"/>
      <c r="D17" s="19"/>
      <c r="E17" s="46">
        <v>600</v>
      </c>
      <c r="F17" s="46">
        <v>96.23</v>
      </c>
      <c r="G17" s="46">
        <f t="shared" si="0"/>
        <v>57738</v>
      </c>
      <c r="H17" s="46">
        <v>0</v>
      </c>
      <c r="I17" s="46">
        <v>0</v>
      </c>
      <c r="J17" s="46">
        <f t="shared" si="1"/>
        <v>0</v>
      </c>
      <c r="K17" s="46">
        <f t="shared" si="2"/>
        <v>57738</v>
      </c>
      <c r="L17" s="46"/>
      <c r="M17" s="46">
        <f t="shared" si="3"/>
        <v>293011.20000000001</v>
      </c>
      <c r="N17" s="19"/>
    </row>
    <row r="18" spans="1:14">
      <c r="A18" s="28">
        <v>14</v>
      </c>
      <c r="B18" s="29">
        <v>45822</v>
      </c>
      <c r="C18" s="19"/>
      <c r="D18" s="19"/>
      <c r="E18" s="46">
        <v>0</v>
      </c>
      <c r="F18" s="46">
        <v>0</v>
      </c>
      <c r="G18" s="46">
        <f t="shared" si="0"/>
        <v>0</v>
      </c>
      <c r="H18" s="46">
        <v>0</v>
      </c>
      <c r="I18" s="46">
        <v>0</v>
      </c>
      <c r="J18" s="46">
        <f t="shared" si="1"/>
        <v>0</v>
      </c>
      <c r="K18" s="46">
        <f t="shared" si="2"/>
        <v>0</v>
      </c>
      <c r="L18" s="46"/>
      <c r="M18" s="46">
        <f t="shared" si="3"/>
        <v>293011.20000000001</v>
      </c>
      <c r="N18" s="19"/>
    </row>
    <row r="19" spans="1:14">
      <c r="A19" s="28">
        <v>15</v>
      </c>
      <c r="B19" s="29">
        <v>45823</v>
      </c>
      <c r="C19" s="19"/>
      <c r="D19" s="19"/>
      <c r="E19" s="46">
        <v>800</v>
      </c>
      <c r="F19" s="46">
        <v>96.23</v>
      </c>
      <c r="G19" s="46">
        <f t="shared" si="0"/>
        <v>76984</v>
      </c>
      <c r="H19" s="46">
        <v>20</v>
      </c>
      <c r="I19" s="46">
        <v>108.03</v>
      </c>
      <c r="J19" s="46">
        <f t="shared" si="1"/>
        <v>2160.6</v>
      </c>
      <c r="K19" s="46">
        <f t="shared" si="2"/>
        <v>79144.600000000006</v>
      </c>
      <c r="L19" s="46"/>
      <c r="M19" s="46">
        <f t="shared" si="3"/>
        <v>372155.80000000005</v>
      </c>
      <c r="N19" s="19"/>
    </row>
    <row r="20" spans="1:14">
      <c r="A20" s="28">
        <v>16</v>
      </c>
      <c r="B20" s="29">
        <v>45824</v>
      </c>
      <c r="C20" s="19"/>
      <c r="D20" s="19"/>
      <c r="E20" s="46">
        <v>0</v>
      </c>
      <c r="F20" s="46">
        <v>0</v>
      </c>
      <c r="G20" s="46">
        <f t="shared" si="0"/>
        <v>0</v>
      </c>
      <c r="H20" s="46">
        <v>0</v>
      </c>
      <c r="I20" s="46">
        <v>0</v>
      </c>
      <c r="J20" s="46">
        <f t="shared" si="1"/>
        <v>0</v>
      </c>
      <c r="K20" s="46">
        <f t="shared" si="2"/>
        <v>0</v>
      </c>
      <c r="L20" s="46"/>
      <c r="M20" s="46">
        <f t="shared" si="3"/>
        <v>372155.80000000005</v>
      </c>
      <c r="N20" s="19"/>
    </row>
    <row r="21" spans="1:14">
      <c r="A21" s="28">
        <v>17</v>
      </c>
      <c r="B21" s="29">
        <v>45825</v>
      </c>
      <c r="C21" s="19"/>
      <c r="D21" s="19"/>
      <c r="E21" s="46">
        <v>0</v>
      </c>
      <c r="F21" s="46">
        <v>0</v>
      </c>
      <c r="G21" s="46">
        <f t="shared" si="0"/>
        <v>0</v>
      </c>
      <c r="H21" s="46">
        <v>0</v>
      </c>
      <c r="I21" s="46">
        <v>0</v>
      </c>
      <c r="J21" s="46">
        <f t="shared" si="1"/>
        <v>0</v>
      </c>
      <c r="K21" s="46">
        <f t="shared" si="2"/>
        <v>0</v>
      </c>
      <c r="L21" s="46"/>
      <c r="M21" s="46">
        <f t="shared" si="3"/>
        <v>372155.80000000005</v>
      </c>
      <c r="N21" s="19"/>
    </row>
    <row r="22" spans="1:14">
      <c r="A22" s="28">
        <v>18</v>
      </c>
      <c r="B22" s="29">
        <v>45826</v>
      </c>
      <c r="C22" s="19"/>
      <c r="D22" s="19"/>
      <c r="E22" s="46">
        <v>800</v>
      </c>
      <c r="F22" s="46">
        <v>96.23</v>
      </c>
      <c r="G22" s="46">
        <f t="shared" si="0"/>
        <v>76984</v>
      </c>
      <c r="H22" s="46">
        <v>20</v>
      </c>
      <c r="I22" s="46">
        <v>108.03</v>
      </c>
      <c r="J22" s="46">
        <f t="shared" si="1"/>
        <v>2160.6</v>
      </c>
      <c r="K22" s="46">
        <f t="shared" si="2"/>
        <v>79144.600000000006</v>
      </c>
      <c r="L22" s="46">
        <v>372155.8</v>
      </c>
      <c r="M22" s="46">
        <f t="shared" si="3"/>
        <v>79144.600000000035</v>
      </c>
      <c r="N22" s="19"/>
    </row>
    <row r="23" spans="1:14">
      <c r="A23" s="28">
        <v>19</v>
      </c>
      <c r="B23" s="29">
        <v>45827</v>
      </c>
      <c r="C23" s="19"/>
      <c r="D23" s="19"/>
      <c r="E23" s="46">
        <v>0</v>
      </c>
      <c r="F23" s="46">
        <v>0</v>
      </c>
      <c r="G23" s="46">
        <f t="shared" si="0"/>
        <v>0</v>
      </c>
      <c r="H23" s="46">
        <v>0</v>
      </c>
      <c r="I23" s="46">
        <v>0</v>
      </c>
      <c r="J23" s="46">
        <f t="shared" si="1"/>
        <v>0</v>
      </c>
      <c r="K23" s="46">
        <f t="shared" si="2"/>
        <v>0</v>
      </c>
      <c r="L23" s="46"/>
      <c r="M23" s="46">
        <f t="shared" si="3"/>
        <v>79144.600000000035</v>
      </c>
      <c r="N23" s="19"/>
    </row>
    <row r="24" spans="1:14">
      <c r="A24" s="28">
        <v>20</v>
      </c>
      <c r="B24" s="29">
        <v>45828</v>
      </c>
      <c r="C24" s="19"/>
      <c r="D24" s="19"/>
      <c r="E24" s="46">
        <v>700</v>
      </c>
      <c r="F24" s="46">
        <v>96.23</v>
      </c>
      <c r="G24" s="46">
        <f t="shared" si="0"/>
        <v>67361</v>
      </c>
      <c r="H24" s="46">
        <v>20</v>
      </c>
      <c r="I24" s="46">
        <v>108.03</v>
      </c>
      <c r="J24" s="46">
        <f t="shared" si="1"/>
        <v>2160.6</v>
      </c>
      <c r="K24" s="46">
        <f t="shared" si="2"/>
        <v>69521.600000000006</v>
      </c>
      <c r="L24" s="46"/>
      <c r="M24" s="46">
        <f t="shared" si="3"/>
        <v>148666.20000000004</v>
      </c>
      <c r="N24" s="19"/>
    </row>
    <row r="25" spans="1:14">
      <c r="A25" s="28">
        <v>21</v>
      </c>
      <c r="B25" s="29">
        <v>45829</v>
      </c>
      <c r="C25" s="19"/>
      <c r="D25" s="19"/>
      <c r="E25" s="46">
        <v>0</v>
      </c>
      <c r="F25" s="46">
        <v>0</v>
      </c>
      <c r="G25" s="46">
        <f t="shared" si="0"/>
        <v>0</v>
      </c>
      <c r="H25" s="46">
        <v>0</v>
      </c>
      <c r="I25" s="46">
        <v>0</v>
      </c>
      <c r="J25" s="46">
        <f t="shared" si="1"/>
        <v>0</v>
      </c>
      <c r="K25" s="46">
        <f t="shared" si="2"/>
        <v>0</v>
      </c>
      <c r="L25" s="46"/>
      <c r="M25" s="46">
        <f t="shared" si="3"/>
        <v>148666.20000000004</v>
      </c>
      <c r="N25" s="19"/>
    </row>
    <row r="26" spans="1:14">
      <c r="A26" s="28">
        <v>22</v>
      </c>
      <c r="B26" s="29">
        <v>45830</v>
      </c>
      <c r="C26" s="19"/>
      <c r="D26" s="19"/>
      <c r="E26" s="46">
        <v>600</v>
      </c>
      <c r="F26" s="46">
        <v>96.23</v>
      </c>
      <c r="G26" s="46">
        <f t="shared" si="0"/>
        <v>57738</v>
      </c>
      <c r="H26" s="46">
        <v>0</v>
      </c>
      <c r="I26" s="46">
        <v>0</v>
      </c>
      <c r="J26" s="46">
        <f t="shared" si="1"/>
        <v>0</v>
      </c>
      <c r="K26" s="46">
        <f t="shared" si="2"/>
        <v>57738</v>
      </c>
      <c r="L26" s="46"/>
      <c r="M26" s="46">
        <f t="shared" si="3"/>
        <v>206404.20000000004</v>
      </c>
      <c r="N26" s="19"/>
    </row>
    <row r="27" spans="1:14">
      <c r="A27" s="28">
        <v>23</v>
      </c>
      <c r="B27" s="29">
        <v>45831</v>
      </c>
      <c r="C27" s="19"/>
      <c r="D27" s="19"/>
      <c r="E27" s="46">
        <v>0</v>
      </c>
      <c r="F27" s="46">
        <v>0</v>
      </c>
      <c r="G27" s="46">
        <f t="shared" si="0"/>
        <v>0</v>
      </c>
      <c r="H27" s="46">
        <v>0</v>
      </c>
      <c r="I27" s="46">
        <v>0</v>
      </c>
      <c r="J27" s="46">
        <f t="shared" si="1"/>
        <v>0</v>
      </c>
      <c r="K27" s="46">
        <f t="shared" si="2"/>
        <v>0</v>
      </c>
      <c r="L27" s="46"/>
      <c r="M27" s="46">
        <f t="shared" si="3"/>
        <v>206404.20000000004</v>
      </c>
      <c r="N27" s="19"/>
    </row>
    <row r="28" spans="1:14">
      <c r="A28" s="28">
        <v>24</v>
      </c>
      <c r="B28" s="29">
        <v>45832</v>
      </c>
      <c r="C28" s="19"/>
      <c r="D28" s="19"/>
      <c r="E28" s="46">
        <v>800</v>
      </c>
      <c r="F28" s="46">
        <v>96.23</v>
      </c>
      <c r="G28" s="46">
        <f t="shared" si="0"/>
        <v>76984</v>
      </c>
      <c r="H28" s="46">
        <v>0</v>
      </c>
      <c r="I28" s="46">
        <v>0</v>
      </c>
      <c r="J28" s="46">
        <f t="shared" si="1"/>
        <v>0</v>
      </c>
      <c r="K28" s="46">
        <f t="shared" si="2"/>
        <v>76984</v>
      </c>
      <c r="L28" s="46"/>
      <c r="M28" s="46">
        <f t="shared" si="3"/>
        <v>283388.20000000007</v>
      </c>
      <c r="N28" s="19"/>
    </row>
    <row r="29" spans="1:14">
      <c r="A29" s="28">
        <v>25</v>
      </c>
      <c r="B29" s="29">
        <v>45833</v>
      </c>
      <c r="C29" s="19"/>
      <c r="D29" s="19"/>
      <c r="E29" s="46">
        <v>0</v>
      </c>
      <c r="F29" s="46">
        <v>0</v>
      </c>
      <c r="G29" s="46">
        <f t="shared" si="0"/>
        <v>0</v>
      </c>
      <c r="H29" s="46">
        <v>0</v>
      </c>
      <c r="I29" s="46">
        <v>0</v>
      </c>
      <c r="J29" s="46">
        <f t="shared" si="1"/>
        <v>0</v>
      </c>
      <c r="K29" s="46">
        <f t="shared" si="2"/>
        <v>0</v>
      </c>
      <c r="L29" s="46"/>
      <c r="M29" s="46">
        <f t="shared" si="3"/>
        <v>283388.20000000007</v>
      </c>
      <c r="N29" s="19"/>
    </row>
    <row r="30" spans="1:14">
      <c r="A30" s="28">
        <v>26</v>
      </c>
      <c r="B30" s="29">
        <v>45834</v>
      </c>
      <c r="C30" s="19"/>
      <c r="D30" s="19"/>
      <c r="E30" s="46">
        <v>0</v>
      </c>
      <c r="F30" s="46">
        <v>96.23</v>
      </c>
      <c r="G30" s="46">
        <f t="shared" si="0"/>
        <v>0</v>
      </c>
      <c r="H30" s="46">
        <v>0</v>
      </c>
      <c r="I30" s="46">
        <v>0</v>
      </c>
      <c r="J30" s="46">
        <f t="shared" si="1"/>
        <v>0</v>
      </c>
      <c r="K30" s="46">
        <f t="shared" si="2"/>
        <v>0</v>
      </c>
      <c r="L30" s="46"/>
      <c r="M30" s="46">
        <f t="shared" si="3"/>
        <v>283388.20000000007</v>
      </c>
      <c r="N30" s="19"/>
    </row>
    <row r="31" spans="1:14">
      <c r="A31" s="28">
        <v>27</v>
      </c>
      <c r="B31" s="29">
        <v>45835</v>
      </c>
      <c r="C31" s="19"/>
      <c r="D31" s="19"/>
      <c r="E31" s="46">
        <v>0</v>
      </c>
      <c r="F31" s="46">
        <v>0</v>
      </c>
      <c r="G31" s="46">
        <f t="shared" si="0"/>
        <v>0</v>
      </c>
      <c r="H31" s="46">
        <v>0</v>
      </c>
      <c r="I31" s="46">
        <v>0</v>
      </c>
      <c r="J31" s="46">
        <f t="shared" si="1"/>
        <v>0</v>
      </c>
      <c r="K31" s="46">
        <f t="shared" si="2"/>
        <v>0</v>
      </c>
      <c r="L31" s="46"/>
      <c r="M31" s="46">
        <f t="shared" si="3"/>
        <v>283388.20000000007</v>
      </c>
      <c r="N31" s="19"/>
    </row>
    <row r="32" spans="1:14">
      <c r="A32" s="28">
        <v>28</v>
      </c>
      <c r="B32" s="29">
        <v>45836</v>
      </c>
      <c r="C32" s="19"/>
      <c r="D32" s="19"/>
      <c r="E32" s="46">
        <v>800</v>
      </c>
      <c r="F32" s="46">
        <v>96.23</v>
      </c>
      <c r="G32" s="46">
        <f t="shared" si="0"/>
        <v>76984</v>
      </c>
      <c r="H32" s="46">
        <v>20</v>
      </c>
      <c r="I32" s="46">
        <v>108.23</v>
      </c>
      <c r="J32" s="46">
        <f t="shared" si="1"/>
        <v>2164.6</v>
      </c>
      <c r="K32" s="46">
        <f t="shared" si="2"/>
        <v>79148.600000000006</v>
      </c>
      <c r="L32" s="46"/>
      <c r="M32" s="46">
        <f t="shared" si="3"/>
        <v>362536.80000000005</v>
      </c>
      <c r="N32" s="19"/>
    </row>
    <row r="33" spans="1:14">
      <c r="A33" s="28">
        <v>29</v>
      </c>
      <c r="B33" s="29">
        <v>45837</v>
      </c>
      <c r="C33" s="19"/>
      <c r="D33" s="19"/>
      <c r="E33" s="46">
        <v>0</v>
      </c>
      <c r="F33" s="46">
        <v>0</v>
      </c>
      <c r="G33" s="46">
        <f t="shared" si="0"/>
        <v>0</v>
      </c>
      <c r="H33" s="46">
        <v>0</v>
      </c>
      <c r="I33" s="46">
        <v>0</v>
      </c>
      <c r="J33" s="46">
        <f t="shared" si="1"/>
        <v>0</v>
      </c>
      <c r="K33" s="46">
        <f t="shared" si="2"/>
        <v>0</v>
      </c>
      <c r="L33" s="46"/>
      <c r="M33" s="46">
        <f t="shared" si="3"/>
        <v>362536.80000000005</v>
      </c>
      <c r="N33" s="19"/>
    </row>
    <row r="34" spans="1:14">
      <c r="A34" s="28">
        <v>30</v>
      </c>
      <c r="B34" s="29">
        <v>45838</v>
      </c>
      <c r="C34" s="19"/>
      <c r="D34" s="19"/>
      <c r="E34" s="46">
        <v>0</v>
      </c>
      <c r="F34" s="46">
        <v>0</v>
      </c>
      <c r="G34" s="46">
        <f t="shared" si="0"/>
        <v>0</v>
      </c>
      <c r="H34" s="46">
        <v>0</v>
      </c>
      <c r="I34" s="46">
        <v>0</v>
      </c>
      <c r="J34" s="46">
        <f t="shared" si="1"/>
        <v>0</v>
      </c>
      <c r="K34" s="46">
        <f t="shared" si="2"/>
        <v>0</v>
      </c>
      <c r="L34" s="46"/>
      <c r="M34" s="46">
        <f t="shared" si="3"/>
        <v>362536.80000000005</v>
      </c>
      <c r="N34" s="19"/>
    </row>
    <row r="35" spans="1:14">
      <c r="A35" s="28">
        <v>31</v>
      </c>
      <c r="B35" s="29">
        <v>45839</v>
      </c>
      <c r="C35" s="19"/>
      <c r="D35" s="19"/>
      <c r="E35" s="46">
        <v>0</v>
      </c>
      <c r="F35" s="46">
        <v>0</v>
      </c>
      <c r="G35" s="46">
        <f t="shared" si="0"/>
        <v>0</v>
      </c>
      <c r="H35" s="46">
        <v>0</v>
      </c>
      <c r="I35" s="46">
        <v>0</v>
      </c>
      <c r="J35" s="46">
        <f t="shared" si="1"/>
        <v>0</v>
      </c>
      <c r="K35" s="46">
        <f t="shared" si="2"/>
        <v>0</v>
      </c>
      <c r="L35" s="46"/>
      <c r="M35" s="46">
        <f t="shared" si="3"/>
        <v>362536.80000000005</v>
      </c>
      <c r="N35" s="19"/>
    </row>
    <row r="36" spans="1:14">
      <c r="A36" s="28">
        <v>32</v>
      </c>
      <c r="B36" s="29">
        <v>45840</v>
      </c>
      <c r="C36" s="19"/>
      <c r="D36" s="19"/>
      <c r="E36" s="46">
        <v>0</v>
      </c>
      <c r="F36" s="46">
        <v>0</v>
      </c>
      <c r="G36" s="46">
        <f t="shared" si="0"/>
        <v>0</v>
      </c>
      <c r="H36" s="46">
        <v>0</v>
      </c>
      <c r="I36" s="46">
        <v>0</v>
      </c>
      <c r="J36" s="46">
        <f t="shared" si="1"/>
        <v>0</v>
      </c>
      <c r="K36" s="46">
        <f t="shared" si="2"/>
        <v>0</v>
      </c>
      <c r="L36" s="46"/>
      <c r="M36" s="46">
        <f t="shared" si="3"/>
        <v>362536.80000000005</v>
      </c>
      <c r="N36" s="19"/>
    </row>
    <row r="37" spans="1:14">
      <c r="A37" s="28">
        <v>33</v>
      </c>
      <c r="B37" s="29">
        <v>45841</v>
      </c>
      <c r="C37" s="19"/>
      <c r="D37" s="19"/>
      <c r="E37" s="46">
        <v>0</v>
      </c>
      <c r="F37" s="46">
        <v>0</v>
      </c>
      <c r="G37" s="46">
        <f t="shared" si="0"/>
        <v>0</v>
      </c>
      <c r="H37" s="46">
        <v>0</v>
      </c>
      <c r="I37" s="46">
        <v>0</v>
      </c>
      <c r="J37" s="46">
        <f t="shared" si="1"/>
        <v>0</v>
      </c>
      <c r="K37" s="46">
        <f t="shared" si="2"/>
        <v>0</v>
      </c>
      <c r="L37" s="46"/>
      <c r="M37" s="46">
        <f t="shared" si="3"/>
        <v>362536.80000000005</v>
      </c>
      <c r="N37" s="19"/>
    </row>
    <row r="38" spans="1:14">
      <c r="A38" s="28">
        <v>34</v>
      </c>
      <c r="B38" s="29">
        <v>45842</v>
      </c>
      <c r="C38" s="19"/>
      <c r="D38" s="19"/>
      <c r="E38" s="46">
        <v>0</v>
      </c>
      <c r="F38" s="46">
        <v>0</v>
      </c>
      <c r="G38" s="46">
        <f t="shared" si="0"/>
        <v>0</v>
      </c>
      <c r="H38" s="46">
        <v>0</v>
      </c>
      <c r="I38" s="46">
        <v>0</v>
      </c>
      <c r="J38" s="46">
        <f t="shared" si="1"/>
        <v>0</v>
      </c>
      <c r="K38" s="46">
        <f t="shared" si="2"/>
        <v>0</v>
      </c>
      <c r="L38" s="46"/>
      <c r="M38" s="46">
        <f t="shared" si="3"/>
        <v>362536.80000000005</v>
      </c>
      <c r="N38" s="19"/>
    </row>
    <row r="39" spans="1:14" ht="15" customHeight="1">
      <c r="A39" s="28">
        <v>35</v>
      </c>
      <c r="B39" s="29">
        <v>45843</v>
      </c>
      <c r="C39" s="19"/>
      <c r="D39" s="19"/>
      <c r="E39" s="46">
        <v>0</v>
      </c>
      <c r="F39" s="46">
        <v>0</v>
      </c>
      <c r="G39" s="46">
        <f t="shared" si="0"/>
        <v>0</v>
      </c>
      <c r="H39" s="46">
        <v>0</v>
      </c>
      <c r="I39" s="46">
        <v>0</v>
      </c>
      <c r="J39" s="46">
        <f t="shared" si="1"/>
        <v>0</v>
      </c>
      <c r="K39" s="46">
        <f t="shared" si="2"/>
        <v>0</v>
      </c>
      <c r="L39" s="46"/>
      <c r="M39" s="46">
        <f t="shared" si="3"/>
        <v>362536.80000000005</v>
      </c>
      <c r="N39" s="19"/>
    </row>
    <row r="40" spans="1:14" ht="15" customHeight="1">
      <c r="A40" s="51"/>
      <c r="B40" s="51"/>
      <c r="C40" s="51"/>
      <c r="D40" s="51"/>
      <c r="E40" s="279">
        <f>SUM(E4:E39)</f>
        <v>8990</v>
      </c>
      <c r="F40" s="286"/>
      <c r="G40" s="279">
        <f>SUM(G4:G39)</f>
        <v>865107.7</v>
      </c>
      <c r="H40" s="279">
        <f>SUM(H4:H39)</f>
        <v>120</v>
      </c>
      <c r="I40" s="286"/>
      <c r="J40" s="279">
        <f>SUM(J4:J39)</f>
        <v>12967.6</v>
      </c>
      <c r="K40" s="279">
        <f>SUM(K4:K39)</f>
        <v>878075.29999999993</v>
      </c>
      <c r="L40" s="279">
        <f>SUM(L4:L39)</f>
        <v>515538.5</v>
      </c>
      <c r="M40" s="286"/>
      <c r="N40" s="52"/>
    </row>
    <row r="41" spans="1:14"/>
  </sheetData>
  <mergeCells count="2">
    <mergeCell ref="A1:M1"/>
    <mergeCell ref="A3:J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713C3-8F2A-43C8-ABCD-FE8AB65C47D7}">
  <dimension ref="A1:R44"/>
  <sheetViews>
    <sheetView workbookViewId="0">
      <selection activeCell="Q26" sqref="Q26:Q27"/>
    </sheetView>
  </sheetViews>
  <sheetFormatPr defaultRowHeight="15"/>
  <cols>
    <col min="1" max="1" width="5.140625" bestFit="1" customWidth="1"/>
    <col min="2" max="2" width="10.5703125" bestFit="1" customWidth="1"/>
    <col min="3" max="3" width="8" bestFit="1" customWidth="1"/>
    <col min="4" max="4" width="17.85546875" customWidth="1"/>
    <col min="5" max="5" width="15" customWidth="1"/>
    <col min="6" max="6" width="7.5703125" customWidth="1"/>
    <col min="7" max="7" width="10.7109375" customWidth="1"/>
    <col min="8" max="8" width="11.140625" customWidth="1"/>
    <col min="9" max="9" width="8.42578125" customWidth="1"/>
    <col min="11" max="12" width="13.5703125" bestFit="1" customWidth="1"/>
    <col min="13" max="13" width="11.5703125" bestFit="1" customWidth="1"/>
    <col min="14" max="14" width="8.7109375" bestFit="1" customWidth="1"/>
  </cols>
  <sheetData>
    <row r="1" spans="1:18" ht="15.75">
      <c r="A1" s="460" t="s">
        <v>95</v>
      </c>
      <c r="B1" s="460"/>
      <c r="C1" s="460"/>
      <c r="D1" s="460"/>
      <c r="E1" s="460"/>
      <c r="F1" s="460"/>
      <c r="G1" s="460"/>
      <c r="H1" s="460"/>
      <c r="I1" s="460"/>
      <c r="J1" s="460"/>
      <c r="K1" s="460"/>
      <c r="L1" s="460"/>
      <c r="M1" s="460"/>
      <c r="N1" s="460"/>
      <c r="O1" s="95"/>
    </row>
    <row r="2" spans="1:18">
      <c r="A2" s="111" t="s">
        <v>102</v>
      </c>
      <c r="B2" s="112" t="s">
        <v>103</v>
      </c>
      <c r="C2" s="112" t="s">
        <v>104</v>
      </c>
      <c r="D2" s="112" t="s">
        <v>150</v>
      </c>
      <c r="E2" s="362" t="s">
        <v>106</v>
      </c>
      <c r="F2" s="362" t="s">
        <v>107</v>
      </c>
      <c r="G2" s="112" t="s">
        <v>108</v>
      </c>
      <c r="H2" s="112" t="s">
        <v>109</v>
      </c>
      <c r="I2" s="112" t="s">
        <v>107</v>
      </c>
      <c r="J2" s="153" t="s">
        <v>108</v>
      </c>
      <c r="K2" s="113" t="s">
        <v>110</v>
      </c>
      <c r="L2" s="154" t="s">
        <v>111</v>
      </c>
      <c r="M2" s="159" t="s">
        <v>149</v>
      </c>
      <c r="N2" s="114" t="s">
        <v>113</v>
      </c>
      <c r="O2" s="71"/>
    </row>
    <row r="3" spans="1:18">
      <c r="A3" s="445" t="s">
        <v>114</v>
      </c>
      <c r="B3" s="446"/>
      <c r="C3" s="446"/>
      <c r="D3" s="446"/>
      <c r="E3" s="446"/>
      <c r="F3" s="446"/>
      <c r="G3" s="446"/>
      <c r="H3" s="446"/>
      <c r="I3" s="446"/>
      <c r="J3" s="446"/>
      <c r="K3" s="446"/>
      <c r="L3" s="461"/>
      <c r="M3" s="168">
        <v>0</v>
      </c>
      <c r="N3" s="177"/>
      <c r="O3" s="71"/>
    </row>
    <row r="4" spans="1:18">
      <c r="A4" s="231">
        <v>1</v>
      </c>
      <c r="B4" s="266">
        <v>45809</v>
      </c>
      <c r="C4" s="79"/>
      <c r="D4" s="180"/>
      <c r="E4" s="363">
        <v>0</v>
      </c>
      <c r="F4" s="363">
        <v>0</v>
      </c>
      <c r="G4" s="8">
        <f t="shared" ref="G4" si="0">E4*F4</f>
        <v>0</v>
      </c>
      <c r="H4" s="77">
        <v>0</v>
      </c>
      <c r="I4" s="78">
        <v>0</v>
      </c>
      <c r="J4" s="8">
        <f>H4*I4</f>
        <v>0</v>
      </c>
      <c r="K4" s="8">
        <f>G4+J4</f>
        <v>0</v>
      </c>
      <c r="L4" s="80">
        <f>+K4</f>
        <v>0</v>
      </c>
      <c r="M4" s="80">
        <v>0</v>
      </c>
      <c r="N4" s="8"/>
    </row>
    <row r="5" spans="1:18">
      <c r="A5" s="55">
        <v>2</v>
      </c>
      <c r="B5" s="266">
        <v>45810</v>
      </c>
      <c r="C5" s="79"/>
      <c r="D5" s="180"/>
      <c r="E5" s="363">
        <v>0</v>
      </c>
      <c r="F5" s="363">
        <v>0</v>
      </c>
      <c r="G5" s="8">
        <f t="shared" ref="G5:G33" si="1">E5*F5</f>
        <v>0</v>
      </c>
      <c r="H5" s="77">
        <v>0</v>
      </c>
      <c r="I5" s="78">
        <v>0</v>
      </c>
      <c r="J5" s="8">
        <f t="shared" ref="J5:J33" si="2">H5*I5</f>
        <v>0</v>
      </c>
      <c r="K5" s="8">
        <f t="shared" ref="K5:K34" si="3">G5+J5</f>
        <v>0</v>
      </c>
      <c r="L5" s="80">
        <f t="shared" ref="L5:L34" si="4">+K5</f>
        <v>0</v>
      </c>
      <c r="M5" s="80">
        <v>0</v>
      </c>
      <c r="N5" s="8"/>
    </row>
    <row r="6" spans="1:18">
      <c r="A6" s="55">
        <v>3</v>
      </c>
      <c r="B6" s="266">
        <v>45811</v>
      </c>
      <c r="C6" s="79"/>
      <c r="D6" s="180"/>
      <c r="E6" s="363">
        <v>0</v>
      </c>
      <c r="F6" s="363">
        <v>0</v>
      </c>
      <c r="G6" s="8">
        <f t="shared" si="1"/>
        <v>0</v>
      </c>
      <c r="H6" s="77">
        <v>0</v>
      </c>
      <c r="I6" s="78">
        <v>0</v>
      </c>
      <c r="J6" s="8">
        <f t="shared" si="2"/>
        <v>0</v>
      </c>
      <c r="K6" s="8">
        <f t="shared" si="3"/>
        <v>0</v>
      </c>
      <c r="L6" s="80">
        <f t="shared" si="4"/>
        <v>0</v>
      </c>
      <c r="M6" s="80">
        <v>0</v>
      </c>
      <c r="N6" s="8"/>
    </row>
    <row r="7" spans="1:18">
      <c r="A7" s="55">
        <v>4</v>
      </c>
      <c r="B7" s="266">
        <v>45812</v>
      </c>
      <c r="C7" s="79"/>
      <c r="D7" s="180"/>
      <c r="E7" s="363">
        <v>51.64</v>
      </c>
      <c r="F7" s="363">
        <v>96.83</v>
      </c>
      <c r="G7" s="8">
        <f t="shared" si="1"/>
        <v>5000.3011999999999</v>
      </c>
      <c r="H7" s="77">
        <v>0</v>
      </c>
      <c r="I7" s="78">
        <v>0</v>
      </c>
      <c r="J7" s="8">
        <f t="shared" si="2"/>
        <v>0</v>
      </c>
      <c r="K7" s="8">
        <f t="shared" si="3"/>
        <v>5000.3011999999999</v>
      </c>
      <c r="L7" s="80">
        <f t="shared" si="4"/>
        <v>5000.3011999999999</v>
      </c>
      <c r="M7" s="80">
        <v>0</v>
      </c>
      <c r="N7" s="8"/>
    </row>
    <row r="8" spans="1:18">
      <c r="A8" s="55">
        <v>5</v>
      </c>
      <c r="B8" s="266">
        <v>45813</v>
      </c>
      <c r="C8" s="79"/>
      <c r="D8" s="180"/>
      <c r="E8" s="363">
        <v>0</v>
      </c>
      <c r="F8" s="363">
        <v>0</v>
      </c>
      <c r="G8" s="8">
        <f t="shared" si="1"/>
        <v>0</v>
      </c>
      <c r="H8" s="77">
        <v>0</v>
      </c>
      <c r="I8" s="78">
        <v>0</v>
      </c>
      <c r="J8" s="8">
        <f t="shared" si="2"/>
        <v>0</v>
      </c>
      <c r="K8" s="8">
        <f t="shared" si="3"/>
        <v>0</v>
      </c>
      <c r="L8" s="80">
        <f t="shared" si="4"/>
        <v>0</v>
      </c>
      <c r="M8" s="80">
        <v>0</v>
      </c>
      <c r="N8" s="8"/>
      <c r="O8" s="81"/>
      <c r="R8" s="276"/>
    </row>
    <row r="9" spans="1:18">
      <c r="A9" s="55">
        <v>6</v>
      </c>
      <c r="B9" s="266">
        <v>45814</v>
      </c>
      <c r="C9" s="79"/>
      <c r="D9" s="180"/>
      <c r="E9" s="363">
        <v>0</v>
      </c>
      <c r="F9" s="363">
        <v>0</v>
      </c>
      <c r="G9" s="8">
        <f t="shared" si="1"/>
        <v>0</v>
      </c>
      <c r="H9" s="77">
        <v>0</v>
      </c>
      <c r="I9" s="78">
        <v>0</v>
      </c>
      <c r="J9" s="8">
        <f t="shared" si="2"/>
        <v>0</v>
      </c>
      <c r="K9" s="8">
        <f t="shared" si="3"/>
        <v>0</v>
      </c>
      <c r="L9" s="80">
        <f t="shared" si="4"/>
        <v>0</v>
      </c>
      <c r="M9" s="80">
        <v>0</v>
      </c>
      <c r="N9" s="8"/>
      <c r="O9" s="81"/>
    </row>
    <row r="10" spans="1:18">
      <c r="A10" s="55">
        <v>7</v>
      </c>
      <c r="B10" s="266">
        <v>45815</v>
      </c>
      <c r="C10" s="79"/>
      <c r="D10" s="180"/>
      <c r="E10" s="363">
        <v>0</v>
      </c>
      <c r="F10" s="363">
        <v>0</v>
      </c>
      <c r="G10" s="8">
        <f t="shared" si="1"/>
        <v>0</v>
      </c>
      <c r="H10" s="77">
        <v>0</v>
      </c>
      <c r="I10" s="78">
        <v>0</v>
      </c>
      <c r="J10" s="8">
        <f t="shared" si="2"/>
        <v>0</v>
      </c>
      <c r="K10" s="8">
        <f t="shared" si="3"/>
        <v>0</v>
      </c>
      <c r="L10" s="80">
        <f t="shared" si="4"/>
        <v>0</v>
      </c>
      <c r="M10" s="80">
        <v>0</v>
      </c>
      <c r="N10" s="8"/>
      <c r="O10" s="81"/>
    </row>
    <row r="11" spans="1:18">
      <c r="A11" s="55">
        <v>8</v>
      </c>
      <c r="B11" s="266">
        <v>45816</v>
      </c>
      <c r="C11" s="79"/>
      <c r="D11" s="180"/>
      <c r="E11" s="363">
        <v>0</v>
      </c>
      <c r="F11" s="363">
        <v>0</v>
      </c>
      <c r="G11" s="8">
        <f t="shared" si="1"/>
        <v>0</v>
      </c>
      <c r="H11" s="77">
        <v>0</v>
      </c>
      <c r="I11" s="78">
        <v>0</v>
      </c>
      <c r="J11" s="8">
        <f t="shared" si="2"/>
        <v>0</v>
      </c>
      <c r="K11" s="8">
        <f t="shared" si="3"/>
        <v>0</v>
      </c>
      <c r="L11" s="80">
        <f t="shared" si="4"/>
        <v>0</v>
      </c>
      <c r="M11" s="80">
        <v>0</v>
      </c>
      <c r="N11" s="8"/>
      <c r="O11" s="81"/>
    </row>
    <row r="12" spans="1:18">
      <c r="A12" s="55">
        <v>9</v>
      </c>
      <c r="B12" s="266">
        <v>45817</v>
      </c>
      <c r="C12" s="79"/>
      <c r="D12" s="180"/>
      <c r="E12" s="363">
        <v>0</v>
      </c>
      <c r="F12" s="363">
        <v>0</v>
      </c>
      <c r="G12" s="8">
        <f t="shared" si="1"/>
        <v>0</v>
      </c>
      <c r="H12" s="77">
        <v>0</v>
      </c>
      <c r="I12" s="78">
        <v>0</v>
      </c>
      <c r="J12" s="8">
        <f t="shared" si="2"/>
        <v>0</v>
      </c>
      <c r="K12" s="8">
        <f t="shared" si="3"/>
        <v>0</v>
      </c>
      <c r="L12" s="80">
        <f t="shared" si="4"/>
        <v>0</v>
      </c>
      <c r="M12" s="80">
        <v>0</v>
      </c>
      <c r="N12" s="8"/>
      <c r="O12" s="81"/>
    </row>
    <row r="13" spans="1:18">
      <c r="A13" s="55">
        <v>10</v>
      </c>
      <c r="B13" s="266">
        <v>45818</v>
      </c>
      <c r="C13" s="79"/>
      <c r="D13" s="180"/>
      <c r="E13" s="363">
        <v>0</v>
      </c>
      <c r="F13" s="363">
        <v>0</v>
      </c>
      <c r="G13" s="8">
        <f t="shared" si="1"/>
        <v>0</v>
      </c>
      <c r="H13" s="77">
        <v>0</v>
      </c>
      <c r="I13" s="78">
        <v>0</v>
      </c>
      <c r="J13" s="8">
        <f t="shared" si="2"/>
        <v>0</v>
      </c>
      <c r="K13" s="8">
        <f t="shared" si="3"/>
        <v>0</v>
      </c>
      <c r="L13" s="80">
        <f t="shared" si="4"/>
        <v>0</v>
      </c>
      <c r="M13" s="80">
        <v>0</v>
      </c>
      <c r="N13" s="8"/>
      <c r="O13" s="81"/>
    </row>
    <row r="14" spans="1:18">
      <c r="A14" s="55">
        <v>11</v>
      </c>
      <c r="B14" s="266">
        <v>45819</v>
      </c>
      <c r="C14" s="79"/>
      <c r="D14" s="180"/>
      <c r="E14" s="363">
        <v>0</v>
      </c>
      <c r="F14" s="363">
        <v>0</v>
      </c>
      <c r="G14" s="8">
        <f t="shared" si="1"/>
        <v>0</v>
      </c>
      <c r="H14" s="77">
        <v>0</v>
      </c>
      <c r="I14" s="78">
        <v>0</v>
      </c>
      <c r="J14" s="8">
        <f t="shared" si="2"/>
        <v>0</v>
      </c>
      <c r="K14" s="8">
        <f t="shared" si="3"/>
        <v>0</v>
      </c>
      <c r="L14" s="80">
        <f t="shared" si="4"/>
        <v>0</v>
      </c>
      <c r="M14" s="80">
        <v>0</v>
      </c>
      <c r="N14" s="8"/>
      <c r="O14" s="81"/>
    </row>
    <row r="15" spans="1:18">
      <c r="A15" s="55">
        <v>12</v>
      </c>
      <c r="B15" s="266">
        <v>45820</v>
      </c>
      <c r="C15" s="79"/>
      <c r="D15" s="180"/>
      <c r="E15" s="363">
        <v>124.06</v>
      </c>
      <c r="F15" s="363">
        <v>96.83</v>
      </c>
      <c r="G15" s="8">
        <f t="shared" si="1"/>
        <v>12012.729799999999</v>
      </c>
      <c r="H15" s="77">
        <v>0</v>
      </c>
      <c r="I15" s="78">
        <v>0</v>
      </c>
      <c r="J15" s="8">
        <f t="shared" si="2"/>
        <v>0</v>
      </c>
      <c r="K15" s="8">
        <f t="shared" si="3"/>
        <v>12012.729799999999</v>
      </c>
      <c r="L15" s="80">
        <f t="shared" si="4"/>
        <v>12012.729799999999</v>
      </c>
      <c r="M15" s="80">
        <v>0</v>
      </c>
      <c r="N15" s="8"/>
      <c r="O15" s="81"/>
    </row>
    <row r="16" spans="1:18">
      <c r="A16" s="55">
        <v>13</v>
      </c>
      <c r="B16" s="266">
        <v>45821</v>
      </c>
      <c r="C16" s="79"/>
      <c r="D16" s="180"/>
      <c r="E16" s="363">
        <v>0</v>
      </c>
      <c r="F16" s="363">
        <v>0</v>
      </c>
      <c r="G16" s="8">
        <f t="shared" si="1"/>
        <v>0</v>
      </c>
      <c r="H16" s="77">
        <v>0</v>
      </c>
      <c r="I16" s="78">
        <v>0</v>
      </c>
      <c r="J16" s="8">
        <f t="shared" si="2"/>
        <v>0</v>
      </c>
      <c r="K16" s="8">
        <f t="shared" si="3"/>
        <v>0</v>
      </c>
      <c r="L16" s="80">
        <f t="shared" si="4"/>
        <v>0</v>
      </c>
      <c r="M16" s="80">
        <v>0</v>
      </c>
      <c r="N16" s="8"/>
      <c r="O16" s="81"/>
    </row>
    <row r="17" spans="1:15">
      <c r="A17" s="55">
        <v>14</v>
      </c>
      <c r="B17" s="266">
        <v>45822</v>
      </c>
      <c r="C17" s="79"/>
      <c r="D17" s="180"/>
      <c r="E17" s="363">
        <v>0</v>
      </c>
      <c r="F17" s="363">
        <v>0</v>
      </c>
      <c r="G17" s="8">
        <f t="shared" si="1"/>
        <v>0</v>
      </c>
      <c r="H17" s="77">
        <v>7.35</v>
      </c>
      <c r="I17" s="78">
        <v>108.66</v>
      </c>
      <c r="J17" s="8">
        <f t="shared" si="2"/>
        <v>798.65099999999995</v>
      </c>
      <c r="K17" s="8">
        <f t="shared" si="3"/>
        <v>798.65099999999995</v>
      </c>
      <c r="L17" s="80">
        <f t="shared" si="4"/>
        <v>798.65099999999995</v>
      </c>
      <c r="M17" s="80">
        <v>0</v>
      </c>
      <c r="N17" s="8"/>
      <c r="O17" s="81"/>
    </row>
    <row r="18" spans="1:15">
      <c r="A18" s="55">
        <v>15</v>
      </c>
      <c r="B18" s="266">
        <v>45823</v>
      </c>
      <c r="C18" s="79"/>
      <c r="D18" s="180"/>
      <c r="E18" s="363">
        <v>0</v>
      </c>
      <c r="F18" s="363">
        <v>0</v>
      </c>
      <c r="G18" s="8">
        <f t="shared" si="1"/>
        <v>0</v>
      </c>
      <c r="H18" s="77">
        <v>0</v>
      </c>
      <c r="I18" s="78">
        <v>0</v>
      </c>
      <c r="J18" s="8">
        <f t="shared" si="2"/>
        <v>0</v>
      </c>
      <c r="K18" s="8">
        <f t="shared" si="3"/>
        <v>0</v>
      </c>
      <c r="L18" s="80">
        <f t="shared" si="4"/>
        <v>0</v>
      </c>
      <c r="M18" s="80">
        <v>0</v>
      </c>
      <c r="N18" s="8"/>
      <c r="O18" s="81"/>
    </row>
    <row r="19" spans="1:15">
      <c r="A19" s="55">
        <v>16</v>
      </c>
      <c r="B19" s="266">
        <v>45824</v>
      </c>
      <c r="C19" s="79"/>
      <c r="D19" s="180"/>
      <c r="E19" s="363">
        <v>0</v>
      </c>
      <c r="F19" s="363">
        <v>0</v>
      </c>
      <c r="G19" s="8">
        <f t="shared" si="1"/>
        <v>0</v>
      </c>
      <c r="H19" s="77">
        <v>0</v>
      </c>
      <c r="I19" s="78">
        <v>0</v>
      </c>
      <c r="J19" s="8">
        <f t="shared" si="2"/>
        <v>0</v>
      </c>
      <c r="K19" s="8">
        <f t="shared" si="3"/>
        <v>0</v>
      </c>
      <c r="L19" s="80">
        <f t="shared" si="4"/>
        <v>0</v>
      </c>
      <c r="M19" s="80">
        <v>0</v>
      </c>
      <c r="N19" s="8"/>
      <c r="O19" s="81"/>
    </row>
    <row r="20" spans="1:15">
      <c r="A20" s="55">
        <v>17</v>
      </c>
      <c r="B20" s="266">
        <v>45825</v>
      </c>
      <c r="C20" s="79"/>
      <c r="D20" s="180"/>
      <c r="E20" s="363">
        <v>0</v>
      </c>
      <c r="F20" s="363">
        <v>0</v>
      </c>
      <c r="G20" s="8">
        <f t="shared" si="1"/>
        <v>0</v>
      </c>
      <c r="H20" s="77">
        <v>0</v>
      </c>
      <c r="I20" s="78">
        <v>0</v>
      </c>
      <c r="J20" s="8">
        <f t="shared" si="2"/>
        <v>0</v>
      </c>
      <c r="K20" s="8">
        <f t="shared" si="3"/>
        <v>0</v>
      </c>
      <c r="L20" s="80">
        <f t="shared" si="4"/>
        <v>0</v>
      </c>
      <c r="M20" s="80">
        <v>0</v>
      </c>
      <c r="N20" s="8"/>
      <c r="O20" s="81"/>
    </row>
    <row r="21" spans="1:15">
      <c r="A21" s="55">
        <v>18</v>
      </c>
      <c r="B21" s="266">
        <v>45826</v>
      </c>
      <c r="C21" s="79"/>
      <c r="D21" s="180"/>
      <c r="E21" s="363">
        <v>0</v>
      </c>
      <c r="F21" s="363">
        <v>0</v>
      </c>
      <c r="G21" s="8">
        <f t="shared" si="1"/>
        <v>0</v>
      </c>
      <c r="H21" s="77">
        <v>0</v>
      </c>
      <c r="I21" s="78">
        <v>0</v>
      </c>
      <c r="J21" s="8">
        <f t="shared" si="2"/>
        <v>0</v>
      </c>
      <c r="K21" s="8">
        <f t="shared" si="3"/>
        <v>0</v>
      </c>
      <c r="L21" s="80">
        <f t="shared" si="4"/>
        <v>0</v>
      </c>
      <c r="M21" s="80">
        <v>0</v>
      </c>
      <c r="N21" s="8"/>
      <c r="O21" s="81"/>
    </row>
    <row r="22" spans="1:15">
      <c r="A22" s="55">
        <v>19</v>
      </c>
      <c r="B22" s="266">
        <v>45827</v>
      </c>
      <c r="C22" s="79"/>
      <c r="D22" s="180"/>
      <c r="E22" s="363">
        <v>0</v>
      </c>
      <c r="F22" s="363">
        <v>0</v>
      </c>
      <c r="G22" s="8">
        <f t="shared" si="1"/>
        <v>0</v>
      </c>
      <c r="H22" s="77">
        <v>0</v>
      </c>
      <c r="I22" s="78">
        <v>0</v>
      </c>
      <c r="J22" s="8">
        <f t="shared" si="2"/>
        <v>0</v>
      </c>
      <c r="K22" s="8">
        <f t="shared" si="3"/>
        <v>0</v>
      </c>
      <c r="L22" s="80">
        <f t="shared" si="4"/>
        <v>0</v>
      </c>
      <c r="M22" s="80">
        <v>0</v>
      </c>
      <c r="N22" s="8"/>
      <c r="O22" s="81"/>
    </row>
    <row r="23" spans="1:15">
      <c r="A23" s="55">
        <v>20</v>
      </c>
      <c r="B23" s="266">
        <v>45828</v>
      </c>
      <c r="C23" s="79"/>
      <c r="D23" s="180"/>
      <c r="E23" s="363">
        <v>0</v>
      </c>
      <c r="F23" s="363">
        <v>0</v>
      </c>
      <c r="G23" s="8">
        <f t="shared" si="1"/>
        <v>0</v>
      </c>
      <c r="H23" s="77">
        <v>0</v>
      </c>
      <c r="I23" s="78">
        <v>0</v>
      </c>
      <c r="J23" s="8">
        <f t="shared" si="2"/>
        <v>0</v>
      </c>
      <c r="K23" s="8">
        <f t="shared" si="3"/>
        <v>0</v>
      </c>
      <c r="L23" s="80">
        <f t="shared" si="4"/>
        <v>0</v>
      </c>
      <c r="M23" s="80">
        <v>0</v>
      </c>
      <c r="N23" s="8"/>
      <c r="O23" s="81"/>
    </row>
    <row r="24" spans="1:15">
      <c r="A24" s="55">
        <v>21</v>
      </c>
      <c r="B24" s="266">
        <v>45829</v>
      </c>
      <c r="C24" s="79"/>
      <c r="D24" s="180"/>
      <c r="E24" s="363">
        <v>0</v>
      </c>
      <c r="F24" s="363">
        <v>0</v>
      </c>
      <c r="G24" s="8">
        <f t="shared" si="1"/>
        <v>0</v>
      </c>
      <c r="H24" s="77">
        <v>0</v>
      </c>
      <c r="I24" s="78">
        <v>0</v>
      </c>
      <c r="J24" s="8">
        <f t="shared" si="2"/>
        <v>0</v>
      </c>
      <c r="K24" s="8">
        <f t="shared" si="3"/>
        <v>0</v>
      </c>
      <c r="L24" s="80">
        <f t="shared" si="4"/>
        <v>0</v>
      </c>
      <c r="M24" s="80">
        <v>0</v>
      </c>
      <c r="N24" s="8"/>
      <c r="O24" s="81"/>
    </row>
    <row r="25" spans="1:15">
      <c r="A25" s="55">
        <v>22</v>
      </c>
      <c r="B25" s="266">
        <v>45830</v>
      </c>
      <c r="C25" s="79"/>
      <c r="D25" s="180"/>
      <c r="E25" s="363">
        <v>0</v>
      </c>
      <c r="F25" s="363">
        <v>0</v>
      </c>
      <c r="G25" s="8">
        <f t="shared" si="1"/>
        <v>0</v>
      </c>
      <c r="H25" s="77">
        <v>0</v>
      </c>
      <c r="I25" s="78">
        <v>0</v>
      </c>
      <c r="J25" s="8">
        <f t="shared" si="2"/>
        <v>0</v>
      </c>
      <c r="K25" s="8">
        <f t="shared" si="3"/>
        <v>0</v>
      </c>
      <c r="L25" s="80">
        <f t="shared" si="4"/>
        <v>0</v>
      </c>
      <c r="M25" s="80">
        <v>0</v>
      </c>
      <c r="N25" s="8"/>
      <c r="O25" s="81"/>
    </row>
    <row r="26" spans="1:15">
      <c r="A26" s="55">
        <v>23</v>
      </c>
      <c r="B26" s="266">
        <v>45831</v>
      </c>
      <c r="C26" s="79"/>
      <c r="D26" s="180"/>
      <c r="E26" s="363">
        <v>0</v>
      </c>
      <c r="F26" s="363">
        <v>0</v>
      </c>
      <c r="G26" s="8">
        <f t="shared" si="1"/>
        <v>0</v>
      </c>
      <c r="H26" s="77">
        <v>0</v>
      </c>
      <c r="I26" s="78">
        <v>0</v>
      </c>
      <c r="J26" s="8">
        <f t="shared" si="2"/>
        <v>0</v>
      </c>
      <c r="K26" s="8">
        <f t="shared" si="3"/>
        <v>0</v>
      </c>
      <c r="L26" s="80">
        <f t="shared" si="4"/>
        <v>0</v>
      </c>
      <c r="M26" s="80">
        <v>0</v>
      </c>
      <c r="N26" s="8"/>
      <c r="O26" s="81"/>
    </row>
    <row r="27" spans="1:15">
      <c r="A27" s="55">
        <v>24</v>
      </c>
      <c r="B27" s="266">
        <v>45832</v>
      </c>
      <c r="C27" s="79"/>
      <c r="D27" s="180"/>
      <c r="E27" s="363">
        <v>0</v>
      </c>
      <c r="F27" s="363">
        <v>0</v>
      </c>
      <c r="G27" s="8">
        <f t="shared" si="1"/>
        <v>0</v>
      </c>
      <c r="H27" s="77">
        <v>0</v>
      </c>
      <c r="I27" s="78">
        <v>0</v>
      </c>
      <c r="J27" s="8">
        <f t="shared" si="2"/>
        <v>0</v>
      </c>
      <c r="K27" s="8">
        <f t="shared" si="3"/>
        <v>0</v>
      </c>
      <c r="L27" s="80">
        <f t="shared" si="4"/>
        <v>0</v>
      </c>
      <c r="M27" s="80">
        <v>0</v>
      </c>
      <c r="N27" s="8"/>
      <c r="O27" s="81"/>
    </row>
    <row r="28" spans="1:15">
      <c r="A28" s="268">
        <v>25</v>
      </c>
      <c r="B28" s="266">
        <v>45833</v>
      </c>
      <c r="C28" s="79"/>
      <c r="D28" s="180"/>
      <c r="E28" s="363">
        <v>0</v>
      </c>
      <c r="F28" s="363">
        <v>0</v>
      </c>
      <c r="G28" s="8">
        <f t="shared" si="1"/>
        <v>0</v>
      </c>
      <c r="H28" s="77">
        <v>0</v>
      </c>
      <c r="I28" s="78">
        <v>0</v>
      </c>
      <c r="J28" s="8">
        <f t="shared" si="2"/>
        <v>0</v>
      </c>
      <c r="K28" s="8">
        <f t="shared" si="3"/>
        <v>0</v>
      </c>
      <c r="L28" s="80">
        <f t="shared" si="4"/>
        <v>0</v>
      </c>
      <c r="M28" s="80">
        <v>0</v>
      </c>
      <c r="N28" s="8"/>
      <c r="O28" s="81"/>
    </row>
    <row r="29" spans="1:15">
      <c r="A29" s="268">
        <v>26</v>
      </c>
      <c r="B29" s="266">
        <v>45834</v>
      </c>
      <c r="C29" s="79"/>
      <c r="D29" s="180"/>
      <c r="E29" s="363">
        <v>0</v>
      </c>
      <c r="F29" s="363">
        <v>0</v>
      </c>
      <c r="G29" s="8">
        <f t="shared" si="1"/>
        <v>0</v>
      </c>
      <c r="H29" s="77">
        <v>0</v>
      </c>
      <c r="I29" s="78">
        <v>0</v>
      </c>
      <c r="J29" s="8">
        <f t="shared" si="2"/>
        <v>0</v>
      </c>
      <c r="K29" s="8">
        <f t="shared" si="3"/>
        <v>0</v>
      </c>
      <c r="L29" s="80">
        <f t="shared" si="4"/>
        <v>0</v>
      </c>
      <c r="M29" s="80">
        <v>0</v>
      </c>
      <c r="N29" s="8"/>
      <c r="O29" s="81"/>
    </row>
    <row r="30" spans="1:15">
      <c r="A30" s="268">
        <v>27</v>
      </c>
      <c r="B30" s="266">
        <v>45835</v>
      </c>
      <c r="C30" s="79"/>
      <c r="D30" s="180"/>
      <c r="E30" s="363">
        <v>0</v>
      </c>
      <c r="F30" s="363">
        <v>0</v>
      </c>
      <c r="G30" s="8">
        <f t="shared" si="1"/>
        <v>0</v>
      </c>
      <c r="H30" s="77">
        <v>0</v>
      </c>
      <c r="I30" s="78">
        <v>0</v>
      </c>
      <c r="J30" s="8">
        <f t="shared" si="2"/>
        <v>0</v>
      </c>
      <c r="K30" s="8">
        <f t="shared" si="3"/>
        <v>0</v>
      </c>
      <c r="L30" s="80">
        <f t="shared" si="4"/>
        <v>0</v>
      </c>
      <c r="M30" s="80">
        <v>0</v>
      </c>
      <c r="N30" s="8"/>
      <c r="O30" s="81"/>
    </row>
    <row r="31" spans="1:15">
      <c r="A31" s="268">
        <v>28</v>
      </c>
      <c r="B31" s="266">
        <v>45836</v>
      </c>
      <c r="C31" s="79"/>
      <c r="D31" s="180"/>
      <c r="E31" s="363">
        <v>0</v>
      </c>
      <c r="F31" s="363">
        <v>0</v>
      </c>
      <c r="G31" s="8">
        <f t="shared" si="1"/>
        <v>0</v>
      </c>
      <c r="H31" s="77">
        <v>0</v>
      </c>
      <c r="I31" s="78">
        <v>0</v>
      </c>
      <c r="J31" s="8">
        <f t="shared" si="2"/>
        <v>0</v>
      </c>
      <c r="K31" s="8">
        <f t="shared" si="3"/>
        <v>0</v>
      </c>
      <c r="L31" s="80">
        <f t="shared" si="4"/>
        <v>0</v>
      </c>
      <c r="M31" s="80">
        <v>0</v>
      </c>
      <c r="N31" s="8"/>
      <c r="O31" s="81"/>
    </row>
    <row r="32" spans="1:15">
      <c r="A32" s="269">
        <v>29</v>
      </c>
      <c r="B32" s="266">
        <v>45837</v>
      </c>
      <c r="C32" s="79"/>
      <c r="D32" s="180"/>
      <c r="E32" s="363">
        <v>0</v>
      </c>
      <c r="F32" s="363">
        <v>0</v>
      </c>
      <c r="G32" s="8">
        <f t="shared" si="1"/>
        <v>0</v>
      </c>
      <c r="H32" s="77">
        <v>0</v>
      </c>
      <c r="I32" s="78">
        <v>0</v>
      </c>
      <c r="J32" s="8">
        <f t="shared" si="2"/>
        <v>0</v>
      </c>
      <c r="K32" s="8">
        <f t="shared" si="3"/>
        <v>0</v>
      </c>
      <c r="L32" s="80">
        <f t="shared" si="4"/>
        <v>0</v>
      </c>
      <c r="M32" s="80">
        <v>0</v>
      </c>
      <c r="N32" s="8"/>
      <c r="O32" s="81"/>
    </row>
    <row r="33" spans="1:15">
      <c r="A33" s="269">
        <v>30</v>
      </c>
      <c r="B33" s="266">
        <v>45838</v>
      </c>
      <c r="C33" s="79"/>
      <c r="D33" s="180"/>
      <c r="E33" s="363">
        <v>0</v>
      </c>
      <c r="F33" s="363">
        <v>0</v>
      </c>
      <c r="G33" s="8">
        <f t="shared" si="1"/>
        <v>0</v>
      </c>
      <c r="H33" s="77">
        <v>0</v>
      </c>
      <c r="I33" s="78">
        <v>0</v>
      </c>
      <c r="J33" s="8">
        <f t="shared" si="2"/>
        <v>0</v>
      </c>
      <c r="K33" s="8">
        <f t="shared" si="3"/>
        <v>0</v>
      </c>
      <c r="L33" s="80">
        <f t="shared" si="4"/>
        <v>0</v>
      </c>
      <c r="M33" s="80">
        <v>0</v>
      </c>
      <c r="N33" s="8"/>
      <c r="O33" s="81"/>
    </row>
    <row r="34" spans="1:15">
      <c r="A34" s="269">
        <v>31</v>
      </c>
      <c r="B34" s="266"/>
      <c r="C34" s="79"/>
      <c r="D34" s="180"/>
      <c r="E34" s="363">
        <v>0</v>
      </c>
      <c r="F34" s="363">
        <v>0</v>
      </c>
      <c r="G34" s="8">
        <f t="shared" ref="G5:G34" si="5">E34*F34</f>
        <v>0</v>
      </c>
      <c r="H34" s="77">
        <v>0</v>
      </c>
      <c r="I34" s="78">
        <v>0</v>
      </c>
      <c r="J34" s="8">
        <f t="shared" ref="J5:J34" si="6">H34*I34</f>
        <v>0</v>
      </c>
      <c r="K34" s="8">
        <f t="shared" si="3"/>
        <v>0</v>
      </c>
      <c r="L34" s="80">
        <f t="shared" si="4"/>
        <v>0</v>
      </c>
      <c r="M34" s="80">
        <v>0</v>
      </c>
      <c r="N34" s="8"/>
      <c r="O34" s="81"/>
    </row>
    <row r="35" spans="1:15">
      <c r="A35" s="74"/>
      <c r="B35" s="74"/>
      <c r="C35" s="74"/>
      <c r="D35" s="74"/>
      <c r="E35" s="364">
        <f>SUM(E4:E34)</f>
        <v>175.7</v>
      </c>
      <c r="F35" s="364"/>
      <c r="G35" s="75">
        <f>SUM(G4:G34)</f>
        <v>17013.030999999999</v>
      </c>
      <c r="H35" s="75">
        <f>SUM(H4:H34)</f>
        <v>7.35</v>
      </c>
      <c r="I35" s="75"/>
      <c r="J35" s="75">
        <f>SUM(J4:J34)</f>
        <v>798.65099999999995</v>
      </c>
      <c r="K35" s="75">
        <f>SUM(K4:K34)</f>
        <v>17811.682000000001</v>
      </c>
      <c r="L35" s="75">
        <f>SUM(L4:L34)</f>
        <v>17811.682000000001</v>
      </c>
      <c r="M35" s="75"/>
      <c r="N35" s="75"/>
      <c r="O35" s="71"/>
    </row>
    <row r="36" spans="1:15">
      <c r="A36" s="85"/>
      <c r="B36" s="86"/>
      <c r="C36" s="85"/>
      <c r="D36" s="85"/>
      <c r="E36" s="87"/>
      <c r="F36" s="87"/>
      <c r="G36" s="87"/>
      <c r="H36" s="87"/>
      <c r="I36" s="87"/>
      <c r="J36" s="88"/>
      <c r="K36" s="88"/>
      <c r="L36" s="88"/>
      <c r="M36" s="88"/>
      <c r="N36" s="87"/>
      <c r="O36" s="81"/>
    </row>
    <row r="37" spans="1:15">
      <c r="O37" s="81"/>
    </row>
    <row r="38" spans="1:15">
      <c r="O38" s="81"/>
    </row>
    <row r="39" spans="1:15">
      <c r="O39" s="81"/>
    </row>
    <row r="40" spans="1:15">
      <c r="O40" s="81"/>
    </row>
    <row r="41" spans="1:15">
      <c r="O41" s="81"/>
    </row>
    <row r="42" spans="1:15">
      <c r="A42" s="81"/>
      <c r="B42" s="71"/>
      <c r="C42" s="81"/>
      <c r="D42" s="81"/>
      <c r="E42" s="81"/>
      <c r="F42" s="81"/>
      <c r="G42" s="89"/>
      <c r="H42" s="81"/>
      <c r="I42" s="81"/>
      <c r="J42" s="71"/>
      <c r="K42" s="71"/>
      <c r="L42" s="71"/>
      <c r="M42" s="71"/>
      <c r="N42" s="81"/>
      <c r="O42" s="87"/>
    </row>
    <row r="43" spans="1:15">
      <c r="A43" s="81"/>
      <c r="B43" s="462"/>
      <c r="C43" s="462"/>
      <c r="D43" s="462"/>
      <c r="E43" s="462"/>
      <c r="F43" s="81"/>
      <c r="G43" s="81"/>
      <c r="H43" s="81"/>
      <c r="I43" s="462"/>
      <c r="J43" s="462"/>
      <c r="K43" s="462"/>
      <c r="L43" s="462"/>
      <c r="M43" s="462"/>
      <c r="N43" s="462"/>
      <c r="O43" s="87"/>
    </row>
    <row r="44" spans="1:15">
      <c r="A44" s="81"/>
      <c r="B44" s="71"/>
      <c r="C44" s="81"/>
      <c r="D44" s="81"/>
      <c r="E44" s="81"/>
      <c r="F44" s="81"/>
      <c r="G44" s="81"/>
      <c r="H44" s="81"/>
      <c r="I44" s="81"/>
      <c r="J44" s="71"/>
      <c r="K44" s="71"/>
      <c r="L44" s="71"/>
      <c r="M44" s="71"/>
      <c r="N44" s="81"/>
      <c r="O44" s="87"/>
    </row>
  </sheetData>
  <mergeCells count="4">
    <mergeCell ref="A1:N1"/>
    <mergeCell ref="A3:L3"/>
    <mergeCell ref="B43:E43"/>
    <mergeCell ref="I43:N4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07CF9-90F8-4EA7-A54C-C64C8019A5D6}">
  <dimension ref="A1:R44"/>
  <sheetViews>
    <sheetView topLeftCell="A18" workbookViewId="0">
      <selection activeCell="M34" sqref="M34"/>
    </sheetView>
  </sheetViews>
  <sheetFormatPr defaultRowHeight="15"/>
  <cols>
    <col min="4" max="4" width="11.5703125" customWidth="1"/>
    <col min="7" max="7" width="10.85546875" bestFit="1" customWidth="1"/>
    <col min="9" max="9" width="5.42578125" bestFit="1" customWidth="1"/>
    <col min="11" max="12" width="13.5703125" bestFit="1" customWidth="1"/>
    <col min="13" max="13" width="11.5703125" bestFit="1" customWidth="1"/>
    <col min="14" max="14" width="10.7109375" bestFit="1" customWidth="1"/>
  </cols>
  <sheetData>
    <row r="1" spans="1:18" ht="15.75">
      <c r="A1" s="460" t="s">
        <v>97</v>
      </c>
      <c r="B1" s="460"/>
      <c r="C1" s="460"/>
      <c r="D1" s="460"/>
      <c r="E1" s="460"/>
      <c r="F1" s="460"/>
      <c r="G1" s="460"/>
      <c r="H1" s="460"/>
      <c r="I1" s="460"/>
      <c r="J1" s="460"/>
      <c r="K1" s="460"/>
      <c r="L1" s="460"/>
      <c r="M1" s="460"/>
      <c r="N1" s="460"/>
      <c r="O1" s="95"/>
    </row>
    <row r="2" spans="1:18" ht="30.75">
      <c r="A2" s="111" t="s">
        <v>102</v>
      </c>
      <c r="B2" s="112" t="s">
        <v>103</v>
      </c>
      <c r="C2" s="112" t="s">
        <v>104</v>
      </c>
      <c r="D2" s="112" t="s">
        <v>150</v>
      </c>
      <c r="E2" s="362" t="s">
        <v>106</v>
      </c>
      <c r="F2" s="362" t="s">
        <v>107</v>
      </c>
      <c r="G2" s="112" t="s">
        <v>108</v>
      </c>
      <c r="H2" s="112" t="s">
        <v>109</v>
      </c>
      <c r="I2" s="112" t="s">
        <v>107</v>
      </c>
      <c r="J2" s="153" t="s">
        <v>108</v>
      </c>
      <c r="K2" s="113" t="s">
        <v>110</v>
      </c>
      <c r="L2" s="154" t="s">
        <v>111</v>
      </c>
      <c r="M2" s="159" t="s">
        <v>149</v>
      </c>
      <c r="N2" s="114" t="s">
        <v>113</v>
      </c>
      <c r="O2" s="71"/>
    </row>
    <row r="3" spans="1:18">
      <c r="A3" s="445" t="s">
        <v>114</v>
      </c>
      <c r="B3" s="446"/>
      <c r="C3" s="446"/>
      <c r="D3" s="446"/>
      <c r="E3" s="446"/>
      <c r="F3" s="446"/>
      <c r="G3" s="446"/>
      <c r="H3" s="446"/>
      <c r="I3" s="446"/>
      <c r="J3" s="446"/>
      <c r="K3" s="446"/>
      <c r="L3" s="461"/>
      <c r="M3" s="168">
        <v>0</v>
      </c>
      <c r="N3" s="177"/>
      <c r="O3" s="71"/>
    </row>
    <row r="4" spans="1:18">
      <c r="A4" s="231">
        <v>1</v>
      </c>
      <c r="B4" s="266">
        <v>45809</v>
      </c>
      <c r="C4" s="79"/>
      <c r="D4" s="180"/>
      <c r="E4" s="363">
        <v>0</v>
      </c>
      <c r="F4" s="363">
        <v>0</v>
      </c>
      <c r="G4" s="8">
        <f t="shared" ref="G4:G34" si="0">E4*F4</f>
        <v>0</v>
      </c>
      <c r="H4" s="77">
        <v>0</v>
      </c>
      <c r="I4" s="78">
        <v>0</v>
      </c>
      <c r="J4" s="8">
        <f>H4*I4</f>
        <v>0</v>
      </c>
      <c r="K4" s="8">
        <f>G4+J4</f>
        <v>0</v>
      </c>
      <c r="L4" s="80">
        <f>+K4</f>
        <v>0</v>
      </c>
      <c r="M4" s="80">
        <f>+M3+K4-L4</f>
        <v>0</v>
      </c>
      <c r="N4" s="8"/>
    </row>
    <row r="5" spans="1:18">
      <c r="A5" s="55">
        <v>2</v>
      </c>
      <c r="B5" s="266">
        <v>45810</v>
      </c>
      <c r="C5" s="79"/>
      <c r="D5" s="180"/>
      <c r="E5" s="363">
        <v>0</v>
      </c>
      <c r="F5" s="363">
        <v>0</v>
      </c>
      <c r="G5" s="8">
        <f t="shared" ref="G5:G34" si="1">E5*F5</f>
        <v>0</v>
      </c>
      <c r="H5" s="77">
        <v>0</v>
      </c>
      <c r="I5" s="78">
        <v>0</v>
      </c>
      <c r="J5" s="8">
        <f t="shared" ref="J5:J34" si="2">H5*I5</f>
        <v>0</v>
      </c>
      <c r="K5" s="8">
        <f t="shared" ref="K5:K34" si="3">G5+J5</f>
        <v>0</v>
      </c>
      <c r="L5" s="80">
        <f t="shared" ref="L5:L34" si="4">+K5</f>
        <v>0</v>
      </c>
      <c r="M5" s="80">
        <f t="shared" ref="M5:M34" si="5">+M4+K5-L5</f>
        <v>0</v>
      </c>
      <c r="N5" s="8"/>
    </row>
    <row r="6" spans="1:18">
      <c r="A6" s="55">
        <v>3</v>
      </c>
      <c r="B6" s="266">
        <v>45811</v>
      </c>
      <c r="C6" s="79"/>
      <c r="D6" s="180"/>
      <c r="E6" s="363">
        <v>0</v>
      </c>
      <c r="F6" s="363">
        <v>0</v>
      </c>
      <c r="G6" s="8">
        <f t="shared" si="1"/>
        <v>0</v>
      </c>
      <c r="H6" s="77">
        <v>0</v>
      </c>
      <c r="I6" s="78">
        <v>0</v>
      </c>
      <c r="J6" s="8">
        <f t="shared" si="2"/>
        <v>0</v>
      </c>
      <c r="K6" s="8">
        <f t="shared" si="3"/>
        <v>0</v>
      </c>
      <c r="L6" s="80">
        <f t="shared" si="4"/>
        <v>0</v>
      </c>
      <c r="M6" s="80">
        <f t="shared" si="5"/>
        <v>0</v>
      </c>
      <c r="N6" s="8"/>
    </row>
    <row r="7" spans="1:18">
      <c r="A7" s="55">
        <v>4</v>
      </c>
      <c r="B7" s="266">
        <v>45812</v>
      </c>
      <c r="C7" s="79"/>
      <c r="D7" s="180"/>
      <c r="E7" s="363">
        <v>0</v>
      </c>
      <c r="F7" s="363">
        <v>0</v>
      </c>
      <c r="G7" s="8">
        <f t="shared" si="1"/>
        <v>0</v>
      </c>
      <c r="H7" s="77">
        <v>0</v>
      </c>
      <c r="I7" s="78">
        <v>0</v>
      </c>
      <c r="J7" s="8">
        <f t="shared" si="2"/>
        <v>0</v>
      </c>
      <c r="K7" s="8">
        <f t="shared" si="3"/>
        <v>0</v>
      </c>
      <c r="L7" s="80">
        <f t="shared" si="4"/>
        <v>0</v>
      </c>
      <c r="M7" s="80">
        <f t="shared" si="5"/>
        <v>0</v>
      </c>
      <c r="N7" s="8"/>
    </row>
    <row r="8" spans="1:18">
      <c r="A8" s="55">
        <v>5</v>
      </c>
      <c r="B8" s="266">
        <v>45813</v>
      </c>
      <c r="C8" s="79"/>
      <c r="D8" s="180"/>
      <c r="E8" s="363">
        <v>0</v>
      </c>
      <c r="F8" s="363">
        <v>0</v>
      </c>
      <c r="G8" s="8">
        <f t="shared" si="1"/>
        <v>0</v>
      </c>
      <c r="H8" s="77">
        <v>0</v>
      </c>
      <c r="I8" s="78">
        <v>0</v>
      </c>
      <c r="J8" s="8">
        <f t="shared" si="2"/>
        <v>0</v>
      </c>
      <c r="K8" s="8">
        <f t="shared" si="3"/>
        <v>0</v>
      </c>
      <c r="L8" s="80">
        <f t="shared" si="4"/>
        <v>0</v>
      </c>
      <c r="M8" s="80">
        <f t="shared" si="5"/>
        <v>0</v>
      </c>
      <c r="N8" s="8"/>
      <c r="O8" s="81"/>
      <c r="R8" s="276"/>
    </row>
    <row r="9" spans="1:18">
      <c r="A9" s="55">
        <v>6</v>
      </c>
      <c r="B9" s="266">
        <v>45814</v>
      </c>
      <c r="C9" s="79"/>
      <c r="D9" s="180"/>
      <c r="E9" s="363">
        <v>0</v>
      </c>
      <c r="F9" s="363">
        <v>0</v>
      </c>
      <c r="G9" s="8">
        <f t="shared" si="1"/>
        <v>0</v>
      </c>
      <c r="H9" s="77">
        <v>0</v>
      </c>
      <c r="I9" s="78">
        <v>0</v>
      </c>
      <c r="J9" s="8">
        <f t="shared" si="2"/>
        <v>0</v>
      </c>
      <c r="K9" s="8">
        <f t="shared" si="3"/>
        <v>0</v>
      </c>
      <c r="L9" s="80">
        <f t="shared" si="4"/>
        <v>0</v>
      </c>
      <c r="M9" s="80">
        <f t="shared" si="5"/>
        <v>0</v>
      </c>
      <c r="N9" s="8"/>
      <c r="O9" s="81"/>
    </row>
    <row r="10" spans="1:18">
      <c r="A10" s="55">
        <v>7</v>
      </c>
      <c r="B10" s="266">
        <v>45815</v>
      </c>
      <c r="C10" s="79"/>
      <c r="D10" s="180"/>
      <c r="E10" s="363">
        <v>0</v>
      </c>
      <c r="F10" s="363">
        <v>0</v>
      </c>
      <c r="G10" s="8">
        <f t="shared" si="1"/>
        <v>0</v>
      </c>
      <c r="H10" s="77">
        <v>0</v>
      </c>
      <c r="I10" s="78">
        <v>0</v>
      </c>
      <c r="J10" s="8">
        <f t="shared" si="2"/>
        <v>0</v>
      </c>
      <c r="K10" s="8">
        <f t="shared" si="3"/>
        <v>0</v>
      </c>
      <c r="L10" s="80">
        <f t="shared" si="4"/>
        <v>0</v>
      </c>
      <c r="M10" s="80">
        <f t="shared" si="5"/>
        <v>0</v>
      </c>
      <c r="N10" s="8"/>
      <c r="O10" s="81"/>
    </row>
    <row r="11" spans="1:18">
      <c r="A11" s="55">
        <v>8</v>
      </c>
      <c r="B11" s="266">
        <v>45816</v>
      </c>
      <c r="C11" s="79"/>
      <c r="D11" s="180"/>
      <c r="E11" s="363">
        <v>0</v>
      </c>
      <c r="F11" s="363">
        <v>0</v>
      </c>
      <c r="G11" s="8">
        <f t="shared" si="1"/>
        <v>0</v>
      </c>
      <c r="H11" s="77">
        <v>0</v>
      </c>
      <c r="I11" s="78">
        <v>0</v>
      </c>
      <c r="J11" s="8">
        <f t="shared" si="2"/>
        <v>0</v>
      </c>
      <c r="K11" s="8">
        <f t="shared" si="3"/>
        <v>0</v>
      </c>
      <c r="L11" s="80">
        <f t="shared" si="4"/>
        <v>0</v>
      </c>
      <c r="M11" s="80">
        <f t="shared" si="5"/>
        <v>0</v>
      </c>
      <c r="N11" s="8"/>
      <c r="O11" s="81"/>
    </row>
    <row r="12" spans="1:18">
      <c r="A12" s="55">
        <v>9</v>
      </c>
      <c r="B12" s="266">
        <v>45817</v>
      </c>
      <c r="C12" s="79"/>
      <c r="D12" s="180"/>
      <c r="E12" s="363">
        <v>0</v>
      </c>
      <c r="F12" s="363">
        <v>0</v>
      </c>
      <c r="G12" s="8">
        <f t="shared" si="1"/>
        <v>0</v>
      </c>
      <c r="H12" s="77">
        <v>0</v>
      </c>
      <c r="I12" s="78">
        <v>0</v>
      </c>
      <c r="J12" s="8">
        <f t="shared" si="2"/>
        <v>0</v>
      </c>
      <c r="K12" s="8">
        <f t="shared" si="3"/>
        <v>0</v>
      </c>
      <c r="L12" s="80">
        <f t="shared" si="4"/>
        <v>0</v>
      </c>
      <c r="M12" s="80">
        <f t="shared" si="5"/>
        <v>0</v>
      </c>
      <c r="N12" s="8"/>
      <c r="O12" s="81"/>
    </row>
    <row r="13" spans="1:18">
      <c r="A13" s="55">
        <v>10</v>
      </c>
      <c r="B13" s="266">
        <v>45818</v>
      </c>
      <c r="C13" s="79"/>
      <c r="D13" s="180"/>
      <c r="E13" s="363">
        <v>0</v>
      </c>
      <c r="F13" s="363">
        <v>0</v>
      </c>
      <c r="G13" s="8">
        <f t="shared" si="1"/>
        <v>0</v>
      </c>
      <c r="H13" s="77">
        <v>0</v>
      </c>
      <c r="I13" s="78">
        <v>0</v>
      </c>
      <c r="J13" s="8">
        <f t="shared" si="2"/>
        <v>0</v>
      </c>
      <c r="K13" s="8">
        <f t="shared" si="3"/>
        <v>0</v>
      </c>
      <c r="L13" s="80">
        <f t="shared" si="4"/>
        <v>0</v>
      </c>
      <c r="M13" s="80">
        <f t="shared" si="5"/>
        <v>0</v>
      </c>
      <c r="N13" s="8"/>
      <c r="O13" s="81"/>
    </row>
    <row r="14" spans="1:18">
      <c r="A14" s="55">
        <v>11</v>
      </c>
      <c r="B14" s="266">
        <v>45819</v>
      </c>
      <c r="C14" s="79"/>
      <c r="D14" s="180"/>
      <c r="E14" s="363">
        <v>0</v>
      </c>
      <c r="F14" s="363">
        <v>0</v>
      </c>
      <c r="G14" s="8">
        <f t="shared" si="1"/>
        <v>0</v>
      </c>
      <c r="H14" s="77">
        <v>0</v>
      </c>
      <c r="I14" s="78">
        <v>0</v>
      </c>
      <c r="J14" s="8">
        <f t="shared" si="2"/>
        <v>0</v>
      </c>
      <c r="K14" s="8">
        <f t="shared" si="3"/>
        <v>0</v>
      </c>
      <c r="L14" s="80">
        <f t="shared" si="4"/>
        <v>0</v>
      </c>
      <c r="M14" s="80">
        <f t="shared" si="5"/>
        <v>0</v>
      </c>
      <c r="N14" s="8"/>
      <c r="O14" s="81"/>
    </row>
    <row r="15" spans="1:18">
      <c r="A15" s="55">
        <v>12</v>
      </c>
      <c r="B15" s="266">
        <v>45820</v>
      </c>
      <c r="C15" s="79"/>
      <c r="D15" s="180"/>
      <c r="E15" s="363">
        <v>0</v>
      </c>
      <c r="F15" s="363">
        <v>0</v>
      </c>
      <c r="G15" s="8">
        <f t="shared" si="1"/>
        <v>0</v>
      </c>
      <c r="H15" s="77">
        <v>0</v>
      </c>
      <c r="I15" s="78">
        <v>0</v>
      </c>
      <c r="J15" s="8">
        <f t="shared" si="2"/>
        <v>0</v>
      </c>
      <c r="K15" s="8">
        <f t="shared" si="3"/>
        <v>0</v>
      </c>
      <c r="L15" s="80">
        <f t="shared" si="4"/>
        <v>0</v>
      </c>
      <c r="M15" s="80">
        <f t="shared" si="5"/>
        <v>0</v>
      </c>
      <c r="N15" s="8"/>
      <c r="O15" s="81"/>
    </row>
    <row r="16" spans="1:18">
      <c r="A16" s="55">
        <v>13</v>
      </c>
      <c r="B16" s="266">
        <v>45821</v>
      </c>
      <c r="C16" s="79"/>
      <c r="D16" s="180"/>
      <c r="E16" s="363">
        <v>0</v>
      </c>
      <c r="F16" s="363">
        <v>0</v>
      </c>
      <c r="G16" s="8">
        <f t="shared" si="1"/>
        <v>0</v>
      </c>
      <c r="H16" s="77">
        <v>0</v>
      </c>
      <c r="I16" s="78">
        <v>0</v>
      </c>
      <c r="J16" s="8">
        <f t="shared" si="2"/>
        <v>0</v>
      </c>
      <c r="K16" s="8">
        <f t="shared" si="3"/>
        <v>0</v>
      </c>
      <c r="L16" s="80">
        <f t="shared" si="4"/>
        <v>0</v>
      </c>
      <c r="M16" s="80">
        <f t="shared" si="5"/>
        <v>0</v>
      </c>
      <c r="N16" s="8"/>
      <c r="O16" s="81"/>
    </row>
    <row r="17" spans="1:15">
      <c r="A17" s="55">
        <v>14</v>
      </c>
      <c r="B17" s="266">
        <v>45822</v>
      </c>
      <c r="C17" s="79"/>
      <c r="D17" s="180"/>
      <c r="E17" s="363">
        <v>0</v>
      </c>
      <c r="F17" s="363">
        <v>0</v>
      </c>
      <c r="G17" s="8">
        <f t="shared" si="1"/>
        <v>0</v>
      </c>
      <c r="H17" s="77">
        <v>0</v>
      </c>
      <c r="I17" s="78">
        <v>0</v>
      </c>
      <c r="J17" s="8">
        <f t="shared" si="2"/>
        <v>0</v>
      </c>
      <c r="K17" s="8">
        <f t="shared" si="3"/>
        <v>0</v>
      </c>
      <c r="L17" s="80">
        <f t="shared" si="4"/>
        <v>0</v>
      </c>
      <c r="M17" s="80">
        <f t="shared" si="5"/>
        <v>0</v>
      </c>
      <c r="N17" s="8"/>
      <c r="O17" s="81"/>
    </row>
    <row r="18" spans="1:15">
      <c r="A18" s="55">
        <v>15</v>
      </c>
      <c r="B18" s="266">
        <v>45823</v>
      </c>
      <c r="C18" s="79"/>
      <c r="D18" s="180"/>
      <c r="E18" s="363">
        <v>0</v>
      </c>
      <c r="F18" s="363">
        <v>0</v>
      </c>
      <c r="G18" s="8">
        <f t="shared" si="1"/>
        <v>0</v>
      </c>
      <c r="H18" s="77">
        <v>0</v>
      </c>
      <c r="I18" s="78">
        <v>0</v>
      </c>
      <c r="J18" s="8">
        <f t="shared" si="2"/>
        <v>0</v>
      </c>
      <c r="K18" s="8">
        <f t="shared" si="3"/>
        <v>0</v>
      </c>
      <c r="L18" s="80">
        <f t="shared" si="4"/>
        <v>0</v>
      </c>
      <c r="M18" s="80">
        <f t="shared" si="5"/>
        <v>0</v>
      </c>
      <c r="N18" s="208"/>
      <c r="O18" s="81"/>
    </row>
    <row r="19" spans="1:15">
      <c r="A19" s="55">
        <v>16</v>
      </c>
      <c r="B19" s="266">
        <v>45824</v>
      </c>
      <c r="C19" s="79"/>
      <c r="D19" s="180"/>
      <c r="E19" s="363">
        <v>230</v>
      </c>
      <c r="F19" s="363">
        <v>97.1</v>
      </c>
      <c r="G19" s="8">
        <f t="shared" si="1"/>
        <v>22333</v>
      </c>
      <c r="H19" s="77">
        <v>0</v>
      </c>
      <c r="I19" s="78">
        <v>0</v>
      </c>
      <c r="J19" s="8">
        <f t="shared" si="2"/>
        <v>0</v>
      </c>
      <c r="K19" s="8">
        <f t="shared" si="3"/>
        <v>22333</v>
      </c>
      <c r="L19" s="80">
        <v>0</v>
      </c>
      <c r="M19" s="401">
        <f t="shared" si="5"/>
        <v>22333</v>
      </c>
      <c r="N19" s="400" t="s">
        <v>151</v>
      </c>
      <c r="O19" s="81"/>
    </row>
    <row r="20" spans="1:15">
      <c r="A20" s="55">
        <v>17</v>
      </c>
      <c r="B20" s="266">
        <v>45825</v>
      </c>
      <c r="C20" s="79"/>
      <c r="D20" s="180"/>
      <c r="E20" s="363">
        <v>0</v>
      </c>
      <c r="F20" s="363">
        <v>0</v>
      </c>
      <c r="G20" s="8">
        <f t="shared" si="1"/>
        <v>0</v>
      </c>
      <c r="H20" s="77">
        <v>0</v>
      </c>
      <c r="I20" s="78">
        <v>0</v>
      </c>
      <c r="J20" s="8">
        <f t="shared" si="2"/>
        <v>0</v>
      </c>
      <c r="K20" s="8">
        <f t="shared" si="3"/>
        <v>0</v>
      </c>
      <c r="L20" s="80">
        <f t="shared" si="4"/>
        <v>0</v>
      </c>
      <c r="M20" s="80">
        <f t="shared" si="5"/>
        <v>22333</v>
      </c>
      <c r="N20" s="21"/>
      <c r="O20" s="81"/>
    </row>
    <row r="21" spans="1:15">
      <c r="A21" s="55">
        <v>18</v>
      </c>
      <c r="B21" s="266">
        <v>45826</v>
      </c>
      <c r="C21" s="79"/>
      <c r="D21" s="180"/>
      <c r="E21" s="363">
        <v>230</v>
      </c>
      <c r="F21" s="363">
        <v>97.1</v>
      </c>
      <c r="G21" s="8">
        <f t="shared" si="1"/>
        <v>22333</v>
      </c>
      <c r="H21" s="77">
        <v>0</v>
      </c>
      <c r="I21" s="78">
        <v>0</v>
      </c>
      <c r="J21" s="8">
        <f t="shared" si="2"/>
        <v>0</v>
      </c>
      <c r="K21" s="8">
        <f t="shared" si="3"/>
        <v>22333</v>
      </c>
      <c r="L21" s="80">
        <v>0</v>
      </c>
      <c r="M21" s="80">
        <f t="shared" si="5"/>
        <v>44666</v>
      </c>
      <c r="N21" s="8"/>
      <c r="O21" s="81"/>
    </row>
    <row r="22" spans="1:15">
      <c r="A22" s="55">
        <v>19</v>
      </c>
      <c r="B22" s="266">
        <v>45827</v>
      </c>
      <c r="C22" s="79"/>
      <c r="D22" s="180"/>
      <c r="E22" s="363">
        <v>10</v>
      </c>
      <c r="F22" s="363">
        <v>97.1</v>
      </c>
      <c r="G22" s="8">
        <f t="shared" si="1"/>
        <v>971</v>
      </c>
      <c r="H22" s="77">
        <v>0</v>
      </c>
      <c r="I22" s="78">
        <v>0</v>
      </c>
      <c r="J22" s="8">
        <f t="shared" si="2"/>
        <v>0</v>
      </c>
      <c r="K22" s="8">
        <f t="shared" si="3"/>
        <v>971</v>
      </c>
      <c r="L22" s="80"/>
      <c r="M22" s="80">
        <f t="shared" si="5"/>
        <v>45637</v>
      </c>
      <c r="N22" s="8"/>
      <c r="O22" s="81"/>
    </row>
    <row r="23" spans="1:15">
      <c r="A23" s="55">
        <v>20</v>
      </c>
      <c r="B23" s="266">
        <v>45828</v>
      </c>
      <c r="C23" s="79"/>
      <c r="D23" s="180"/>
      <c r="E23" s="363">
        <v>31.23</v>
      </c>
      <c r="F23" s="363">
        <v>97.1</v>
      </c>
      <c r="G23" s="8">
        <f t="shared" si="1"/>
        <v>3032.433</v>
      </c>
      <c r="H23" s="77">
        <v>0</v>
      </c>
      <c r="I23" s="78">
        <v>0</v>
      </c>
      <c r="J23" s="8">
        <f t="shared" si="2"/>
        <v>0</v>
      </c>
      <c r="K23" s="8">
        <f t="shared" si="3"/>
        <v>3032.433</v>
      </c>
      <c r="L23" s="80">
        <v>0</v>
      </c>
      <c r="M23" s="80">
        <f t="shared" si="5"/>
        <v>48669.432999999997</v>
      </c>
      <c r="N23" s="8"/>
      <c r="O23" s="81"/>
    </row>
    <row r="24" spans="1:15">
      <c r="A24" s="55">
        <v>21</v>
      </c>
      <c r="B24" s="266">
        <v>45829</v>
      </c>
      <c r="C24" s="79"/>
      <c r="D24" s="180"/>
      <c r="E24" s="363">
        <v>200</v>
      </c>
      <c r="F24" s="363">
        <v>97.1</v>
      </c>
      <c r="G24" s="8">
        <f t="shared" si="1"/>
        <v>19420</v>
      </c>
      <c r="H24" s="77">
        <v>0</v>
      </c>
      <c r="I24" s="78">
        <v>0</v>
      </c>
      <c r="J24" s="8">
        <f t="shared" si="2"/>
        <v>0</v>
      </c>
      <c r="K24" s="8">
        <f t="shared" si="3"/>
        <v>19420</v>
      </c>
      <c r="L24" s="80">
        <v>0</v>
      </c>
      <c r="M24" s="80">
        <f t="shared" si="5"/>
        <v>68089.43299999999</v>
      </c>
      <c r="N24" s="8"/>
      <c r="O24" s="81"/>
    </row>
    <row r="25" spans="1:15">
      <c r="A25" s="55">
        <v>22</v>
      </c>
      <c r="B25" s="266">
        <v>45830</v>
      </c>
      <c r="C25" s="79"/>
      <c r="D25" s="180"/>
      <c r="E25" s="363">
        <v>0</v>
      </c>
      <c r="F25" s="363">
        <v>0</v>
      </c>
      <c r="G25" s="8">
        <f t="shared" si="1"/>
        <v>0</v>
      </c>
      <c r="H25" s="77">
        <v>0</v>
      </c>
      <c r="I25" s="78">
        <v>0</v>
      </c>
      <c r="J25" s="8">
        <f t="shared" si="2"/>
        <v>0</v>
      </c>
      <c r="K25" s="8">
        <f t="shared" si="3"/>
        <v>0</v>
      </c>
      <c r="L25" s="80">
        <f t="shared" si="4"/>
        <v>0</v>
      </c>
      <c r="M25" s="80">
        <f t="shared" si="5"/>
        <v>68089.43299999999</v>
      </c>
      <c r="N25" s="8"/>
      <c r="O25" s="81"/>
    </row>
    <row r="26" spans="1:15">
      <c r="A26" s="55">
        <v>23</v>
      </c>
      <c r="B26" s="266">
        <v>45831</v>
      </c>
      <c r="C26" s="79"/>
      <c r="D26" s="180"/>
      <c r="E26" s="363">
        <v>200</v>
      </c>
      <c r="F26" s="363">
        <v>97.1</v>
      </c>
      <c r="G26" s="8">
        <f t="shared" si="1"/>
        <v>19420</v>
      </c>
      <c r="H26" s="77">
        <v>0</v>
      </c>
      <c r="I26" s="78">
        <v>0</v>
      </c>
      <c r="J26" s="8">
        <f t="shared" si="2"/>
        <v>0</v>
      </c>
      <c r="K26" s="8">
        <f t="shared" si="3"/>
        <v>19420</v>
      </c>
      <c r="L26" s="80">
        <v>0</v>
      </c>
      <c r="M26" s="80">
        <f t="shared" si="5"/>
        <v>87509.43299999999</v>
      </c>
      <c r="N26" s="8"/>
      <c r="O26" s="81"/>
    </row>
    <row r="27" spans="1:15">
      <c r="A27" s="55">
        <v>24</v>
      </c>
      <c r="B27" s="266">
        <v>45832</v>
      </c>
      <c r="C27" s="79"/>
      <c r="D27" s="180"/>
      <c r="E27" s="363">
        <v>190</v>
      </c>
      <c r="F27" s="363">
        <v>97.1</v>
      </c>
      <c r="G27" s="8">
        <f>E27*F27</f>
        <v>18449</v>
      </c>
      <c r="H27" s="77">
        <v>0</v>
      </c>
      <c r="I27" s="78">
        <v>0</v>
      </c>
      <c r="J27" s="8">
        <f t="shared" si="2"/>
        <v>0</v>
      </c>
      <c r="K27" s="8">
        <f t="shared" si="3"/>
        <v>18449</v>
      </c>
      <c r="L27" s="80">
        <v>0</v>
      </c>
      <c r="M27" s="80">
        <f t="shared" si="5"/>
        <v>105958.43299999999</v>
      </c>
      <c r="N27" s="8"/>
      <c r="O27" s="81"/>
    </row>
    <row r="28" spans="1:15">
      <c r="A28" s="268">
        <v>25</v>
      </c>
      <c r="B28" s="266">
        <v>45833</v>
      </c>
      <c r="C28" s="79"/>
      <c r="D28" s="180"/>
      <c r="E28" s="363">
        <v>200</v>
      </c>
      <c r="F28" s="363">
        <v>97.1</v>
      </c>
      <c r="G28" s="8">
        <f t="shared" si="1"/>
        <v>19420</v>
      </c>
      <c r="H28" s="77">
        <v>0</v>
      </c>
      <c r="I28" s="78">
        <v>0</v>
      </c>
      <c r="J28" s="8">
        <f t="shared" si="2"/>
        <v>0</v>
      </c>
      <c r="K28" s="8">
        <f t="shared" si="3"/>
        <v>19420</v>
      </c>
      <c r="L28" s="80">
        <v>0</v>
      </c>
      <c r="M28" s="80">
        <f t="shared" si="5"/>
        <v>125378.43299999999</v>
      </c>
      <c r="N28" s="8"/>
      <c r="O28" s="81"/>
    </row>
    <row r="29" spans="1:15">
      <c r="A29" s="268">
        <v>26</v>
      </c>
      <c r="B29" s="266">
        <v>45834</v>
      </c>
      <c r="C29" s="79"/>
      <c r="D29" s="180"/>
      <c r="E29" s="363">
        <v>0</v>
      </c>
      <c r="F29" s="363">
        <v>97.1</v>
      </c>
      <c r="G29" s="8">
        <f t="shared" si="1"/>
        <v>0</v>
      </c>
      <c r="H29" s="77">
        <v>0</v>
      </c>
      <c r="I29" s="78">
        <v>0</v>
      </c>
      <c r="J29" s="8">
        <f t="shared" si="2"/>
        <v>0</v>
      </c>
      <c r="K29" s="8">
        <f t="shared" si="3"/>
        <v>0</v>
      </c>
      <c r="L29" s="80">
        <v>0</v>
      </c>
      <c r="M29" s="80">
        <f t="shared" si="5"/>
        <v>125378.43299999999</v>
      </c>
      <c r="N29" s="8"/>
      <c r="O29" s="81"/>
    </row>
    <row r="30" spans="1:15">
      <c r="A30" s="268">
        <v>27</v>
      </c>
      <c r="B30" s="266">
        <v>45835</v>
      </c>
      <c r="C30" s="79"/>
      <c r="D30" s="180"/>
      <c r="E30" s="363">
        <v>200</v>
      </c>
      <c r="F30" s="363">
        <v>97.1</v>
      </c>
      <c r="G30" s="8">
        <f t="shared" si="1"/>
        <v>19420</v>
      </c>
      <c r="H30" s="77">
        <v>0</v>
      </c>
      <c r="I30" s="78">
        <v>0</v>
      </c>
      <c r="J30" s="8">
        <f t="shared" si="2"/>
        <v>0</v>
      </c>
      <c r="K30" s="8">
        <f t="shared" si="3"/>
        <v>19420</v>
      </c>
      <c r="L30" s="80">
        <v>0</v>
      </c>
      <c r="M30" s="80">
        <f t="shared" si="5"/>
        <v>144798.43299999999</v>
      </c>
      <c r="N30" s="8"/>
      <c r="O30" s="81"/>
    </row>
    <row r="31" spans="1:15">
      <c r="A31" s="268">
        <v>28</v>
      </c>
      <c r="B31" s="266">
        <v>45836</v>
      </c>
      <c r="C31" s="79"/>
      <c r="D31" s="180"/>
      <c r="E31" s="363">
        <v>49.73</v>
      </c>
      <c r="F31" s="363">
        <v>97.1</v>
      </c>
      <c r="G31" s="8">
        <f t="shared" si="1"/>
        <v>4828.7829999999994</v>
      </c>
      <c r="H31" s="77">
        <v>0</v>
      </c>
      <c r="I31" s="78">
        <v>0</v>
      </c>
      <c r="J31" s="8">
        <f t="shared" si="2"/>
        <v>0</v>
      </c>
      <c r="K31" s="8">
        <f t="shared" si="3"/>
        <v>4828.7829999999994</v>
      </c>
      <c r="L31" s="80">
        <v>0</v>
      </c>
      <c r="M31" s="80">
        <f t="shared" si="5"/>
        <v>149627.21599999999</v>
      </c>
      <c r="N31" s="8"/>
      <c r="O31" s="81"/>
    </row>
    <row r="32" spans="1:15">
      <c r="A32" s="269">
        <v>29</v>
      </c>
      <c r="B32" s="266">
        <v>45837</v>
      </c>
      <c r="C32" s="79"/>
      <c r="D32" s="180"/>
      <c r="E32" s="363">
        <v>0</v>
      </c>
      <c r="F32" s="363">
        <v>0</v>
      </c>
      <c r="G32" s="8">
        <f t="shared" si="1"/>
        <v>0</v>
      </c>
      <c r="H32" s="77">
        <v>0</v>
      </c>
      <c r="I32" s="78">
        <v>0</v>
      </c>
      <c r="J32" s="8">
        <f t="shared" si="2"/>
        <v>0</v>
      </c>
      <c r="K32" s="8">
        <f t="shared" si="3"/>
        <v>0</v>
      </c>
      <c r="L32" s="80">
        <f t="shared" si="4"/>
        <v>0</v>
      </c>
      <c r="M32" s="80">
        <f t="shared" si="5"/>
        <v>149627.21599999999</v>
      </c>
      <c r="N32" s="8"/>
      <c r="O32" s="81"/>
    </row>
    <row r="33" spans="1:15">
      <c r="A33" s="269">
        <v>30</v>
      </c>
      <c r="B33" s="266">
        <v>45838</v>
      </c>
      <c r="C33" s="79"/>
      <c r="D33" s="180"/>
      <c r="E33" s="363">
        <v>200</v>
      </c>
      <c r="F33" s="363">
        <v>97.1</v>
      </c>
      <c r="G33" s="8">
        <f t="shared" si="1"/>
        <v>19420</v>
      </c>
      <c r="H33" s="77">
        <v>0</v>
      </c>
      <c r="I33" s="78">
        <v>0</v>
      </c>
      <c r="J33" s="8">
        <f t="shared" si="2"/>
        <v>0</v>
      </c>
      <c r="K33" s="8">
        <f t="shared" si="3"/>
        <v>19420</v>
      </c>
      <c r="L33" s="80">
        <v>0</v>
      </c>
      <c r="M33" s="80">
        <f t="shared" si="5"/>
        <v>169047.21599999999</v>
      </c>
      <c r="N33" s="8"/>
      <c r="O33" s="81"/>
    </row>
    <row r="34" spans="1:15">
      <c r="A34" s="269">
        <v>31</v>
      </c>
      <c r="B34" s="266"/>
      <c r="C34" s="79"/>
      <c r="D34" s="180"/>
      <c r="E34" s="363">
        <v>0</v>
      </c>
      <c r="F34" s="363">
        <v>0</v>
      </c>
      <c r="G34" s="8">
        <f t="shared" si="1"/>
        <v>0</v>
      </c>
      <c r="H34" s="77">
        <v>0</v>
      </c>
      <c r="I34" s="78">
        <v>0</v>
      </c>
      <c r="J34" s="8">
        <f t="shared" si="2"/>
        <v>0</v>
      </c>
      <c r="K34" s="8">
        <f t="shared" si="3"/>
        <v>0</v>
      </c>
      <c r="L34" s="80">
        <f t="shared" si="4"/>
        <v>0</v>
      </c>
      <c r="M34" s="80">
        <f t="shared" si="5"/>
        <v>169047.21599999999</v>
      </c>
      <c r="N34" s="8"/>
      <c r="O34" s="81"/>
    </row>
    <row r="35" spans="1:15">
      <c r="A35" s="74"/>
      <c r="B35" s="74"/>
      <c r="C35" s="74"/>
      <c r="D35" s="74"/>
      <c r="E35" s="364">
        <f>SUM(E4:E34)</f>
        <v>1740.96</v>
      </c>
      <c r="F35" s="364"/>
      <c r="G35" s="75">
        <f>SUM(G4:G34)</f>
        <v>169047.21599999999</v>
      </c>
      <c r="H35" s="75">
        <f>SUM(H4:H34)</f>
        <v>0</v>
      </c>
      <c r="I35" s="75"/>
      <c r="J35" s="75">
        <f>SUM(J4:J34)</f>
        <v>0</v>
      </c>
      <c r="K35" s="75">
        <f>SUM(K4:K34)</f>
        <v>169047.21599999999</v>
      </c>
      <c r="L35" s="75">
        <f>SUM(L4:L34)</f>
        <v>0</v>
      </c>
      <c r="M35" s="75"/>
      <c r="N35" s="75"/>
      <c r="O35" s="71"/>
    </row>
    <row r="36" spans="1:15">
      <c r="A36" s="85"/>
      <c r="B36" s="86"/>
      <c r="C36" s="85"/>
      <c r="D36" s="85"/>
      <c r="E36" s="87"/>
      <c r="F36" s="87"/>
      <c r="G36" s="87"/>
      <c r="H36" s="87"/>
      <c r="I36" s="87"/>
      <c r="J36" s="88"/>
      <c r="K36" s="88"/>
      <c r="L36" s="88"/>
      <c r="M36" s="88"/>
      <c r="N36" s="87"/>
      <c r="O36" s="81"/>
    </row>
    <row r="37" spans="1:15">
      <c r="O37" s="81"/>
    </row>
    <row r="38" spans="1:15">
      <c r="O38" s="81"/>
    </row>
    <row r="39" spans="1:15">
      <c r="O39" s="81"/>
    </row>
    <row r="40" spans="1:15">
      <c r="O40" s="81"/>
    </row>
    <row r="41" spans="1:15">
      <c r="O41" s="81"/>
    </row>
    <row r="42" spans="1:15">
      <c r="A42" s="81"/>
      <c r="B42" s="71"/>
      <c r="C42" s="81"/>
      <c r="D42" s="81"/>
      <c r="E42" s="81"/>
      <c r="F42" s="81"/>
      <c r="G42" s="89"/>
      <c r="H42" s="81"/>
      <c r="I42" s="81"/>
      <c r="J42" s="71"/>
      <c r="K42" s="71"/>
      <c r="L42" s="71"/>
      <c r="M42" s="71"/>
      <c r="N42" s="81"/>
      <c r="O42" s="87"/>
    </row>
    <row r="43" spans="1:15">
      <c r="A43" s="81"/>
      <c r="B43" s="462"/>
      <c r="C43" s="462"/>
      <c r="D43" s="462"/>
      <c r="E43" s="462"/>
      <c r="F43" s="81"/>
      <c r="G43" s="81"/>
      <c r="H43" s="81"/>
      <c r="I43" s="462"/>
      <c r="J43" s="462"/>
      <c r="K43" s="462"/>
      <c r="L43" s="462"/>
      <c r="M43" s="462"/>
      <c r="N43" s="462"/>
      <c r="O43" s="87"/>
    </row>
    <row r="44" spans="1:15">
      <c r="A44" s="81"/>
      <c r="B44" s="71"/>
      <c r="C44" s="81"/>
      <c r="D44" s="81"/>
      <c r="E44" s="81"/>
      <c r="F44" s="81"/>
      <c r="G44" s="81"/>
      <c r="H44" s="81"/>
      <c r="I44" s="81"/>
      <c r="J44" s="71"/>
      <c r="K44" s="71"/>
      <c r="L44" s="71"/>
      <c r="M44" s="71"/>
      <c r="N44" s="81"/>
      <c r="O44" s="87"/>
    </row>
  </sheetData>
  <mergeCells count="4">
    <mergeCell ref="A1:N1"/>
    <mergeCell ref="A3:L3"/>
    <mergeCell ref="B43:E43"/>
    <mergeCell ref="I43:N43"/>
  </mergeCells>
  <hyperlinks>
    <hyperlink ref="N19" r:id="rId1" xr:uid="{D157A590-9512-4734-821E-E8C1B9243153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79681-750A-402D-B1B7-693CAD315F78}">
  <dimension ref="A1:AH38"/>
  <sheetViews>
    <sheetView workbookViewId="0">
      <pane ySplit="2" topLeftCell="A21" activePane="bottomLeft" state="frozen"/>
      <selection pane="bottomLeft" activeCell="P43" sqref="P43"/>
    </sheetView>
  </sheetViews>
  <sheetFormatPr defaultRowHeight="15"/>
  <cols>
    <col min="1" max="1" width="4.7109375" style="54" bestFit="1" customWidth="1"/>
    <col min="2" max="2" width="10.42578125" style="54" bestFit="1" customWidth="1"/>
    <col min="3" max="3" width="7.140625" style="54" bestFit="1" customWidth="1"/>
    <col min="4" max="4" width="16" style="54" bestFit="1" customWidth="1"/>
    <col min="5" max="5" width="9.7109375" style="54" bestFit="1" customWidth="1"/>
    <col min="6" max="6" width="11.5703125" style="54" bestFit="1" customWidth="1"/>
    <col min="7" max="7" width="11.85546875" style="54" bestFit="1" customWidth="1"/>
    <col min="8" max="8" width="10.42578125" style="54" bestFit="1" customWidth="1"/>
    <col min="9" max="9" width="7.140625" style="54" bestFit="1" customWidth="1"/>
    <col min="10" max="10" width="10.85546875" style="60" bestFit="1" customWidth="1"/>
    <col min="11" max="11" width="11.85546875" style="54" bestFit="1" customWidth="1"/>
    <col min="12" max="12" width="12.42578125" style="60" bestFit="1" customWidth="1"/>
    <col min="13" max="13" width="12.42578125" style="60" customWidth="1"/>
    <col min="14" max="14" width="17.7109375" style="54" bestFit="1" customWidth="1"/>
    <col min="15" max="15" width="9.140625" style="54"/>
    <col min="16" max="16" width="11.85546875" style="54" bestFit="1" customWidth="1"/>
    <col min="17" max="16384" width="9.140625" style="54"/>
  </cols>
  <sheetData>
    <row r="1" spans="1:16">
      <c r="A1" s="444" t="s">
        <v>34</v>
      </c>
      <c r="B1" s="444"/>
      <c r="C1" s="444"/>
      <c r="D1" s="444"/>
      <c r="E1" s="444"/>
      <c r="F1" s="444"/>
      <c r="G1" s="444"/>
      <c r="H1" s="444"/>
      <c r="I1" s="444"/>
      <c r="J1" s="444"/>
      <c r="K1" s="444"/>
      <c r="L1" s="444"/>
      <c r="M1" s="444"/>
      <c r="N1" s="444"/>
    </row>
    <row r="2" spans="1:16">
      <c r="A2" s="100" t="s">
        <v>102</v>
      </c>
      <c r="B2" s="101" t="s">
        <v>103</v>
      </c>
      <c r="C2" s="101" t="s">
        <v>104</v>
      </c>
      <c r="D2" s="101" t="s">
        <v>105</v>
      </c>
      <c r="E2" s="101" t="s">
        <v>106</v>
      </c>
      <c r="F2" s="101" t="s">
        <v>107</v>
      </c>
      <c r="G2" s="101" t="s">
        <v>108</v>
      </c>
      <c r="H2" s="101" t="s">
        <v>109</v>
      </c>
      <c r="I2" s="101" t="s">
        <v>107</v>
      </c>
      <c r="J2" s="127" t="s">
        <v>108</v>
      </c>
      <c r="K2" s="101" t="s">
        <v>110</v>
      </c>
      <c r="L2" s="127" t="s">
        <v>111</v>
      </c>
      <c r="M2" s="126" t="s">
        <v>149</v>
      </c>
      <c r="N2" s="102" t="s">
        <v>113</v>
      </c>
      <c r="O2" s="35"/>
    </row>
    <row r="3" spans="1:16">
      <c r="A3" s="445" t="s">
        <v>114</v>
      </c>
      <c r="B3" s="446"/>
      <c r="C3" s="446"/>
      <c r="D3" s="446"/>
      <c r="E3" s="446"/>
      <c r="F3" s="446"/>
      <c r="G3" s="446"/>
      <c r="H3" s="446"/>
      <c r="I3" s="446"/>
      <c r="J3" s="447"/>
      <c r="K3" s="31">
        <v>71933.179413800099</v>
      </c>
      <c r="L3" s="55"/>
      <c r="M3" s="128">
        <f>+K3</f>
        <v>71933.179413800099</v>
      </c>
      <c r="N3" s="55"/>
      <c r="O3" s="35"/>
      <c r="P3" s="58"/>
    </row>
    <row r="4" spans="1:16">
      <c r="A4" s="28">
        <v>1</v>
      </c>
      <c r="B4" s="29">
        <v>45809</v>
      </c>
      <c r="C4" s="56" t="s">
        <v>152</v>
      </c>
      <c r="D4" s="57" t="s">
        <v>152</v>
      </c>
      <c r="E4" s="56">
        <v>0</v>
      </c>
      <c r="F4" s="56"/>
      <c r="G4" s="55">
        <f t="shared" ref="G4" si="0">E4*F4</f>
        <v>0</v>
      </c>
      <c r="H4" s="56">
        <v>0</v>
      </c>
      <c r="I4" s="56"/>
      <c r="J4" s="58">
        <f t="shared" ref="J4" si="1">H4*I4</f>
        <v>0</v>
      </c>
      <c r="K4" s="55">
        <f t="shared" ref="K4" si="2">G4+J4</f>
        <v>0</v>
      </c>
      <c r="L4" s="123"/>
      <c r="M4" s="58">
        <f>M3+K4-L4</f>
        <v>71933.179413800099</v>
      </c>
      <c r="N4" s="118"/>
    </row>
    <row r="5" spans="1:16">
      <c r="A5" s="28">
        <v>2</v>
      </c>
      <c r="B5" s="29">
        <v>45810</v>
      </c>
      <c r="C5" s="56" t="s">
        <v>152</v>
      </c>
      <c r="D5" s="57" t="s">
        <v>152</v>
      </c>
      <c r="E5" s="56">
        <v>0</v>
      </c>
      <c r="F5" s="56"/>
      <c r="G5" s="55">
        <f t="shared" ref="G5:G35" si="3">E5*F5</f>
        <v>0</v>
      </c>
      <c r="H5" s="56">
        <v>0</v>
      </c>
      <c r="I5" s="56"/>
      <c r="J5" s="58">
        <f t="shared" ref="J5:J35" si="4">H5*I5</f>
        <v>0</v>
      </c>
      <c r="K5" s="55">
        <f t="shared" ref="K5:K35" si="5">G5+J5</f>
        <v>0</v>
      </c>
      <c r="L5" s="123"/>
      <c r="M5" s="58">
        <f t="shared" ref="M5:M35" si="6">M4+K5-L5</f>
        <v>71933.179413800099</v>
      </c>
      <c r="N5" s="118"/>
    </row>
    <row r="6" spans="1:16">
      <c r="A6" s="28">
        <v>3</v>
      </c>
      <c r="B6" s="29">
        <v>45811</v>
      </c>
      <c r="C6" s="56" t="s">
        <v>152</v>
      </c>
      <c r="D6" s="57" t="s">
        <v>152</v>
      </c>
      <c r="E6" s="56">
        <v>2400</v>
      </c>
      <c r="F6" s="56">
        <v>91.3</v>
      </c>
      <c r="G6" s="55">
        <f t="shared" si="3"/>
        <v>219120</v>
      </c>
      <c r="H6" s="56">
        <v>105</v>
      </c>
      <c r="I6" s="56">
        <v>103.24</v>
      </c>
      <c r="J6" s="58">
        <f t="shared" si="4"/>
        <v>10840.199999999999</v>
      </c>
      <c r="K6" s="55">
        <f t="shared" si="5"/>
        <v>229960.2</v>
      </c>
      <c r="L6" s="123"/>
      <c r="M6" s="58">
        <f t="shared" si="6"/>
        <v>301893.37941380008</v>
      </c>
      <c r="N6" s="125"/>
    </row>
    <row r="7" spans="1:16">
      <c r="A7" s="28">
        <v>4</v>
      </c>
      <c r="B7" s="29">
        <v>45812</v>
      </c>
      <c r="C7" s="56" t="s">
        <v>152</v>
      </c>
      <c r="D7" s="57" t="s">
        <v>152</v>
      </c>
      <c r="E7" s="56">
        <v>0</v>
      </c>
      <c r="F7" s="56"/>
      <c r="G7" s="55">
        <f t="shared" si="3"/>
        <v>0</v>
      </c>
      <c r="H7" s="56">
        <v>0</v>
      </c>
      <c r="I7" s="56"/>
      <c r="J7" s="58">
        <f t="shared" si="4"/>
        <v>0</v>
      </c>
      <c r="K7" s="55">
        <f t="shared" si="5"/>
        <v>0</v>
      </c>
      <c r="L7" s="123"/>
      <c r="M7" s="58">
        <f t="shared" si="6"/>
        <v>301893.37941380008</v>
      </c>
      <c r="N7" s="125"/>
    </row>
    <row r="8" spans="1:16">
      <c r="A8" s="28">
        <v>5</v>
      </c>
      <c r="B8" s="29">
        <v>45813</v>
      </c>
      <c r="C8" s="56" t="s">
        <v>152</v>
      </c>
      <c r="D8" s="57" t="s">
        <v>152</v>
      </c>
      <c r="E8" s="56">
        <v>0</v>
      </c>
      <c r="F8" s="56"/>
      <c r="G8" s="55">
        <f t="shared" si="3"/>
        <v>0</v>
      </c>
      <c r="H8" s="56">
        <v>0</v>
      </c>
      <c r="I8" s="56"/>
      <c r="J8" s="58">
        <f t="shared" si="4"/>
        <v>0</v>
      </c>
      <c r="K8" s="55">
        <f t="shared" si="5"/>
        <v>0</v>
      </c>
      <c r="L8" s="123">
        <v>301800</v>
      </c>
      <c r="M8" s="58">
        <f t="shared" si="6"/>
        <v>93.379413800081238</v>
      </c>
      <c r="N8" s="118"/>
    </row>
    <row r="9" spans="1:16">
      <c r="A9" s="28">
        <v>6</v>
      </c>
      <c r="B9" s="29">
        <v>45814</v>
      </c>
      <c r="C9" s="56" t="s">
        <v>152</v>
      </c>
      <c r="D9" s="57" t="s">
        <v>152</v>
      </c>
      <c r="E9" s="56">
        <v>0</v>
      </c>
      <c r="F9" s="56"/>
      <c r="G9" s="55">
        <f t="shared" si="3"/>
        <v>0</v>
      </c>
      <c r="H9" s="56">
        <v>105</v>
      </c>
      <c r="I9" s="56">
        <v>103.24</v>
      </c>
      <c r="J9" s="58">
        <f t="shared" si="4"/>
        <v>10840.199999999999</v>
      </c>
      <c r="K9" s="55">
        <f t="shared" si="5"/>
        <v>10840.199999999999</v>
      </c>
      <c r="L9" s="123"/>
      <c r="M9" s="58">
        <f t="shared" si="6"/>
        <v>10933.57941380008</v>
      </c>
      <c r="N9" s="125"/>
    </row>
    <row r="10" spans="1:16">
      <c r="A10" s="28">
        <v>7</v>
      </c>
      <c r="B10" s="29">
        <v>45815</v>
      </c>
      <c r="C10" s="56" t="s">
        <v>152</v>
      </c>
      <c r="D10" s="57" t="s">
        <v>152</v>
      </c>
      <c r="E10" s="56">
        <v>0</v>
      </c>
      <c r="F10" s="56"/>
      <c r="G10" s="55">
        <f t="shared" si="3"/>
        <v>0</v>
      </c>
      <c r="H10" s="56">
        <v>0</v>
      </c>
      <c r="I10" s="56"/>
      <c r="J10" s="58">
        <f t="shared" si="4"/>
        <v>0</v>
      </c>
      <c r="K10" s="55">
        <f t="shared" si="5"/>
        <v>0</v>
      </c>
      <c r="L10" s="123"/>
      <c r="M10" s="58">
        <f t="shared" si="6"/>
        <v>10933.57941380008</v>
      </c>
      <c r="N10" s="118"/>
    </row>
    <row r="11" spans="1:16">
      <c r="A11" s="28">
        <v>8</v>
      </c>
      <c r="B11" s="29">
        <v>45816</v>
      </c>
      <c r="C11" s="56" t="s">
        <v>152</v>
      </c>
      <c r="D11" s="57" t="s">
        <v>152</v>
      </c>
      <c r="E11" s="56">
        <v>0</v>
      </c>
      <c r="F11" s="56"/>
      <c r="G11" s="55">
        <f t="shared" si="3"/>
        <v>0</v>
      </c>
      <c r="H11" s="56">
        <v>0</v>
      </c>
      <c r="I11" s="56"/>
      <c r="J11" s="58">
        <f t="shared" si="4"/>
        <v>0</v>
      </c>
      <c r="K11" s="55">
        <f t="shared" si="5"/>
        <v>0</v>
      </c>
      <c r="L11" s="123"/>
      <c r="M11" s="58">
        <f t="shared" si="6"/>
        <v>10933.57941380008</v>
      </c>
      <c r="N11" s="124"/>
    </row>
    <row r="12" spans="1:16">
      <c r="A12" s="28">
        <v>9</v>
      </c>
      <c r="B12" s="29">
        <v>45817</v>
      </c>
      <c r="C12" s="56" t="s">
        <v>152</v>
      </c>
      <c r="D12" s="57" t="s">
        <v>152</v>
      </c>
      <c r="E12" s="56">
        <v>200</v>
      </c>
      <c r="F12" s="56">
        <v>91.3</v>
      </c>
      <c r="G12" s="55">
        <f t="shared" si="3"/>
        <v>18260</v>
      </c>
      <c r="H12" s="56">
        <v>0</v>
      </c>
      <c r="I12" s="56"/>
      <c r="J12" s="58">
        <f>H12*I12</f>
        <v>0</v>
      </c>
      <c r="K12" s="55">
        <f>G12+J12</f>
        <v>18260</v>
      </c>
      <c r="L12" s="123"/>
      <c r="M12" s="58">
        <f t="shared" si="6"/>
        <v>29193.579413800078</v>
      </c>
      <c r="N12" s="118"/>
    </row>
    <row r="13" spans="1:16">
      <c r="A13" s="28">
        <v>10</v>
      </c>
      <c r="B13" s="29">
        <v>45818</v>
      </c>
      <c r="C13" s="56" t="s">
        <v>152</v>
      </c>
      <c r="D13" s="57" t="s">
        <v>152</v>
      </c>
      <c r="E13" s="56">
        <v>200</v>
      </c>
      <c r="F13" s="56">
        <v>91.3</v>
      </c>
      <c r="G13" s="55">
        <f t="shared" si="3"/>
        <v>18260</v>
      </c>
      <c r="H13" s="56">
        <v>0</v>
      </c>
      <c r="I13" s="56"/>
      <c r="J13" s="58">
        <f t="shared" si="4"/>
        <v>0</v>
      </c>
      <c r="K13" s="55">
        <f t="shared" si="5"/>
        <v>18260</v>
      </c>
      <c r="L13" s="123"/>
      <c r="M13" s="58">
        <f t="shared" si="6"/>
        <v>47453.579413800078</v>
      </c>
      <c r="N13" s="118"/>
    </row>
    <row r="14" spans="1:16">
      <c r="A14" s="28">
        <v>11</v>
      </c>
      <c r="B14" s="29">
        <v>45819</v>
      </c>
      <c r="C14" s="56" t="s">
        <v>152</v>
      </c>
      <c r="D14" s="57" t="s">
        <v>152</v>
      </c>
      <c r="E14" s="56">
        <v>0</v>
      </c>
      <c r="F14" s="56"/>
      <c r="G14" s="55">
        <f t="shared" si="3"/>
        <v>0</v>
      </c>
      <c r="H14" s="56">
        <v>0</v>
      </c>
      <c r="I14" s="56"/>
      <c r="J14" s="58">
        <f t="shared" si="4"/>
        <v>0</v>
      </c>
      <c r="K14" s="55">
        <f t="shared" si="5"/>
        <v>0</v>
      </c>
      <c r="L14" s="123"/>
      <c r="M14" s="58">
        <f t="shared" si="6"/>
        <v>47453.579413800078</v>
      </c>
      <c r="N14" s="118"/>
    </row>
    <row r="15" spans="1:16">
      <c r="A15" s="28">
        <v>12</v>
      </c>
      <c r="B15" s="29">
        <v>45820</v>
      </c>
      <c r="C15" s="56" t="s">
        <v>152</v>
      </c>
      <c r="D15" s="57" t="s">
        <v>152</v>
      </c>
      <c r="E15" s="56">
        <v>2400</v>
      </c>
      <c r="F15" s="56">
        <v>91.3</v>
      </c>
      <c r="G15" s="55">
        <f t="shared" si="3"/>
        <v>219120</v>
      </c>
      <c r="H15" s="56">
        <v>105</v>
      </c>
      <c r="I15" s="56">
        <v>103.24</v>
      </c>
      <c r="J15" s="58">
        <f t="shared" si="4"/>
        <v>10840.199999999999</v>
      </c>
      <c r="K15" s="55">
        <f t="shared" si="5"/>
        <v>229960.2</v>
      </c>
      <c r="L15" s="123"/>
      <c r="M15" s="58">
        <f t="shared" si="6"/>
        <v>277413.7794138001</v>
      </c>
      <c r="N15" s="118"/>
    </row>
    <row r="16" spans="1:16">
      <c r="A16" s="28">
        <v>13</v>
      </c>
      <c r="B16" s="29">
        <v>45821</v>
      </c>
      <c r="C16" s="56" t="s">
        <v>152</v>
      </c>
      <c r="D16" s="57" t="s">
        <v>152</v>
      </c>
      <c r="E16" s="56">
        <v>0</v>
      </c>
      <c r="F16" s="56"/>
      <c r="G16" s="55">
        <f t="shared" si="3"/>
        <v>0</v>
      </c>
      <c r="H16" s="56">
        <v>0</v>
      </c>
      <c r="I16" s="56"/>
      <c r="J16" s="58">
        <f t="shared" si="4"/>
        <v>0</v>
      </c>
      <c r="K16" s="55">
        <f t="shared" si="5"/>
        <v>0</v>
      </c>
      <c r="L16" s="123"/>
      <c r="M16" s="58">
        <f t="shared" si="6"/>
        <v>277413.7794138001</v>
      </c>
      <c r="N16" s="118"/>
    </row>
    <row r="17" spans="1:14">
      <c r="A17" s="28">
        <v>14</v>
      </c>
      <c r="B17" s="29">
        <v>45822</v>
      </c>
      <c r="C17" s="56" t="s">
        <v>152</v>
      </c>
      <c r="D17" s="57" t="s">
        <v>152</v>
      </c>
      <c r="E17" s="56">
        <v>0</v>
      </c>
      <c r="F17" s="56"/>
      <c r="G17" s="55">
        <f t="shared" si="3"/>
        <v>0</v>
      </c>
      <c r="H17" s="56">
        <v>0</v>
      </c>
      <c r="I17" s="56"/>
      <c r="J17" s="58">
        <f t="shared" si="4"/>
        <v>0</v>
      </c>
      <c r="K17" s="55">
        <f t="shared" si="5"/>
        <v>0</v>
      </c>
      <c r="L17" s="123"/>
      <c r="M17" s="58">
        <f t="shared" si="6"/>
        <v>277413.7794138001</v>
      </c>
      <c r="N17" s="118"/>
    </row>
    <row r="18" spans="1:14">
      <c r="A18" s="28">
        <v>15</v>
      </c>
      <c r="B18" s="29">
        <v>45823</v>
      </c>
      <c r="C18" s="56" t="s">
        <v>152</v>
      </c>
      <c r="D18" s="57" t="s">
        <v>152</v>
      </c>
      <c r="E18" s="56">
        <v>0</v>
      </c>
      <c r="F18" s="56"/>
      <c r="G18" s="55">
        <f t="shared" si="3"/>
        <v>0</v>
      </c>
      <c r="H18" s="56">
        <v>0</v>
      </c>
      <c r="I18" s="56"/>
      <c r="J18" s="58">
        <f t="shared" si="4"/>
        <v>0</v>
      </c>
      <c r="K18" s="55">
        <f t="shared" si="5"/>
        <v>0</v>
      </c>
      <c r="L18" s="123"/>
      <c r="M18" s="58">
        <f t="shared" si="6"/>
        <v>277413.7794138001</v>
      </c>
      <c r="N18" s="118"/>
    </row>
    <row r="19" spans="1:14">
      <c r="A19" s="28">
        <v>16</v>
      </c>
      <c r="B19" s="29">
        <v>45824</v>
      </c>
      <c r="C19" s="56" t="s">
        <v>152</v>
      </c>
      <c r="D19" s="57" t="s">
        <v>152</v>
      </c>
      <c r="E19" s="56">
        <v>0</v>
      </c>
      <c r="F19" s="56"/>
      <c r="G19" s="55">
        <f t="shared" si="3"/>
        <v>0</v>
      </c>
      <c r="H19" s="56">
        <v>0</v>
      </c>
      <c r="I19" s="56"/>
      <c r="J19" s="58">
        <f t="shared" si="4"/>
        <v>0</v>
      </c>
      <c r="K19" s="55">
        <f t="shared" si="5"/>
        <v>0</v>
      </c>
      <c r="L19" s="123"/>
      <c r="M19" s="58">
        <f t="shared" si="6"/>
        <v>277413.7794138001</v>
      </c>
      <c r="N19" s="118"/>
    </row>
    <row r="20" spans="1:14">
      <c r="A20" s="28">
        <v>17</v>
      </c>
      <c r="B20" s="29">
        <v>45825</v>
      </c>
      <c r="C20" s="56" t="s">
        <v>152</v>
      </c>
      <c r="D20" s="57" t="s">
        <v>152</v>
      </c>
      <c r="E20" s="56">
        <v>0</v>
      </c>
      <c r="F20" s="56"/>
      <c r="G20" s="55">
        <f t="shared" si="3"/>
        <v>0</v>
      </c>
      <c r="H20" s="56">
        <v>0</v>
      </c>
      <c r="I20" s="56"/>
      <c r="J20" s="58">
        <f t="shared" si="4"/>
        <v>0</v>
      </c>
      <c r="K20" s="55">
        <f t="shared" si="5"/>
        <v>0</v>
      </c>
      <c r="L20" s="123"/>
      <c r="M20" s="58">
        <f t="shared" si="6"/>
        <v>277413.7794138001</v>
      </c>
      <c r="N20" s="118"/>
    </row>
    <row r="21" spans="1:14">
      <c r="A21" s="28">
        <v>18</v>
      </c>
      <c r="B21" s="29">
        <v>45826</v>
      </c>
      <c r="C21" s="56" t="s">
        <v>152</v>
      </c>
      <c r="D21" s="57" t="s">
        <v>152</v>
      </c>
      <c r="E21" s="56">
        <v>0</v>
      </c>
      <c r="F21" s="56"/>
      <c r="G21" s="55">
        <f t="shared" si="3"/>
        <v>0</v>
      </c>
      <c r="H21" s="56">
        <v>105</v>
      </c>
      <c r="I21" s="56">
        <v>103.24</v>
      </c>
      <c r="J21" s="58">
        <f t="shared" si="4"/>
        <v>10840.199999999999</v>
      </c>
      <c r="K21" s="55">
        <f t="shared" si="5"/>
        <v>10840.199999999999</v>
      </c>
      <c r="L21" s="123"/>
      <c r="M21" s="58">
        <f t="shared" si="6"/>
        <v>288253.97941380012</v>
      </c>
      <c r="N21" s="118"/>
    </row>
    <row r="22" spans="1:14">
      <c r="A22" s="28">
        <v>19</v>
      </c>
      <c r="B22" s="29">
        <v>45827</v>
      </c>
      <c r="C22" s="56" t="s">
        <v>152</v>
      </c>
      <c r="D22" s="57" t="s">
        <v>152</v>
      </c>
      <c r="E22" s="56">
        <v>0</v>
      </c>
      <c r="F22" s="56"/>
      <c r="G22" s="55">
        <f t="shared" si="3"/>
        <v>0</v>
      </c>
      <c r="H22" s="56">
        <v>0</v>
      </c>
      <c r="I22" s="56"/>
      <c r="J22" s="58">
        <f t="shared" si="4"/>
        <v>0</v>
      </c>
      <c r="K22" s="55">
        <f t="shared" si="5"/>
        <v>0</v>
      </c>
      <c r="L22" s="123"/>
      <c r="M22" s="58">
        <f t="shared" si="6"/>
        <v>288253.97941380012</v>
      </c>
      <c r="N22" s="118"/>
    </row>
    <row r="23" spans="1:14">
      <c r="A23" s="28">
        <v>20</v>
      </c>
      <c r="B23" s="29">
        <v>45828</v>
      </c>
      <c r="C23" s="56" t="s">
        <v>152</v>
      </c>
      <c r="D23" s="57" t="s">
        <v>152</v>
      </c>
      <c r="E23" s="56">
        <v>300</v>
      </c>
      <c r="F23" s="56">
        <v>91.3</v>
      </c>
      <c r="G23" s="55">
        <f t="shared" si="3"/>
        <v>27390</v>
      </c>
      <c r="H23" s="56">
        <v>0</v>
      </c>
      <c r="I23" s="56"/>
      <c r="J23" s="58">
        <f t="shared" si="4"/>
        <v>0</v>
      </c>
      <c r="K23" s="55">
        <f t="shared" si="5"/>
        <v>27390</v>
      </c>
      <c r="L23" s="123"/>
      <c r="M23" s="58">
        <f t="shared" si="6"/>
        <v>315643.97941380012</v>
      </c>
      <c r="N23" s="118"/>
    </row>
    <row r="24" spans="1:14">
      <c r="A24" s="28">
        <v>21</v>
      </c>
      <c r="B24" s="29">
        <v>45829</v>
      </c>
      <c r="C24" s="56" t="s">
        <v>152</v>
      </c>
      <c r="D24" s="57" t="s">
        <v>152</v>
      </c>
      <c r="E24" s="56">
        <v>1200</v>
      </c>
      <c r="F24" s="56">
        <v>91.3</v>
      </c>
      <c r="G24" s="55">
        <f t="shared" si="3"/>
        <v>109560</v>
      </c>
      <c r="H24" s="56">
        <v>0</v>
      </c>
      <c r="I24" s="56"/>
      <c r="J24" s="58">
        <f t="shared" si="4"/>
        <v>0</v>
      </c>
      <c r="K24" s="55">
        <f t="shared" si="5"/>
        <v>109560</v>
      </c>
      <c r="L24" s="123"/>
      <c r="M24" s="58">
        <f t="shared" si="6"/>
        <v>425203.97941380012</v>
      </c>
      <c r="N24" s="118"/>
    </row>
    <row r="25" spans="1:14">
      <c r="A25" s="28">
        <v>22</v>
      </c>
      <c r="B25" s="29">
        <v>45830</v>
      </c>
      <c r="C25" s="56" t="s">
        <v>152</v>
      </c>
      <c r="D25" s="57" t="s">
        <v>152</v>
      </c>
      <c r="E25" s="56">
        <v>0</v>
      </c>
      <c r="F25" s="56"/>
      <c r="G25" s="55">
        <f t="shared" si="3"/>
        <v>0</v>
      </c>
      <c r="H25" s="56">
        <v>0</v>
      </c>
      <c r="I25" s="56"/>
      <c r="J25" s="58">
        <f t="shared" si="4"/>
        <v>0</v>
      </c>
      <c r="K25" s="55">
        <f t="shared" si="5"/>
        <v>0</v>
      </c>
      <c r="L25" s="123"/>
      <c r="M25" s="58">
        <f t="shared" si="6"/>
        <v>425203.97941380012</v>
      </c>
      <c r="N25" s="118"/>
    </row>
    <row r="26" spans="1:14">
      <c r="A26" s="28">
        <v>23</v>
      </c>
      <c r="B26" s="29">
        <v>45831</v>
      </c>
      <c r="C26" s="56" t="s">
        <v>152</v>
      </c>
      <c r="D26" s="57" t="s">
        <v>152</v>
      </c>
      <c r="E26" s="56">
        <v>0</v>
      </c>
      <c r="F26" s="56"/>
      <c r="G26" s="55">
        <f t="shared" si="3"/>
        <v>0</v>
      </c>
      <c r="H26" s="56">
        <v>0</v>
      </c>
      <c r="I26" s="56"/>
      <c r="J26" s="58">
        <f t="shared" si="4"/>
        <v>0</v>
      </c>
      <c r="K26" s="55">
        <f t="shared" si="5"/>
        <v>0</v>
      </c>
      <c r="L26" s="123"/>
      <c r="M26" s="58">
        <f t="shared" si="6"/>
        <v>425203.97941380012</v>
      </c>
      <c r="N26" s="118"/>
    </row>
    <row r="27" spans="1:14">
      <c r="A27" s="28">
        <v>24</v>
      </c>
      <c r="B27" s="29">
        <v>45832</v>
      </c>
      <c r="C27" s="56" t="s">
        <v>152</v>
      </c>
      <c r="D27" s="57" t="s">
        <v>152</v>
      </c>
      <c r="E27" s="56">
        <v>0</v>
      </c>
      <c r="F27" s="56"/>
      <c r="G27" s="55">
        <f t="shared" si="3"/>
        <v>0</v>
      </c>
      <c r="H27" s="56">
        <v>105</v>
      </c>
      <c r="I27" s="56">
        <v>103.24</v>
      </c>
      <c r="J27" s="58">
        <f t="shared" si="4"/>
        <v>10840.199999999999</v>
      </c>
      <c r="K27" s="55">
        <f t="shared" si="5"/>
        <v>10840.199999999999</v>
      </c>
      <c r="L27" s="123"/>
      <c r="M27" s="58">
        <f t="shared" si="6"/>
        <v>436044.17941380013</v>
      </c>
      <c r="N27" s="118"/>
    </row>
    <row r="28" spans="1:14">
      <c r="A28" s="28">
        <v>25</v>
      </c>
      <c r="B28" s="29">
        <v>45833</v>
      </c>
      <c r="C28" s="56"/>
      <c r="D28" s="57"/>
      <c r="E28" s="56">
        <v>500</v>
      </c>
      <c r="F28" s="56">
        <v>91.3</v>
      </c>
      <c r="G28" s="55">
        <f t="shared" si="3"/>
        <v>45650</v>
      </c>
      <c r="H28" s="56">
        <v>0</v>
      </c>
      <c r="I28" s="56"/>
      <c r="J28" s="58">
        <f t="shared" si="4"/>
        <v>0</v>
      </c>
      <c r="K28" s="55">
        <f t="shared" si="5"/>
        <v>45650</v>
      </c>
      <c r="L28" s="123">
        <v>100000</v>
      </c>
      <c r="M28" s="58">
        <f t="shared" si="6"/>
        <v>381694.17941380013</v>
      </c>
      <c r="N28" s="118"/>
    </row>
    <row r="29" spans="1:14">
      <c r="A29" s="28">
        <v>26</v>
      </c>
      <c r="B29" s="29">
        <v>45834</v>
      </c>
      <c r="C29" s="56" t="s">
        <v>152</v>
      </c>
      <c r="D29" s="57" t="s">
        <v>152</v>
      </c>
      <c r="E29" s="56">
        <v>1200</v>
      </c>
      <c r="F29" s="56">
        <v>91.3</v>
      </c>
      <c r="G29" s="55">
        <f t="shared" si="3"/>
        <v>109560</v>
      </c>
      <c r="H29" s="56">
        <v>0</v>
      </c>
      <c r="I29" s="56"/>
      <c r="J29" s="58">
        <f t="shared" si="4"/>
        <v>0</v>
      </c>
      <c r="K29" s="55">
        <f t="shared" si="5"/>
        <v>109560</v>
      </c>
      <c r="L29" s="123"/>
      <c r="M29" s="58">
        <f t="shared" si="6"/>
        <v>491254.17941380013</v>
      </c>
      <c r="N29" s="118"/>
    </row>
    <row r="30" spans="1:14">
      <c r="A30" s="28">
        <v>27</v>
      </c>
      <c r="B30" s="29">
        <v>45835</v>
      </c>
      <c r="C30" s="56" t="s">
        <v>152</v>
      </c>
      <c r="D30" s="57" t="s">
        <v>152</v>
      </c>
      <c r="E30" s="56">
        <v>0</v>
      </c>
      <c r="F30" s="56"/>
      <c r="G30" s="55">
        <f t="shared" si="3"/>
        <v>0</v>
      </c>
      <c r="H30" s="56">
        <v>70</v>
      </c>
      <c r="I30" s="56">
        <v>103.24</v>
      </c>
      <c r="J30" s="58">
        <f t="shared" si="4"/>
        <v>7226.7999999999993</v>
      </c>
      <c r="K30" s="55">
        <f t="shared" si="5"/>
        <v>7226.7999999999993</v>
      </c>
      <c r="L30" s="123">
        <v>450000</v>
      </c>
      <c r="M30" s="58">
        <f t="shared" si="6"/>
        <v>48480.979413800116</v>
      </c>
      <c r="N30" s="118"/>
    </row>
    <row r="31" spans="1:14">
      <c r="A31" s="28">
        <v>28</v>
      </c>
      <c r="B31" s="29">
        <v>45836</v>
      </c>
      <c r="C31" s="56" t="s">
        <v>152</v>
      </c>
      <c r="D31" s="57" t="s">
        <v>152</v>
      </c>
      <c r="E31" s="56">
        <v>0</v>
      </c>
      <c r="F31" s="56"/>
      <c r="G31" s="55">
        <f t="shared" si="3"/>
        <v>0</v>
      </c>
      <c r="H31" s="56">
        <v>0</v>
      </c>
      <c r="I31" s="56"/>
      <c r="J31" s="58">
        <f t="shared" si="4"/>
        <v>0</v>
      </c>
      <c r="K31" s="55">
        <f t="shared" si="5"/>
        <v>0</v>
      </c>
      <c r="L31" s="123"/>
      <c r="M31" s="58">
        <f t="shared" si="6"/>
        <v>48480.979413800116</v>
      </c>
      <c r="N31" s="118"/>
    </row>
    <row r="32" spans="1:14">
      <c r="A32" s="28">
        <v>29</v>
      </c>
      <c r="B32" s="29">
        <v>45837</v>
      </c>
      <c r="C32" s="55"/>
      <c r="D32" s="57" t="s">
        <v>152</v>
      </c>
      <c r="E32" s="56">
        <v>0</v>
      </c>
      <c r="F32" s="56"/>
      <c r="G32" s="55">
        <f t="shared" si="3"/>
        <v>0</v>
      </c>
      <c r="H32" s="56">
        <v>0</v>
      </c>
      <c r="I32" s="56"/>
      <c r="J32" s="58">
        <f t="shared" si="4"/>
        <v>0</v>
      </c>
      <c r="K32" s="55">
        <f t="shared" si="5"/>
        <v>0</v>
      </c>
      <c r="L32" s="123"/>
      <c r="M32" s="58">
        <f t="shared" si="6"/>
        <v>48480.979413800116</v>
      </c>
      <c r="N32" s="118"/>
    </row>
    <row r="33" spans="1:34">
      <c r="A33" s="28">
        <v>30</v>
      </c>
      <c r="B33" s="29">
        <v>45838</v>
      </c>
      <c r="C33" s="55"/>
      <c r="D33" s="57" t="s">
        <v>152</v>
      </c>
      <c r="E33" s="56">
        <v>0</v>
      </c>
      <c r="F33" s="56"/>
      <c r="G33" s="55">
        <f t="shared" si="3"/>
        <v>0</v>
      </c>
      <c r="H33" s="56">
        <v>0</v>
      </c>
      <c r="I33" s="56"/>
      <c r="J33" s="58">
        <f t="shared" si="4"/>
        <v>0</v>
      </c>
      <c r="K33" s="55">
        <f t="shared" si="5"/>
        <v>0</v>
      </c>
      <c r="L33" s="123"/>
      <c r="M33" s="58">
        <f t="shared" si="6"/>
        <v>48480.979413800116</v>
      </c>
      <c r="N33" s="118"/>
    </row>
    <row r="34" spans="1:34">
      <c r="A34" s="28">
        <v>31</v>
      </c>
      <c r="B34" s="29"/>
      <c r="C34" s="55"/>
      <c r="D34" s="57" t="s">
        <v>152</v>
      </c>
      <c r="E34" s="56">
        <v>0</v>
      </c>
      <c r="F34" s="56"/>
      <c r="G34" s="55">
        <f t="shared" si="3"/>
        <v>0</v>
      </c>
      <c r="H34" s="56">
        <v>0</v>
      </c>
      <c r="I34" s="56"/>
      <c r="J34" s="58">
        <f t="shared" si="4"/>
        <v>0</v>
      </c>
      <c r="K34" s="55">
        <f t="shared" si="5"/>
        <v>0</v>
      </c>
      <c r="L34" s="123"/>
      <c r="M34" s="58">
        <f t="shared" si="6"/>
        <v>48480.979413800116</v>
      </c>
      <c r="N34" s="118"/>
    </row>
    <row r="35" spans="1:34">
      <c r="A35" s="28">
        <v>32</v>
      </c>
      <c r="B35" s="29"/>
      <c r="C35" s="55"/>
      <c r="D35" s="57" t="s">
        <v>152</v>
      </c>
      <c r="E35" s="56">
        <v>0</v>
      </c>
      <c r="F35" s="56"/>
      <c r="G35" s="55">
        <f t="shared" si="3"/>
        <v>0</v>
      </c>
      <c r="H35" s="56">
        <v>0</v>
      </c>
      <c r="I35" s="56"/>
      <c r="J35" s="58">
        <f t="shared" si="4"/>
        <v>0</v>
      </c>
      <c r="K35" s="55">
        <f t="shared" si="5"/>
        <v>0</v>
      </c>
      <c r="L35" s="123"/>
      <c r="M35" s="58">
        <f t="shared" si="6"/>
        <v>48480.979413800116</v>
      </c>
      <c r="N35" s="118"/>
    </row>
    <row r="36" spans="1:34">
      <c r="A36" s="51"/>
      <c r="B36" s="51"/>
      <c r="C36" s="51"/>
      <c r="D36" s="51"/>
      <c r="E36" s="52">
        <f>SUM(E4:E35)</f>
        <v>8400</v>
      </c>
      <c r="F36" s="52"/>
      <c r="G36" s="52">
        <f>SUM(G4:G35)</f>
        <v>766920</v>
      </c>
      <c r="H36" s="52">
        <f>SUM(H4:H35)</f>
        <v>595</v>
      </c>
      <c r="I36" s="52"/>
      <c r="J36" s="52">
        <f>SUM(J4:J35)</f>
        <v>61427.799999999988</v>
      </c>
      <c r="K36" s="52">
        <f>SUM(K4:K35)</f>
        <v>828347.8</v>
      </c>
      <c r="L36" s="52">
        <f>SUM(L4:L35)</f>
        <v>851800</v>
      </c>
      <c r="M36" s="52"/>
      <c r="N36" s="52"/>
      <c r="O36" s="35"/>
    </row>
    <row r="37" spans="1:34" s="59" customFormat="1" ht="20.25" customHeight="1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  <c r="AE37" s="54"/>
      <c r="AF37" s="54"/>
      <c r="AG37" s="54"/>
      <c r="AH37" s="54"/>
    </row>
    <row r="38" spans="1:34">
      <c r="J38" s="54"/>
      <c r="L38" s="54"/>
      <c r="M38" s="54"/>
    </row>
  </sheetData>
  <mergeCells count="2">
    <mergeCell ref="A1:N1"/>
    <mergeCell ref="A3:J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8"/>
  <sheetViews>
    <sheetView view="pageBreakPreview" zoomScale="60" zoomScaleNormal="90" workbookViewId="0">
      <pane ySplit="2" topLeftCell="A21" activePane="bottomLeft" state="frozen"/>
      <selection pane="bottomLeft" activeCell="M37" sqref="M37"/>
    </sheetView>
  </sheetViews>
  <sheetFormatPr defaultColWidth="9.140625" defaultRowHeight="12.75"/>
  <cols>
    <col min="1" max="1" width="5.28515625" style="35" bestFit="1" customWidth="1"/>
    <col min="2" max="2" width="11.85546875" style="35" bestFit="1" customWidth="1"/>
    <col min="3" max="3" width="10.7109375" style="35" bestFit="1" customWidth="1"/>
    <col min="4" max="4" width="21.5703125" style="35" customWidth="1"/>
    <col min="5" max="5" width="10.85546875" style="35" bestFit="1" customWidth="1"/>
    <col min="6" max="6" width="13.7109375" style="35" bestFit="1" customWidth="1"/>
    <col min="7" max="7" width="15.28515625" style="35" customWidth="1"/>
    <col min="8" max="8" width="10.85546875" style="35" bestFit="1" customWidth="1"/>
    <col min="9" max="9" width="8.140625" style="35" bestFit="1" customWidth="1"/>
    <col min="10" max="10" width="10.85546875" style="35" bestFit="1" customWidth="1"/>
    <col min="11" max="11" width="13.85546875" style="35" bestFit="1" customWidth="1"/>
    <col min="12" max="12" width="12.7109375" style="35" bestFit="1" customWidth="1"/>
    <col min="13" max="13" width="12.7109375" style="35" customWidth="1"/>
    <col min="14" max="14" width="17.7109375" style="35" bestFit="1" customWidth="1"/>
    <col min="15" max="15" width="13.7109375" style="35" customWidth="1"/>
    <col min="16" max="16384" width="9.140625" style="35"/>
  </cols>
  <sheetData>
    <row r="1" spans="1:24" ht="12.75" customHeight="1">
      <c r="A1" s="458" t="s">
        <v>36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</row>
    <row r="2" spans="1:24" ht="13.5">
      <c r="A2" s="116" t="s">
        <v>102</v>
      </c>
      <c r="B2" s="121" t="s">
        <v>103</v>
      </c>
      <c r="C2" s="121" t="s">
        <v>104</v>
      </c>
      <c r="D2" s="121" t="s">
        <v>105</v>
      </c>
      <c r="E2" s="121" t="s">
        <v>106</v>
      </c>
      <c r="F2" s="121" t="s">
        <v>107</v>
      </c>
      <c r="G2" s="121" t="s">
        <v>108</v>
      </c>
      <c r="H2" s="121" t="s">
        <v>109</v>
      </c>
      <c r="I2" s="121" t="s">
        <v>107</v>
      </c>
      <c r="J2" s="121" t="s">
        <v>108</v>
      </c>
      <c r="K2" s="121" t="s">
        <v>110</v>
      </c>
      <c r="L2" s="121" t="s">
        <v>111</v>
      </c>
      <c r="M2" s="121" t="s">
        <v>149</v>
      </c>
      <c r="N2" s="121" t="s">
        <v>113</v>
      </c>
    </row>
    <row r="3" spans="1:24" ht="15">
      <c r="A3" s="445" t="s">
        <v>114</v>
      </c>
      <c r="B3" s="446"/>
      <c r="C3" s="446"/>
      <c r="D3" s="446"/>
      <c r="E3" s="446"/>
      <c r="F3" s="446"/>
      <c r="G3" s="446"/>
      <c r="H3" s="446"/>
      <c r="I3" s="446"/>
      <c r="J3" s="461"/>
      <c r="K3" s="171">
        <v>0</v>
      </c>
      <c r="L3" s="170"/>
      <c r="M3" s="170">
        <f>+K3</f>
        <v>0</v>
      </c>
      <c r="N3" s="122"/>
    </row>
    <row r="4" spans="1:24" ht="15">
      <c r="A4" s="28">
        <v>1</v>
      </c>
      <c r="B4" s="29">
        <v>45809</v>
      </c>
      <c r="C4" s="371" t="s">
        <v>153</v>
      </c>
      <c r="D4" s="372" t="s">
        <v>154</v>
      </c>
      <c r="E4" s="38">
        <v>1500</v>
      </c>
      <c r="F4" s="38">
        <v>91.64</v>
      </c>
      <c r="G4" s="38">
        <f>E4*F4</f>
        <v>137460</v>
      </c>
      <c r="H4" s="137">
        <v>35</v>
      </c>
      <c r="I4" s="137">
        <v>103.72</v>
      </c>
      <c r="J4" s="38">
        <f>H4*I4</f>
        <v>3630.2</v>
      </c>
      <c r="K4" s="39">
        <f>G4+J4</f>
        <v>141090.20000000001</v>
      </c>
      <c r="L4" s="39">
        <v>0</v>
      </c>
      <c r="M4" s="39">
        <f>M3+K4-L4</f>
        <v>141090.20000000001</v>
      </c>
      <c r="N4" s="53"/>
    </row>
    <row r="5" spans="1:24" ht="15">
      <c r="A5" s="28">
        <v>2</v>
      </c>
      <c r="B5" s="29">
        <v>45810</v>
      </c>
      <c r="C5" s="122"/>
      <c r="D5" s="136"/>
      <c r="E5" s="38">
        <v>0</v>
      </c>
      <c r="F5" s="38">
        <v>0</v>
      </c>
      <c r="G5" s="38">
        <f t="shared" ref="G5:G11" si="0">E5*F5</f>
        <v>0</v>
      </c>
      <c r="H5" s="137">
        <v>0</v>
      </c>
      <c r="I5" s="137">
        <v>0</v>
      </c>
      <c r="J5" s="38">
        <f t="shared" ref="J5:J34" si="1">H5*I5</f>
        <v>0</v>
      </c>
      <c r="K5" s="39">
        <f t="shared" ref="K5:K34" si="2">G5+J5</f>
        <v>0</v>
      </c>
      <c r="L5" s="39">
        <v>0</v>
      </c>
      <c r="M5" s="39">
        <f t="shared" ref="M5:M34" si="3">M4+K5-L5</f>
        <v>141090.20000000001</v>
      </c>
      <c r="N5" s="53"/>
    </row>
    <row r="6" spans="1:24" ht="15">
      <c r="A6" s="28">
        <v>3</v>
      </c>
      <c r="B6" s="29">
        <v>45811</v>
      </c>
      <c r="C6" s="122"/>
      <c r="D6" s="136"/>
      <c r="E6" s="38">
        <v>0</v>
      </c>
      <c r="F6" s="38">
        <v>0</v>
      </c>
      <c r="G6" s="38">
        <f t="shared" si="0"/>
        <v>0</v>
      </c>
      <c r="H6" s="137">
        <v>0</v>
      </c>
      <c r="I6" s="137">
        <v>0</v>
      </c>
      <c r="J6" s="38">
        <f t="shared" si="1"/>
        <v>0</v>
      </c>
      <c r="K6" s="39">
        <f t="shared" si="2"/>
        <v>0</v>
      </c>
      <c r="L6" s="39">
        <v>0</v>
      </c>
      <c r="M6" s="39">
        <f t="shared" si="3"/>
        <v>141090.20000000001</v>
      </c>
      <c r="N6" s="53"/>
    </row>
    <row r="7" spans="1:24" ht="15">
      <c r="A7" s="28">
        <v>4</v>
      </c>
      <c r="B7" s="29">
        <v>45812</v>
      </c>
      <c r="C7" s="122"/>
      <c r="D7" s="136"/>
      <c r="E7" s="38">
        <v>0</v>
      </c>
      <c r="F7" s="38">
        <v>0</v>
      </c>
      <c r="G7" s="38">
        <f t="shared" si="0"/>
        <v>0</v>
      </c>
      <c r="H7" s="137">
        <v>0</v>
      </c>
      <c r="I7" s="137">
        <v>0</v>
      </c>
      <c r="J7" s="38">
        <f t="shared" si="1"/>
        <v>0</v>
      </c>
      <c r="K7" s="39">
        <f t="shared" si="2"/>
        <v>0</v>
      </c>
      <c r="L7" s="39">
        <v>0</v>
      </c>
      <c r="M7" s="39">
        <f t="shared" si="3"/>
        <v>141090.20000000001</v>
      </c>
      <c r="N7" s="53"/>
    </row>
    <row r="8" spans="1:24" ht="15">
      <c r="A8" s="28">
        <v>5</v>
      </c>
      <c r="B8" s="29">
        <v>45813</v>
      </c>
      <c r="C8" s="122"/>
      <c r="D8" s="136"/>
      <c r="E8" s="38">
        <v>0</v>
      </c>
      <c r="F8" s="38">
        <v>0</v>
      </c>
      <c r="G8" s="38">
        <f t="shared" si="0"/>
        <v>0</v>
      </c>
      <c r="H8" s="137">
        <v>0</v>
      </c>
      <c r="I8" s="137">
        <v>0</v>
      </c>
      <c r="J8" s="38">
        <f t="shared" si="1"/>
        <v>0</v>
      </c>
      <c r="K8" s="39">
        <f t="shared" si="2"/>
        <v>0</v>
      </c>
      <c r="L8" s="39">
        <v>141090.20000000001</v>
      </c>
      <c r="M8" s="39">
        <f t="shared" si="3"/>
        <v>0</v>
      </c>
      <c r="N8" s="53"/>
    </row>
    <row r="9" spans="1:24" ht="15">
      <c r="A9" s="28">
        <v>6</v>
      </c>
      <c r="B9" s="29">
        <v>45814</v>
      </c>
      <c r="C9" s="122"/>
      <c r="D9" s="136"/>
      <c r="E9" s="38">
        <v>0</v>
      </c>
      <c r="F9" s="38">
        <v>0</v>
      </c>
      <c r="G9" s="38">
        <f t="shared" si="0"/>
        <v>0</v>
      </c>
      <c r="H9" s="137">
        <v>0</v>
      </c>
      <c r="I9" s="137">
        <v>0</v>
      </c>
      <c r="J9" s="38">
        <f t="shared" si="1"/>
        <v>0</v>
      </c>
      <c r="K9" s="39">
        <f t="shared" si="2"/>
        <v>0</v>
      </c>
      <c r="L9" s="39">
        <v>0</v>
      </c>
      <c r="M9" s="39">
        <f t="shared" si="3"/>
        <v>0</v>
      </c>
      <c r="N9" s="53"/>
    </row>
    <row r="10" spans="1:24" ht="15">
      <c r="A10" s="28">
        <v>7</v>
      </c>
      <c r="B10" s="29">
        <v>45815</v>
      </c>
      <c r="C10" s="122"/>
      <c r="D10" s="136"/>
      <c r="E10" s="38">
        <v>0</v>
      </c>
      <c r="F10" s="38">
        <v>0</v>
      </c>
      <c r="G10" s="38">
        <f t="shared" si="0"/>
        <v>0</v>
      </c>
      <c r="H10" s="137">
        <v>0</v>
      </c>
      <c r="I10" s="137">
        <v>0</v>
      </c>
      <c r="J10" s="38">
        <f t="shared" si="1"/>
        <v>0</v>
      </c>
      <c r="K10" s="39">
        <f t="shared" si="2"/>
        <v>0</v>
      </c>
      <c r="L10" s="39">
        <v>0</v>
      </c>
      <c r="M10" s="39">
        <f t="shared" si="3"/>
        <v>0</v>
      </c>
      <c r="N10" s="53"/>
    </row>
    <row r="11" spans="1:24" ht="15">
      <c r="A11" s="28">
        <v>8</v>
      </c>
      <c r="B11" s="29">
        <v>45816</v>
      </c>
      <c r="C11" s="122" t="s">
        <v>155</v>
      </c>
      <c r="D11" s="136" t="s">
        <v>156</v>
      </c>
      <c r="E11" s="38">
        <v>1600</v>
      </c>
      <c r="F11" s="38">
        <v>91.64</v>
      </c>
      <c r="G11" s="38">
        <f t="shared" si="0"/>
        <v>146624</v>
      </c>
      <c r="H11" s="137">
        <v>100</v>
      </c>
      <c r="I11" s="137">
        <v>103.72</v>
      </c>
      <c r="J11" s="38">
        <f t="shared" si="1"/>
        <v>10372</v>
      </c>
      <c r="K11" s="39">
        <f t="shared" si="2"/>
        <v>156996</v>
      </c>
      <c r="L11" s="39">
        <v>0</v>
      </c>
      <c r="M11" s="39">
        <f t="shared" si="3"/>
        <v>156996</v>
      </c>
      <c r="N11" s="53"/>
    </row>
    <row r="12" spans="1:24" ht="15">
      <c r="A12" s="28">
        <v>9</v>
      </c>
      <c r="B12" s="29">
        <v>45817</v>
      </c>
      <c r="C12" s="122"/>
      <c r="D12" s="136"/>
      <c r="E12" s="38">
        <v>0</v>
      </c>
      <c r="F12" s="38">
        <v>0</v>
      </c>
      <c r="G12" s="38">
        <v>0</v>
      </c>
      <c r="H12" s="137">
        <v>0</v>
      </c>
      <c r="I12" s="137">
        <v>0</v>
      </c>
      <c r="J12" s="38">
        <f t="shared" si="1"/>
        <v>0</v>
      </c>
      <c r="K12" s="39">
        <f t="shared" si="2"/>
        <v>0</v>
      </c>
      <c r="L12" s="39">
        <v>0</v>
      </c>
      <c r="M12" s="39">
        <f t="shared" si="3"/>
        <v>156996</v>
      </c>
      <c r="N12" s="53"/>
    </row>
    <row r="13" spans="1:24" ht="15">
      <c r="A13" s="28">
        <v>10</v>
      </c>
      <c r="B13" s="29">
        <v>45818</v>
      </c>
      <c r="C13" s="122"/>
      <c r="D13" s="136"/>
      <c r="E13" s="38">
        <v>0</v>
      </c>
      <c r="F13" s="38">
        <v>0</v>
      </c>
      <c r="G13" s="38">
        <v>0</v>
      </c>
      <c r="H13" s="137">
        <v>0</v>
      </c>
      <c r="I13" s="137">
        <v>0</v>
      </c>
      <c r="J13" s="38">
        <f t="shared" si="1"/>
        <v>0</v>
      </c>
      <c r="K13" s="39">
        <f t="shared" si="2"/>
        <v>0</v>
      </c>
      <c r="L13" s="39">
        <v>0</v>
      </c>
      <c r="M13" s="39">
        <f t="shared" si="3"/>
        <v>156996</v>
      </c>
      <c r="N13" s="53"/>
    </row>
    <row r="14" spans="1:24" ht="15">
      <c r="A14" s="28">
        <v>11</v>
      </c>
      <c r="B14" s="29">
        <v>45819</v>
      </c>
      <c r="C14" s="122"/>
      <c r="D14" s="136"/>
      <c r="E14" s="38">
        <v>0</v>
      </c>
      <c r="F14" s="38">
        <v>0</v>
      </c>
      <c r="G14" s="38">
        <v>0</v>
      </c>
      <c r="H14" s="137">
        <v>0</v>
      </c>
      <c r="I14" s="137">
        <v>0</v>
      </c>
      <c r="J14" s="38">
        <f t="shared" si="1"/>
        <v>0</v>
      </c>
      <c r="K14" s="39">
        <f t="shared" si="2"/>
        <v>0</v>
      </c>
      <c r="L14" s="39">
        <v>0</v>
      </c>
      <c r="M14" s="39">
        <f t="shared" si="3"/>
        <v>156996</v>
      </c>
      <c r="N14" s="53"/>
    </row>
    <row r="15" spans="1:24" ht="15">
      <c r="A15" s="28">
        <v>12</v>
      </c>
      <c r="B15" s="29">
        <v>45820</v>
      </c>
      <c r="C15" s="122"/>
      <c r="D15" s="136"/>
      <c r="E15" s="38">
        <v>0</v>
      </c>
      <c r="F15" s="38">
        <v>0</v>
      </c>
      <c r="G15" s="38">
        <v>0</v>
      </c>
      <c r="H15" s="137">
        <v>0</v>
      </c>
      <c r="I15" s="137">
        <v>0</v>
      </c>
      <c r="J15" s="38">
        <f t="shared" si="1"/>
        <v>0</v>
      </c>
      <c r="K15" s="39">
        <f t="shared" si="2"/>
        <v>0</v>
      </c>
      <c r="L15" s="39">
        <v>0</v>
      </c>
      <c r="M15" s="39">
        <f t="shared" si="3"/>
        <v>156996</v>
      </c>
      <c r="N15" s="53"/>
    </row>
    <row r="16" spans="1:24" ht="15">
      <c r="A16" s="28">
        <v>13</v>
      </c>
      <c r="B16" s="29">
        <v>45821</v>
      </c>
      <c r="C16" s="122"/>
      <c r="D16" s="136"/>
      <c r="E16" s="38">
        <v>0</v>
      </c>
      <c r="F16" s="38">
        <v>0</v>
      </c>
      <c r="G16" s="38">
        <v>0</v>
      </c>
      <c r="H16" s="137">
        <v>0</v>
      </c>
      <c r="I16" s="137">
        <v>0</v>
      </c>
      <c r="J16" s="38">
        <f t="shared" si="1"/>
        <v>0</v>
      </c>
      <c r="K16" s="39">
        <f t="shared" si="2"/>
        <v>0</v>
      </c>
      <c r="L16" s="39">
        <v>0</v>
      </c>
      <c r="M16" s="39">
        <f t="shared" si="3"/>
        <v>156996</v>
      </c>
      <c r="N16" s="53"/>
      <c r="X16" s="35">
        <f>100*104</f>
        <v>10400</v>
      </c>
    </row>
    <row r="17" spans="1:14" ht="15">
      <c r="A17" s="28">
        <v>14</v>
      </c>
      <c r="B17" s="29">
        <v>45822</v>
      </c>
      <c r="C17" s="122"/>
      <c r="D17" s="136"/>
      <c r="E17" s="38">
        <v>0</v>
      </c>
      <c r="F17" s="38">
        <v>0</v>
      </c>
      <c r="G17" s="38">
        <v>0</v>
      </c>
      <c r="H17" s="137">
        <v>0</v>
      </c>
      <c r="I17" s="137">
        <v>0</v>
      </c>
      <c r="J17" s="38">
        <f t="shared" si="1"/>
        <v>0</v>
      </c>
      <c r="K17" s="39">
        <f t="shared" si="2"/>
        <v>0</v>
      </c>
      <c r="L17" s="39">
        <v>0</v>
      </c>
      <c r="M17" s="39">
        <f t="shared" si="3"/>
        <v>156996</v>
      </c>
      <c r="N17" s="53"/>
    </row>
    <row r="18" spans="1:14" ht="15">
      <c r="A18" s="28">
        <v>15</v>
      </c>
      <c r="B18" s="29">
        <v>45823</v>
      </c>
      <c r="C18" s="122"/>
      <c r="D18" s="136"/>
      <c r="E18" s="38">
        <v>0</v>
      </c>
      <c r="F18" s="38">
        <v>0</v>
      </c>
      <c r="G18" s="38">
        <v>0</v>
      </c>
      <c r="H18" s="137">
        <v>0</v>
      </c>
      <c r="I18" s="137">
        <v>0</v>
      </c>
      <c r="J18" s="38">
        <f t="shared" si="1"/>
        <v>0</v>
      </c>
      <c r="K18" s="39">
        <f t="shared" si="2"/>
        <v>0</v>
      </c>
      <c r="L18" s="39">
        <v>0</v>
      </c>
      <c r="M18" s="39">
        <f t="shared" si="3"/>
        <v>156996</v>
      </c>
      <c r="N18" s="53"/>
    </row>
    <row r="19" spans="1:14" ht="15">
      <c r="A19" s="28">
        <v>16</v>
      </c>
      <c r="B19" s="29">
        <v>45824</v>
      </c>
      <c r="C19" s="122"/>
      <c r="D19" s="136"/>
      <c r="E19" s="38">
        <v>0</v>
      </c>
      <c r="F19" s="38">
        <v>0</v>
      </c>
      <c r="G19" s="38">
        <v>0</v>
      </c>
      <c r="H19" s="137">
        <v>0</v>
      </c>
      <c r="I19" s="137">
        <v>0</v>
      </c>
      <c r="J19" s="38">
        <f t="shared" si="1"/>
        <v>0</v>
      </c>
      <c r="K19" s="39">
        <f t="shared" si="2"/>
        <v>0</v>
      </c>
      <c r="L19" s="39">
        <v>0</v>
      </c>
      <c r="M19" s="39">
        <f t="shared" si="3"/>
        <v>156996</v>
      </c>
      <c r="N19" s="53"/>
    </row>
    <row r="20" spans="1:14" ht="15">
      <c r="A20" s="28">
        <v>17</v>
      </c>
      <c r="B20" s="29">
        <v>45825</v>
      </c>
      <c r="C20" s="371">
        <v>1614</v>
      </c>
      <c r="D20" s="372" t="s">
        <v>157</v>
      </c>
      <c r="E20" s="38">
        <v>0</v>
      </c>
      <c r="F20" s="38">
        <v>0</v>
      </c>
      <c r="G20" s="38">
        <v>0</v>
      </c>
      <c r="H20" s="137">
        <v>100</v>
      </c>
      <c r="I20" s="137">
        <v>103.72</v>
      </c>
      <c r="J20" s="38">
        <f t="shared" si="1"/>
        <v>10372</v>
      </c>
      <c r="K20" s="39">
        <f t="shared" si="2"/>
        <v>10372</v>
      </c>
      <c r="L20" s="39">
        <v>0</v>
      </c>
      <c r="M20" s="39">
        <f t="shared" si="3"/>
        <v>167368</v>
      </c>
      <c r="N20" s="53"/>
    </row>
    <row r="21" spans="1:14" ht="15">
      <c r="A21" s="28">
        <v>18</v>
      </c>
      <c r="B21" s="29">
        <v>45826</v>
      </c>
      <c r="C21" s="122"/>
      <c r="D21" s="136"/>
      <c r="E21" s="38">
        <v>0</v>
      </c>
      <c r="F21" s="38">
        <v>0</v>
      </c>
      <c r="G21" s="38">
        <v>0</v>
      </c>
      <c r="H21" s="137">
        <v>0</v>
      </c>
      <c r="I21" s="137">
        <v>0</v>
      </c>
      <c r="J21" s="38">
        <f t="shared" si="1"/>
        <v>0</v>
      </c>
      <c r="K21" s="39">
        <f t="shared" si="2"/>
        <v>0</v>
      </c>
      <c r="L21" s="39">
        <v>0</v>
      </c>
      <c r="M21" s="39">
        <f t="shared" si="3"/>
        <v>167368</v>
      </c>
      <c r="N21" s="53"/>
    </row>
    <row r="22" spans="1:14" ht="15">
      <c r="A22" s="28">
        <v>19</v>
      </c>
      <c r="B22" s="29">
        <v>45827</v>
      </c>
      <c r="C22" s="122"/>
      <c r="D22" s="136"/>
      <c r="E22" s="38">
        <v>0</v>
      </c>
      <c r="F22" s="38">
        <v>0</v>
      </c>
      <c r="G22" s="38">
        <v>0</v>
      </c>
      <c r="H22" s="137">
        <v>0</v>
      </c>
      <c r="I22" s="137">
        <v>0</v>
      </c>
      <c r="J22" s="38">
        <f t="shared" si="1"/>
        <v>0</v>
      </c>
      <c r="K22" s="39">
        <f t="shared" si="2"/>
        <v>0</v>
      </c>
      <c r="L22" s="39">
        <v>0</v>
      </c>
      <c r="M22" s="39">
        <f t="shared" si="3"/>
        <v>167368</v>
      </c>
      <c r="N22" s="53"/>
    </row>
    <row r="23" spans="1:14" ht="15">
      <c r="A23" s="28">
        <v>20</v>
      </c>
      <c r="B23" s="29">
        <v>45828</v>
      </c>
      <c r="C23" s="122"/>
      <c r="D23" s="136"/>
      <c r="E23" s="38">
        <v>0</v>
      </c>
      <c r="F23" s="38">
        <v>0</v>
      </c>
      <c r="G23" s="38">
        <v>0</v>
      </c>
      <c r="H23" s="137">
        <v>0</v>
      </c>
      <c r="I23" s="137">
        <v>0</v>
      </c>
      <c r="J23" s="38">
        <f t="shared" si="1"/>
        <v>0</v>
      </c>
      <c r="K23" s="39">
        <f t="shared" si="2"/>
        <v>0</v>
      </c>
      <c r="L23" s="39">
        <v>0</v>
      </c>
      <c r="M23" s="39">
        <f t="shared" si="3"/>
        <v>167368</v>
      </c>
      <c r="N23" s="53"/>
    </row>
    <row r="24" spans="1:14" ht="15">
      <c r="A24" s="28">
        <v>21</v>
      </c>
      <c r="B24" s="29">
        <v>45829</v>
      </c>
      <c r="C24" s="122"/>
      <c r="D24" s="136"/>
      <c r="E24" s="38">
        <v>0</v>
      </c>
      <c r="F24" s="38">
        <v>0</v>
      </c>
      <c r="G24" s="38">
        <v>0</v>
      </c>
      <c r="H24" s="137">
        <v>0</v>
      </c>
      <c r="I24" s="137">
        <v>0</v>
      </c>
      <c r="J24" s="38">
        <f t="shared" si="1"/>
        <v>0</v>
      </c>
      <c r="K24" s="39">
        <f t="shared" si="2"/>
        <v>0</v>
      </c>
      <c r="L24" s="39">
        <v>0</v>
      </c>
      <c r="M24" s="39">
        <f t="shared" si="3"/>
        <v>167368</v>
      </c>
      <c r="N24" s="53"/>
    </row>
    <row r="25" spans="1:14" ht="15">
      <c r="A25" s="28">
        <v>22</v>
      </c>
      <c r="B25" s="29">
        <v>45830</v>
      </c>
      <c r="C25" s="122"/>
      <c r="D25" s="136"/>
      <c r="E25" s="38">
        <v>0</v>
      </c>
      <c r="F25" s="38">
        <v>0</v>
      </c>
      <c r="G25" s="38">
        <v>0</v>
      </c>
      <c r="H25" s="137">
        <v>0</v>
      </c>
      <c r="I25" s="137">
        <v>0</v>
      </c>
      <c r="J25" s="38">
        <f t="shared" si="1"/>
        <v>0</v>
      </c>
      <c r="K25" s="39">
        <f t="shared" si="2"/>
        <v>0</v>
      </c>
      <c r="L25" s="39">
        <v>0</v>
      </c>
      <c r="M25" s="39">
        <f t="shared" si="3"/>
        <v>167368</v>
      </c>
      <c r="N25" s="53"/>
    </row>
    <row r="26" spans="1:14" ht="15">
      <c r="A26" s="28">
        <v>23</v>
      </c>
      <c r="B26" s="29">
        <v>45831</v>
      </c>
      <c r="C26" s="122"/>
      <c r="D26" s="136"/>
      <c r="E26" s="38">
        <v>0</v>
      </c>
      <c r="F26" s="38">
        <v>0</v>
      </c>
      <c r="G26" s="38">
        <v>0</v>
      </c>
      <c r="H26" s="137">
        <v>0</v>
      </c>
      <c r="I26" s="137">
        <v>0</v>
      </c>
      <c r="J26" s="38">
        <f t="shared" si="1"/>
        <v>0</v>
      </c>
      <c r="K26" s="39">
        <f t="shared" si="2"/>
        <v>0</v>
      </c>
      <c r="L26" s="39">
        <v>0</v>
      </c>
      <c r="M26" s="39">
        <f t="shared" si="3"/>
        <v>167368</v>
      </c>
      <c r="N26" s="53"/>
    </row>
    <row r="27" spans="1:14" ht="15">
      <c r="A27" s="28">
        <v>24</v>
      </c>
      <c r="B27" s="29">
        <v>45832</v>
      </c>
      <c r="C27" s="122"/>
      <c r="D27" s="136"/>
      <c r="E27" s="38">
        <v>0</v>
      </c>
      <c r="F27" s="38">
        <v>0</v>
      </c>
      <c r="G27" s="38">
        <v>0</v>
      </c>
      <c r="H27" s="137">
        <v>0</v>
      </c>
      <c r="I27" s="137">
        <v>0</v>
      </c>
      <c r="J27" s="38">
        <f t="shared" si="1"/>
        <v>0</v>
      </c>
      <c r="K27" s="39">
        <f t="shared" si="2"/>
        <v>0</v>
      </c>
      <c r="L27" s="39">
        <v>0</v>
      </c>
      <c r="M27" s="39">
        <f t="shared" si="3"/>
        <v>167368</v>
      </c>
      <c r="N27" s="53"/>
    </row>
    <row r="28" spans="1:14" ht="15">
      <c r="A28" s="28">
        <v>25</v>
      </c>
      <c r="B28" s="29">
        <v>45833</v>
      </c>
      <c r="C28" s="122"/>
      <c r="D28" s="136"/>
      <c r="E28" s="38">
        <v>0</v>
      </c>
      <c r="F28" s="38">
        <v>0</v>
      </c>
      <c r="G28" s="38">
        <v>0</v>
      </c>
      <c r="H28" s="137">
        <v>0</v>
      </c>
      <c r="I28" s="137">
        <v>0</v>
      </c>
      <c r="J28" s="38">
        <f t="shared" si="1"/>
        <v>0</v>
      </c>
      <c r="K28" s="39">
        <f t="shared" si="2"/>
        <v>0</v>
      </c>
      <c r="L28" s="39">
        <v>0</v>
      </c>
      <c r="M28" s="39">
        <f t="shared" si="3"/>
        <v>167368</v>
      </c>
      <c r="N28" s="53"/>
    </row>
    <row r="29" spans="1:14" ht="15">
      <c r="A29" s="28">
        <v>26</v>
      </c>
      <c r="B29" s="29">
        <v>45834</v>
      </c>
      <c r="C29" s="122"/>
      <c r="D29" s="136"/>
      <c r="E29" s="38">
        <v>0</v>
      </c>
      <c r="F29" s="38">
        <v>0</v>
      </c>
      <c r="G29" s="38">
        <v>0</v>
      </c>
      <c r="H29" s="137">
        <v>0</v>
      </c>
      <c r="I29" s="137">
        <v>0</v>
      </c>
      <c r="J29" s="38">
        <f t="shared" si="1"/>
        <v>0</v>
      </c>
      <c r="K29" s="39">
        <f t="shared" si="2"/>
        <v>0</v>
      </c>
      <c r="L29" s="39">
        <v>0</v>
      </c>
      <c r="M29" s="39">
        <f t="shared" si="3"/>
        <v>167368</v>
      </c>
      <c r="N29" s="53"/>
    </row>
    <row r="30" spans="1:14" ht="15">
      <c r="A30" s="28">
        <v>27</v>
      </c>
      <c r="B30" s="29">
        <v>45835</v>
      </c>
      <c r="C30" s="122"/>
      <c r="D30" s="136"/>
      <c r="E30" s="38">
        <v>0</v>
      </c>
      <c r="F30" s="38">
        <v>0</v>
      </c>
      <c r="G30" s="38">
        <v>0</v>
      </c>
      <c r="H30" s="137">
        <v>0</v>
      </c>
      <c r="I30" s="137">
        <v>0</v>
      </c>
      <c r="J30" s="38">
        <f t="shared" si="1"/>
        <v>0</v>
      </c>
      <c r="K30" s="39">
        <f t="shared" si="2"/>
        <v>0</v>
      </c>
      <c r="L30" s="39">
        <v>0</v>
      </c>
      <c r="M30" s="39">
        <f t="shared" si="3"/>
        <v>167368</v>
      </c>
      <c r="N30" s="53"/>
    </row>
    <row r="31" spans="1:14" ht="15">
      <c r="A31" s="28">
        <v>28</v>
      </c>
      <c r="B31" s="29">
        <v>45836</v>
      </c>
      <c r="C31" s="122"/>
      <c r="D31" s="136"/>
      <c r="E31" s="38">
        <v>0</v>
      </c>
      <c r="F31" s="38">
        <v>0</v>
      </c>
      <c r="G31" s="38">
        <v>0</v>
      </c>
      <c r="H31" s="137">
        <v>0</v>
      </c>
      <c r="I31" s="137">
        <v>0</v>
      </c>
      <c r="J31" s="38">
        <f t="shared" si="1"/>
        <v>0</v>
      </c>
      <c r="K31" s="39">
        <f t="shared" si="2"/>
        <v>0</v>
      </c>
      <c r="L31" s="39">
        <v>167386</v>
      </c>
      <c r="M31" s="39">
        <f t="shared" si="3"/>
        <v>-18</v>
      </c>
      <c r="N31" s="53"/>
    </row>
    <row r="32" spans="1:14" ht="15">
      <c r="A32" s="28">
        <v>29</v>
      </c>
      <c r="B32" s="29">
        <v>45837</v>
      </c>
      <c r="C32" s="122"/>
      <c r="D32" s="136"/>
      <c r="E32" s="38">
        <v>0</v>
      </c>
      <c r="F32" s="38">
        <v>0</v>
      </c>
      <c r="G32" s="38">
        <v>0</v>
      </c>
      <c r="H32" s="137">
        <v>0</v>
      </c>
      <c r="I32" s="137">
        <v>0</v>
      </c>
      <c r="J32" s="38">
        <f t="shared" si="1"/>
        <v>0</v>
      </c>
      <c r="K32" s="39">
        <f t="shared" si="2"/>
        <v>0</v>
      </c>
      <c r="L32" s="39">
        <f>-(18)</f>
        <v>-18</v>
      </c>
      <c r="M32" s="39">
        <f t="shared" si="3"/>
        <v>0</v>
      </c>
      <c r="N32" s="53"/>
    </row>
    <row r="33" spans="1:14" ht="15">
      <c r="A33" s="28">
        <v>30</v>
      </c>
      <c r="B33" s="29">
        <v>45838</v>
      </c>
      <c r="C33" s="122"/>
      <c r="D33" s="136"/>
      <c r="E33" s="38">
        <v>0</v>
      </c>
      <c r="F33" s="38">
        <v>0</v>
      </c>
      <c r="G33" s="38">
        <v>0</v>
      </c>
      <c r="H33" s="137">
        <v>0</v>
      </c>
      <c r="I33" s="137">
        <v>0</v>
      </c>
      <c r="J33" s="38">
        <f t="shared" si="1"/>
        <v>0</v>
      </c>
      <c r="K33" s="39">
        <f t="shared" si="2"/>
        <v>0</v>
      </c>
      <c r="L33" s="39">
        <v>0</v>
      </c>
      <c r="M33" s="39">
        <f t="shared" si="3"/>
        <v>0</v>
      </c>
      <c r="N33" s="53"/>
    </row>
    <row r="34" spans="1:14" ht="15">
      <c r="A34" s="28">
        <v>31</v>
      </c>
      <c r="B34" s="29"/>
      <c r="C34" s="122"/>
      <c r="D34" s="136"/>
      <c r="E34" s="38">
        <v>0</v>
      </c>
      <c r="F34" s="38">
        <v>0</v>
      </c>
      <c r="G34" s="38">
        <v>0</v>
      </c>
      <c r="H34" s="137">
        <v>0</v>
      </c>
      <c r="I34" s="137">
        <v>0</v>
      </c>
      <c r="J34" s="38">
        <f t="shared" si="1"/>
        <v>0</v>
      </c>
      <c r="K34" s="39">
        <f t="shared" si="2"/>
        <v>0</v>
      </c>
      <c r="L34" s="39">
        <v>0</v>
      </c>
      <c r="M34" s="39">
        <f t="shared" si="3"/>
        <v>0</v>
      </c>
      <c r="N34" s="53"/>
    </row>
    <row r="35" spans="1:14">
      <c r="A35" s="51"/>
      <c r="B35" s="51"/>
      <c r="C35" s="51"/>
      <c r="D35" s="51"/>
      <c r="E35" s="52">
        <f>SUM(E4:E34)</f>
        <v>3100</v>
      </c>
      <c r="F35" s="52"/>
      <c r="G35" s="52">
        <f>SUM(G4:G34)</f>
        <v>284084</v>
      </c>
      <c r="H35" s="52">
        <f>SUM(H4:H34)</f>
        <v>235</v>
      </c>
      <c r="I35" s="52"/>
      <c r="J35" s="52">
        <f>SUM(J4:J34)</f>
        <v>24374.2</v>
      </c>
      <c r="K35" s="52">
        <f>SUM(K4:K34)</f>
        <v>308458.2</v>
      </c>
      <c r="L35" s="52">
        <f>SUM(L4:L34)</f>
        <v>308458.2</v>
      </c>
      <c r="M35" s="52"/>
      <c r="N35" s="52"/>
    </row>
    <row r="36" spans="1:14">
      <c r="A36" s="40"/>
      <c r="B36" s="40"/>
      <c r="C36" s="40"/>
      <c r="D36" s="40"/>
      <c r="E36" s="41"/>
      <c r="F36" s="41"/>
      <c r="G36" s="41"/>
      <c r="H36" s="41"/>
      <c r="I36" s="41"/>
      <c r="J36" s="41"/>
      <c r="K36" s="41"/>
      <c r="L36" s="41"/>
      <c r="M36" s="41"/>
      <c r="N36" s="41"/>
    </row>
    <row r="37" spans="1:14">
      <c r="G37" s="42"/>
    </row>
    <row r="38" spans="1:14">
      <c r="B38" s="463"/>
      <c r="C38" s="463"/>
      <c r="D38" s="463"/>
      <c r="E38" s="463"/>
      <c r="I38" s="463"/>
      <c r="J38" s="463"/>
      <c r="K38" s="463"/>
      <c r="L38" s="463"/>
      <c r="M38" s="463"/>
      <c r="N38" s="463"/>
    </row>
  </sheetData>
  <mergeCells count="4">
    <mergeCell ref="A1:N1"/>
    <mergeCell ref="I38:N38"/>
    <mergeCell ref="B38:E38"/>
    <mergeCell ref="A3:J3"/>
  </mergeCells>
  <printOptions horizontalCentered="1"/>
  <pageMargins left="3.937007874015748E-2" right="3.937007874015748E-2" top="3.937007874015748E-2" bottom="3.937007874015748E-2" header="0.31496062992125984" footer="0.31496062992125984"/>
  <pageSetup scale="39" fitToHeight="10" orientation="landscape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0E987-7A95-4F93-8189-F0484DA603E1}">
  <dimension ref="A1:N35"/>
  <sheetViews>
    <sheetView topLeftCell="A12" workbookViewId="0">
      <selection activeCell="Q7" sqref="Q7"/>
    </sheetView>
  </sheetViews>
  <sheetFormatPr defaultRowHeight="15"/>
  <cols>
    <col min="2" max="2" width="9.5703125" bestFit="1" customWidth="1"/>
    <col min="3" max="3" width="11.7109375" customWidth="1"/>
    <col min="7" max="7" width="10.140625" bestFit="1" customWidth="1"/>
    <col min="11" max="11" width="10.140625" bestFit="1" customWidth="1"/>
    <col min="12" max="12" width="14.42578125" customWidth="1"/>
    <col min="13" max="13" width="10.7109375" bestFit="1" customWidth="1"/>
    <col min="15" max="15" width="10.42578125" customWidth="1"/>
    <col min="16" max="16" width="10" customWidth="1"/>
  </cols>
  <sheetData>
    <row r="1" spans="1:14" ht="15.75" customHeight="1">
      <c r="A1" s="458" t="s">
        <v>38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</row>
    <row r="2" spans="1:14" ht="27">
      <c r="A2" s="116" t="s">
        <v>102</v>
      </c>
      <c r="B2" s="121" t="s">
        <v>103</v>
      </c>
      <c r="C2" s="121" t="s">
        <v>104</v>
      </c>
      <c r="D2" s="121" t="s">
        <v>105</v>
      </c>
      <c r="E2" s="121" t="s">
        <v>106</v>
      </c>
      <c r="F2" s="121" t="s">
        <v>107</v>
      </c>
      <c r="G2" s="121" t="s">
        <v>108</v>
      </c>
      <c r="H2" s="121" t="s">
        <v>109</v>
      </c>
      <c r="I2" s="121" t="s">
        <v>107</v>
      </c>
      <c r="J2" s="121" t="s">
        <v>108</v>
      </c>
      <c r="K2" s="121" t="s">
        <v>110</v>
      </c>
      <c r="L2" s="121" t="s">
        <v>111</v>
      </c>
      <c r="M2" s="121" t="s">
        <v>149</v>
      </c>
      <c r="N2" s="121" t="s">
        <v>113</v>
      </c>
    </row>
    <row r="3" spans="1:14">
      <c r="A3" s="445" t="s">
        <v>114</v>
      </c>
      <c r="B3" s="446"/>
      <c r="C3" s="446"/>
      <c r="D3" s="446"/>
      <c r="E3" s="446"/>
      <c r="F3" s="446"/>
      <c r="G3" s="446"/>
      <c r="H3" s="446"/>
      <c r="I3" s="446"/>
      <c r="J3" s="461"/>
      <c r="K3" s="171">
        <v>388266.50190000003</v>
      </c>
      <c r="L3" s="170"/>
      <c r="M3" s="170">
        <f>+K3</f>
        <v>388266.50190000003</v>
      </c>
      <c r="N3" s="122"/>
    </row>
    <row r="4" spans="1:14">
      <c r="A4" s="28">
        <v>1</v>
      </c>
      <c r="B4" s="29">
        <v>45809</v>
      </c>
      <c r="C4" s="122">
        <v>0</v>
      </c>
      <c r="D4" s="136"/>
      <c r="E4" s="39">
        <v>0</v>
      </c>
      <c r="F4" s="39">
        <v>0</v>
      </c>
      <c r="G4" s="39">
        <v>0</v>
      </c>
      <c r="H4" s="137">
        <v>0</v>
      </c>
      <c r="I4" s="137">
        <v>0</v>
      </c>
      <c r="J4" s="39">
        <f>H4*I4</f>
        <v>0</v>
      </c>
      <c r="K4" s="39">
        <f>G4+J4</f>
        <v>0</v>
      </c>
      <c r="L4" s="39">
        <v>0</v>
      </c>
      <c r="M4" s="39">
        <f>M3+K4-L4</f>
        <v>388266.50190000003</v>
      </c>
      <c r="N4" s="53"/>
    </row>
    <row r="5" spans="1:14">
      <c r="A5" s="28">
        <v>2</v>
      </c>
      <c r="B5" s="29">
        <v>45810</v>
      </c>
      <c r="C5" s="122">
        <v>0</v>
      </c>
      <c r="D5" s="136"/>
      <c r="E5" s="39">
        <v>0</v>
      </c>
      <c r="F5" s="39">
        <v>0</v>
      </c>
      <c r="G5" s="39">
        <v>0</v>
      </c>
      <c r="H5" s="137">
        <v>0</v>
      </c>
      <c r="I5" s="137">
        <v>0</v>
      </c>
      <c r="J5" s="39">
        <f t="shared" ref="J5:J33" si="0">H5*I5</f>
        <v>0</v>
      </c>
      <c r="K5" s="39">
        <f t="shared" ref="K5:K33" si="1">G5+J5</f>
        <v>0</v>
      </c>
      <c r="L5" s="39">
        <v>0</v>
      </c>
      <c r="M5" s="39">
        <f>M4+K5-L5</f>
        <v>388266.50190000003</v>
      </c>
      <c r="N5" s="53"/>
    </row>
    <row r="6" spans="1:14">
      <c r="A6" s="28">
        <v>3</v>
      </c>
      <c r="B6" s="29">
        <v>45811</v>
      </c>
      <c r="C6" s="122">
        <v>0</v>
      </c>
      <c r="D6" s="136"/>
      <c r="E6" s="39">
        <v>0</v>
      </c>
      <c r="F6" s="39">
        <v>0</v>
      </c>
      <c r="G6" s="39">
        <v>0</v>
      </c>
      <c r="H6" s="137">
        <v>0</v>
      </c>
      <c r="I6" s="137">
        <v>0</v>
      </c>
      <c r="J6" s="39">
        <f t="shared" si="0"/>
        <v>0</v>
      </c>
      <c r="K6" s="39">
        <f t="shared" si="1"/>
        <v>0</v>
      </c>
      <c r="L6" s="39">
        <v>0</v>
      </c>
      <c r="M6" s="39">
        <f>M5+K6-L6</f>
        <v>388266.50190000003</v>
      </c>
      <c r="N6" s="53"/>
    </row>
    <row r="7" spans="1:14">
      <c r="A7" s="28">
        <v>4</v>
      </c>
      <c r="B7" s="29">
        <v>45812</v>
      </c>
      <c r="C7" s="122">
        <v>0</v>
      </c>
      <c r="D7" s="136"/>
      <c r="E7" s="39">
        <v>0</v>
      </c>
      <c r="F7" s="39">
        <v>0</v>
      </c>
      <c r="G7" s="39">
        <v>0</v>
      </c>
      <c r="H7" s="137">
        <v>0</v>
      </c>
      <c r="I7" s="137">
        <v>0</v>
      </c>
      <c r="J7" s="39">
        <f t="shared" si="0"/>
        <v>0</v>
      </c>
      <c r="K7" s="39">
        <f t="shared" si="1"/>
        <v>0</v>
      </c>
      <c r="L7" s="39">
        <v>0</v>
      </c>
      <c r="M7" s="39">
        <f>M6+K7-L7</f>
        <v>388266.50190000003</v>
      </c>
      <c r="N7" s="53"/>
    </row>
    <row r="8" spans="1:14">
      <c r="A8" s="28">
        <v>5</v>
      </c>
      <c r="B8" s="29">
        <v>45813</v>
      </c>
      <c r="C8" s="122">
        <v>0</v>
      </c>
      <c r="D8" s="136"/>
      <c r="E8" s="39">
        <v>0</v>
      </c>
      <c r="F8" s="39">
        <v>0</v>
      </c>
      <c r="G8" s="39">
        <v>0</v>
      </c>
      <c r="H8" s="137">
        <v>0</v>
      </c>
      <c r="I8" s="137">
        <v>0</v>
      </c>
      <c r="J8" s="39">
        <f t="shared" si="0"/>
        <v>0</v>
      </c>
      <c r="K8" s="39">
        <f t="shared" si="1"/>
        <v>0</v>
      </c>
      <c r="L8" s="39">
        <v>0</v>
      </c>
      <c r="M8" s="39">
        <f>M7+K8-L8</f>
        <v>388266.50190000003</v>
      </c>
      <c r="N8" s="53"/>
    </row>
    <row r="9" spans="1:14">
      <c r="A9" s="28">
        <v>6</v>
      </c>
      <c r="B9" s="29">
        <v>45814</v>
      </c>
      <c r="C9" s="122">
        <v>0</v>
      </c>
      <c r="D9" s="136"/>
      <c r="E9" s="39">
        <v>0</v>
      </c>
      <c r="F9" s="39">
        <v>0</v>
      </c>
      <c r="G9" s="39">
        <v>0</v>
      </c>
      <c r="H9" s="137">
        <v>0</v>
      </c>
      <c r="I9" s="137">
        <v>0</v>
      </c>
      <c r="J9" s="39">
        <f t="shared" si="0"/>
        <v>0</v>
      </c>
      <c r="K9" s="39">
        <f t="shared" si="1"/>
        <v>0</v>
      </c>
      <c r="L9" s="39">
        <v>0</v>
      </c>
      <c r="M9" s="39">
        <f>M8+K9-L9</f>
        <v>388266.50190000003</v>
      </c>
      <c r="N9" s="53"/>
    </row>
    <row r="10" spans="1:14">
      <c r="A10" s="28">
        <v>7</v>
      </c>
      <c r="B10" s="29">
        <v>45815</v>
      </c>
      <c r="C10" s="122">
        <v>0</v>
      </c>
      <c r="D10" s="136"/>
      <c r="E10" s="39">
        <v>0</v>
      </c>
      <c r="F10" s="39">
        <v>0</v>
      </c>
      <c r="G10" s="39">
        <v>0</v>
      </c>
      <c r="H10" s="137">
        <v>0</v>
      </c>
      <c r="I10" s="137">
        <v>0</v>
      </c>
      <c r="J10" s="39">
        <f t="shared" si="0"/>
        <v>0</v>
      </c>
      <c r="K10" s="39">
        <f t="shared" si="1"/>
        <v>0</v>
      </c>
      <c r="L10" s="39">
        <v>0</v>
      </c>
      <c r="M10" s="39">
        <f>M9+K10-L10</f>
        <v>388266.50190000003</v>
      </c>
      <c r="N10" s="53"/>
    </row>
    <row r="11" spans="1:14">
      <c r="A11" s="28">
        <v>8</v>
      </c>
      <c r="B11" s="29">
        <v>45816</v>
      </c>
      <c r="C11" s="122">
        <v>0</v>
      </c>
      <c r="D11" s="136"/>
      <c r="E11" s="39">
        <v>0</v>
      </c>
      <c r="F11" s="39">
        <v>0</v>
      </c>
      <c r="G11" s="39">
        <v>0</v>
      </c>
      <c r="H11" s="137">
        <v>0</v>
      </c>
      <c r="I11" s="137">
        <v>0</v>
      </c>
      <c r="J11" s="39">
        <f t="shared" si="0"/>
        <v>0</v>
      </c>
      <c r="K11" s="39">
        <f t="shared" si="1"/>
        <v>0</v>
      </c>
      <c r="L11" s="39">
        <v>0</v>
      </c>
      <c r="M11" s="39">
        <f>M10+K11-L11</f>
        <v>388266.50190000003</v>
      </c>
      <c r="N11" s="53"/>
    </row>
    <row r="12" spans="1:14">
      <c r="A12" s="28">
        <v>9</v>
      </c>
      <c r="B12" s="29">
        <v>45817</v>
      </c>
      <c r="C12" s="122">
        <v>0</v>
      </c>
      <c r="D12" s="136"/>
      <c r="E12" s="39">
        <v>0</v>
      </c>
      <c r="F12" s="39">
        <v>0</v>
      </c>
      <c r="G12" s="39">
        <v>0</v>
      </c>
      <c r="H12" s="137">
        <v>0</v>
      </c>
      <c r="I12" s="137">
        <v>0</v>
      </c>
      <c r="J12" s="39">
        <f t="shared" si="0"/>
        <v>0</v>
      </c>
      <c r="K12" s="39">
        <f t="shared" si="1"/>
        <v>0</v>
      </c>
      <c r="L12" s="39">
        <v>388266.5</v>
      </c>
      <c r="M12" s="39">
        <f>M11+K12-L12</f>
        <v>1.9000000320374966E-3</v>
      </c>
      <c r="N12" s="53"/>
    </row>
    <row r="13" spans="1:14">
      <c r="A13" s="28">
        <v>10</v>
      </c>
      <c r="B13" s="29">
        <v>45818</v>
      </c>
      <c r="C13" s="122">
        <v>0</v>
      </c>
      <c r="D13" s="136"/>
      <c r="E13" s="39">
        <v>0</v>
      </c>
      <c r="F13" s="39">
        <v>0</v>
      </c>
      <c r="G13" s="39">
        <v>0</v>
      </c>
      <c r="H13" s="137">
        <v>0</v>
      </c>
      <c r="I13" s="137">
        <v>0</v>
      </c>
      <c r="J13" s="39">
        <f t="shared" si="0"/>
        <v>0</v>
      </c>
      <c r="K13" s="39">
        <f t="shared" si="1"/>
        <v>0</v>
      </c>
      <c r="L13" s="39">
        <v>0</v>
      </c>
      <c r="M13" s="39">
        <f>M12+K13-L13</f>
        <v>1.9000000320374966E-3</v>
      </c>
      <c r="N13" s="53"/>
    </row>
    <row r="14" spans="1:14">
      <c r="A14" s="28">
        <v>11</v>
      </c>
      <c r="B14" s="29">
        <v>45819</v>
      </c>
      <c r="C14" s="122">
        <v>0</v>
      </c>
      <c r="D14" s="136"/>
      <c r="E14" s="39">
        <v>0</v>
      </c>
      <c r="F14" s="39">
        <v>0</v>
      </c>
      <c r="G14" s="39">
        <v>0</v>
      </c>
      <c r="H14" s="137">
        <v>0</v>
      </c>
      <c r="I14" s="137">
        <v>0</v>
      </c>
      <c r="J14" s="39">
        <f t="shared" si="0"/>
        <v>0</v>
      </c>
      <c r="K14" s="39">
        <f t="shared" si="1"/>
        <v>0</v>
      </c>
      <c r="L14" s="39">
        <v>0</v>
      </c>
      <c r="M14" s="39">
        <f>M13+K14-L14</f>
        <v>1.9000000320374966E-3</v>
      </c>
      <c r="N14" s="53"/>
    </row>
    <row r="15" spans="1:14">
      <c r="A15" s="28">
        <v>12</v>
      </c>
      <c r="B15" s="29">
        <v>45820</v>
      </c>
      <c r="C15" s="122">
        <v>0</v>
      </c>
      <c r="D15" s="136"/>
      <c r="E15" s="39">
        <v>0</v>
      </c>
      <c r="F15" s="39">
        <v>0</v>
      </c>
      <c r="G15" s="39">
        <v>0</v>
      </c>
      <c r="H15" s="137">
        <v>0</v>
      </c>
      <c r="I15" s="137">
        <v>0</v>
      </c>
      <c r="J15" s="39">
        <f t="shared" si="0"/>
        <v>0</v>
      </c>
      <c r="K15" s="39">
        <f t="shared" si="1"/>
        <v>0</v>
      </c>
      <c r="L15" s="39">
        <v>0</v>
      </c>
      <c r="M15" s="39">
        <f>M14+K15-L15</f>
        <v>1.9000000320374966E-3</v>
      </c>
      <c r="N15" s="53"/>
    </row>
    <row r="16" spans="1:14">
      <c r="A16" s="28">
        <v>13</v>
      </c>
      <c r="B16" s="29">
        <v>45821</v>
      </c>
      <c r="C16" s="122">
        <v>0</v>
      </c>
      <c r="D16" s="136"/>
      <c r="E16" s="39">
        <v>0</v>
      </c>
      <c r="F16" s="39">
        <v>0</v>
      </c>
      <c r="G16" s="39">
        <v>0</v>
      </c>
      <c r="H16" s="137">
        <v>0</v>
      </c>
      <c r="I16" s="137">
        <v>0</v>
      </c>
      <c r="J16" s="39">
        <f t="shared" si="0"/>
        <v>0</v>
      </c>
      <c r="K16" s="39">
        <f t="shared" si="1"/>
        <v>0</v>
      </c>
      <c r="L16" s="39">
        <v>0</v>
      </c>
      <c r="M16" s="39">
        <f>M15+K16-L16</f>
        <v>1.9000000320374966E-3</v>
      </c>
      <c r="N16" s="53"/>
    </row>
    <row r="17" spans="1:14">
      <c r="A17" s="28">
        <v>14</v>
      </c>
      <c r="B17" s="29">
        <v>45822</v>
      </c>
      <c r="C17" s="122">
        <v>0</v>
      </c>
      <c r="D17" s="136"/>
      <c r="E17" s="39">
        <v>0</v>
      </c>
      <c r="F17" s="39">
        <v>0</v>
      </c>
      <c r="G17" s="39">
        <v>0</v>
      </c>
      <c r="H17" s="137">
        <v>0</v>
      </c>
      <c r="I17" s="137">
        <v>0</v>
      </c>
      <c r="J17" s="39">
        <f t="shared" si="0"/>
        <v>0</v>
      </c>
      <c r="K17" s="39">
        <f t="shared" si="1"/>
        <v>0</v>
      </c>
      <c r="L17" s="39">
        <v>0</v>
      </c>
      <c r="M17" s="39">
        <f>M16+K17-L17</f>
        <v>1.9000000320374966E-3</v>
      </c>
      <c r="N17" s="53"/>
    </row>
    <row r="18" spans="1:14">
      <c r="A18" s="28">
        <v>15</v>
      </c>
      <c r="B18" s="29">
        <v>45823</v>
      </c>
      <c r="C18" s="122">
        <v>0</v>
      </c>
      <c r="D18" s="136"/>
      <c r="E18" s="39">
        <v>0</v>
      </c>
      <c r="F18" s="39">
        <v>0</v>
      </c>
      <c r="G18" s="39">
        <v>0</v>
      </c>
      <c r="H18" s="137">
        <v>0</v>
      </c>
      <c r="I18" s="137">
        <v>0</v>
      </c>
      <c r="J18" s="39">
        <f t="shared" si="0"/>
        <v>0</v>
      </c>
      <c r="K18" s="39">
        <f t="shared" si="1"/>
        <v>0</v>
      </c>
      <c r="L18" s="39">
        <v>0</v>
      </c>
      <c r="M18" s="39">
        <f>M17+K18-L18</f>
        <v>1.9000000320374966E-3</v>
      </c>
      <c r="N18" s="53"/>
    </row>
    <row r="19" spans="1:14">
      <c r="A19" s="28">
        <v>16</v>
      </c>
      <c r="B19" s="29">
        <v>45824</v>
      </c>
      <c r="C19" s="122">
        <v>0</v>
      </c>
      <c r="D19" s="136"/>
      <c r="E19" s="39">
        <v>0</v>
      </c>
      <c r="F19" s="39">
        <v>0</v>
      </c>
      <c r="G19" s="39">
        <v>0</v>
      </c>
      <c r="H19" s="137">
        <v>0</v>
      </c>
      <c r="I19" s="137">
        <v>0</v>
      </c>
      <c r="J19" s="39">
        <f t="shared" si="0"/>
        <v>0</v>
      </c>
      <c r="K19" s="39">
        <f t="shared" si="1"/>
        <v>0</v>
      </c>
      <c r="L19" s="39">
        <v>0</v>
      </c>
      <c r="M19" s="39">
        <f>M18+K19-L19</f>
        <v>1.9000000320374966E-3</v>
      </c>
      <c r="N19" s="53"/>
    </row>
    <row r="20" spans="1:14">
      <c r="A20" s="28">
        <v>17</v>
      </c>
      <c r="B20" s="29">
        <v>45825</v>
      </c>
      <c r="C20" s="122">
        <v>0</v>
      </c>
      <c r="D20" s="136"/>
      <c r="E20" s="39">
        <v>0</v>
      </c>
      <c r="F20" s="39">
        <v>0</v>
      </c>
      <c r="G20" s="39">
        <v>0</v>
      </c>
      <c r="H20" s="137">
        <v>0</v>
      </c>
      <c r="I20" s="137">
        <v>0</v>
      </c>
      <c r="J20" s="39">
        <f t="shared" si="0"/>
        <v>0</v>
      </c>
      <c r="K20" s="39">
        <f t="shared" si="1"/>
        <v>0</v>
      </c>
      <c r="L20" s="39">
        <v>0</v>
      </c>
      <c r="M20" s="39">
        <f>M19+K20-L20</f>
        <v>1.9000000320374966E-3</v>
      </c>
      <c r="N20" s="53"/>
    </row>
    <row r="21" spans="1:14">
      <c r="A21" s="28">
        <v>18</v>
      </c>
      <c r="B21" s="29">
        <v>45826</v>
      </c>
      <c r="C21" s="122">
        <v>0</v>
      </c>
      <c r="D21" s="136"/>
      <c r="E21" s="39">
        <v>0</v>
      </c>
      <c r="F21" s="39">
        <v>0</v>
      </c>
      <c r="G21" s="39">
        <v>0</v>
      </c>
      <c r="H21" s="137">
        <v>0</v>
      </c>
      <c r="I21" s="137">
        <v>0</v>
      </c>
      <c r="J21" s="39">
        <f t="shared" si="0"/>
        <v>0</v>
      </c>
      <c r="K21" s="39">
        <f t="shared" si="1"/>
        <v>0</v>
      </c>
      <c r="L21" s="39">
        <v>0</v>
      </c>
      <c r="M21" s="39">
        <f>M20+K21-L21</f>
        <v>1.9000000320374966E-3</v>
      </c>
      <c r="N21" s="53"/>
    </row>
    <row r="22" spans="1:14">
      <c r="A22" s="28">
        <v>19</v>
      </c>
      <c r="B22" s="29">
        <v>45827</v>
      </c>
      <c r="C22" s="122">
        <v>0</v>
      </c>
      <c r="D22" s="136"/>
      <c r="E22" s="39">
        <v>0</v>
      </c>
      <c r="F22" s="39">
        <v>0</v>
      </c>
      <c r="G22" s="39">
        <v>0</v>
      </c>
      <c r="H22" s="137">
        <v>0</v>
      </c>
      <c r="I22" s="137">
        <v>0</v>
      </c>
      <c r="J22" s="39">
        <f t="shared" si="0"/>
        <v>0</v>
      </c>
      <c r="K22" s="39">
        <f t="shared" si="1"/>
        <v>0</v>
      </c>
      <c r="L22" s="39">
        <v>0</v>
      </c>
      <c r="M22" s="39">
        <f>M21+K22-L22</f>
        <v>1.9000000320374966E-3</v>
      </c>
      <c r="N22" s="53"/>
    </row>
    <row r="23" spans="1:14">
      <c r="A23" s="28">
        <v>20</v>
      </c>
      <c r="B23" s="29">
        <v>45828</v>
      </c>
      <c r="C23" s="122">
        <v>0</v>
      </c>
      <c r="D23" s="136"/>
      <c r="E23" s="39">
        <v>0</v>
      </c>
      <c r="F23" s="39">
        <v>0</v>
      </c>
      <c r="G23" s="39">
        <v>0</v>
      </c>
      <c r="H23" s="137">
        <v>0</v>
      </c>
      <c r="I23" s="137">
        <v>0</v>
      </c>
      <c r="J23" s="39">
        <f t="shared" si="0"/>
        <v>0</v>
      </c>
      <c r="K23" s="39">
        <f t="shared" si="1"/>
        <v>0</v>
      </c>
      <c r="L23" s="39">
        <v>0</v>
      </c>
      <c r="M23" s="39">
        <f>M22+K23-L23</f>
        <v>1.9000000320374966E-3</v>
      </c>
      <c r="N23" s="53"/>
    </row>
    <row r="24" spans="1:14">
      <c r="A24" s="28">
        <v>21</v>
      </c>
      <c r="B24" s="29">
        <v>45829</v>
      </c>
      <c r="C24" s="122">
        <v>0</v>
      </c>
      <c r="D24" s="136"/>
      <c r="E24" s="39">
        <v>2000</v>
      </c>
      <c r="F24" s="39">
        <v>91.39</v>
      </c>
      <c r="G24" s="39">
        <f>E24*F24</f>
        <v>182780</v>
      </c>
      <c r="H24" s="137">
        <v>0</v>
      </c>
      <c r="I24" s="137">
        <v>0</v>
      </c>
      <c r="J24" s="39">
        <f t="shared" si="0"/>
        <v>0</v>
      </c>
      <c r="K24" s="39">
        <f t="shared" si="1"/>
        <v>182780</v>
      </c>
      <c r="L24" s="39">
        <v>0</v>
      </c>
      <c r="M24" s="39">
        <f>M23+K24-L24</f>
        <v>182780.00190000003</v>
      </c>
      <c r="N24" s="53"/>
    </row>
    <row r="25" spans="1:14">
      <c r="A25" s="28">
        <v>22</v>
      </c>
      <c r="B25" s="29">
        <v>45830</v>
      </c>
      <c r="C25" s="122">
        <v>0</v>
      </c>
      <c r="D25" s="136"/>
      <c r="E25" s="39">
        <v>0</v>
      </c>
      <c r="F25" s="39">
        <v>0</v>
      </c>
      <c r="G25" s="39">
        <f t="shared" ref="G25:G31" si="2">E25*F25</f>
        <v>0</v>
      </c>
      <c r="H25" s="137">
        <v>0</v>
      </c>
      <c r="I25" s="137">
        <v>0</v>
      </c>
      <c r="J25" s="39">
        <f t="shared" si="0"/>
        <v>0</v>
      </c>
      <c r="K25" s="39">
        <f t="shared" si="1"/>
        <v>0</v>
      </c>
      <c r="L25" s="39">
        <v>0</v>
      </c>
      <c r="M25" s="39">
        <f>M24+K25-L25</f>
        <v>182780.00190000003</v>
      </c>
      <c r="N25" s="53"/>
    </row>
    <row r="26" spans="1:14">
      <c r="A26" s="28">
        <v>23</v>
      </c>
      <c r="B26" s="29">
        <v>45831</v>
      </c>
      <c r="C26" s="122">
        <v>0</v>
      </c>
      <c r="D26" s="136"/>
      <c r="E26" s="39">
        <v>0</v>
      </c>
      <c r="F26" s="39">
        <v>0</v>
      </c>
      <c r="G26" s="39">
        <f t="shared" si="2"/>
        <v>0</v>
      </c>
      <c r="H26" s="137">
        <v>0</v>
      </c>
      <c r="I26" s="137">
        <v>0</v>
      </c>
      <c r="J26" s="39">
        <f t="shared" si="0"/>
        <v>0</v>
      </c>
      <c r="K26" s="39">
        <f t="shared" si="1"/>
        <v>0</v>
      </c>
      <c r="L26" s="39">
        <v>0</v>
      </c>
      <c r="M26" s="39">
        <f>M25+K26-L26</f>
        <v>182780.00190000003</v>
      </c>
      <c r="N26" s="53"/>
    </row>
    <row r="27" spans="1:14">
      <c r="A27" s="28">
        <v>24</v>
      </c>
      <c r="B27" s="29">
        <v>45832</v>
      </c>
      <c r="C27" s="122">
        <v>0</v>
      </c>
      <c r="D27" s="136"/>
      <c r="E27" s="39">
        <v>0</v>
      </c>
      <c r="F27" s="39">
        <v>0</v>
      </c>
      <c r="G27" s="39">
        <f t="shared" si="2"/>
        <v>0</v>
      </c>
      <c r="H27" s="137">
        <v>70</v>
      </c>
      <c r="I27" s="137">
        <v>103.46</v>
      </c>
      <c r="J27" s="39">
        <f t="shared" si="0"/>
        <v>7242.2</v>
      </c>
      <c r="K27" s="39">
        <f t="shared" si="1"/>
        <v>7242.2</v>
      </c>
      <c r="L27" s="39">
        <v>0</v>
      </c>
      <c r="M27" s="39">
        <f>M26+K27-L27</f>
        <v>190022.20190000004</v>
      </c>
      <c r="N27" s="53"/>
    </row>
    <row r="28" spans="1:14">
      <c r="A28" s="28">
        <v>25</v>
      </c>
      <c r="B28" s="29">
        <v>45833</v>
      </c>
      <c r="C28" s="122">
        <v>0</v>
      </c>
      <c r="D28" s="136"/>
      <c r="E28" s="39">
        <v>0</v>
      </c>
      <c r="F28" s="39">
        <v>0</v>
      </c>
      <c r="G28" s="39">
        <f t="shared" si="2"/>
        <v>0</v>
      </c>
      <c r="H28" s="137">
        <v>0</v>
      </c>
      <c r="I28" s="137">
        <v>0</v>
      </c>
      <c r="J28" s="39">
        <f t="shared" si="0"/>
        <v>0</v>
      </c>
      <c r="K28" s="39">
        <f t="shared" si="1"/>
        <v>0</v>
      </c>
      <c r="L28" s="39">
        <v>0</v>
      </c>
      <c r="M28" s="39">
        <f>M27+K28-L28</f>
        <v>190022.20190000004</v>
      </c>
      <c r="N28" s="53"/>
    </row>
    <row r="29" spans="1:14">
      <c r="A29" s="28">
        <v>26</v>
      </c>
      <c r="B29" s="29">
        <v>45834</v>
      </c>
      <c r="C29" s="122">
        <v>0</v>
      </c>
      <c r="D29" s="136"/>
      <c r="E29" s="39">
        <v>0</v>
      </c>
      <c r="F29" s="39">
        <v>0</v>
      </c>
      <c r="G29" s="39">
        <f t="shared" si="2"/>
        <v>0</v>
      </c>
      <c r="H29" s="137">
        <v>0</v>
      </c>
      <c r="I29" s="137">
        <v>0</v>
      </c>
      <c r="J29" s="39">
        <f t="shared" si="0"/>
        <v>0</v>
      </c>
      <c r="K29" s="39">
        <f t="shared" si="1"/>
        <v>0</v>
      </c>
      <c r="L29" s="39">
        <v>0</v>
      </c>
      <c r="M29" s="39">
        <f>M28+K29-L29</f>
        <v>190022.20190000004</v>
      </c>
      <c r="N29" s="53"/>
    </row>
    <row r="30" spans="1:14">
      <c r="A30" s="28">
        <v>27</v>
      </c>
      <c r="B30" s="29">
        <v>45835</v>
      </c>
      <c r="C30" s="122">
        <v>0</v>
      </c>
      <c r="D30" s="136"/>
      <c r="E30" s="39">
        <v>0</v>
      </c>
      <c r="F30" s="39">
        <v>0</v>
      </c>
      <c r="G30" s="39">
        <f t="shared" si="2"/>
        <v>0</v>
      </c>
      <c r="H30" s="137">
        <v>0</v>
      </c>
      <c r="I30" s="137">
        <v>0</v>
      </c>
      <c r="J30" s="39">
        <f t="shared" si="0"/>
        <v>0</v>
      </c>
      <c r="K30" s="39">
        <f t="shared" si="1"/>
        <v>0</v>
      </c>
      <c r="L30" s="39">
        <v>0</v>
      </c>
      <c r="M30" s="39">
        <f>M29+K30-L30</f>
        <v>190022.20190000004</v>
      </c>
      <c r="N30" s="53"/>
    </row>
    <row r="31" spans="1:14">
      <c r="A31" s="28">
        <v>28</v>
      </c>
      <c r="B31" s="29">
        <v>45836</v>
      </c>
      <c r="C31" s="122">
        <v>0</v>
      </c>
      <c r="D31" s="136"/>
      <c r="E31" s="39">
        <v>2000</v>
      </c>
      <c r="F31" s="39">
        <v>91.39</v>
      </c>
      <c r="G31" s="39">
        <f t="shared" si="2"/>
        <v>182780</v>
      </c>
      <c r="H31" s="137">
        <v>70</v>
      </c>
      <c r="I31" s="137">
        <v>103.46</v>
      </c>
      <c r="J31" s="39">
        <f t="shared" si="0"/>
        <v>7242.2</v>
      </c>
      <c r="K31" s="39">
        <f t="shared" si="1"/>
        <v>190022.2</v>
      </c>
      <c r="L31" s="39">
        <v>0</v>
      </c>
      <c r="M31" s="39">
        <f>M30+K31-L31</f>
        <v>380044.40190000006</v>
      </c>
      <c r="N31" s="53"/>
    </row>
    <row r="32" spans="1:14">
      <c r="A32" s="28">
        <v>29</v>
      </c>
      <c r="B32" s="29">
        <v>45837</v>
      </c>
      <c r="C32" s="122">
        <v>0</v>
      </c>
      <c r="D32" s="136"/>
      <c r="E32" s="39">
        <v>0</v>
      </c>
      <c r="F32" s="39">
        <v>0</v>
      </c>
      <c r="G32" s="39">
        <v>0</v>
      </c>
      <c r="H32" s="137">
        <v>0</v>
      </c>
      <c r="I32" s="137">
        <v>0</v>
      </c>
      <c r="J32" s="39">
        <f t="shared" si="0"/>
        <v>0</v>
      </c>
      <c r="K32" s="39">
        <f t="shared" si="1"/>
        <v>0</v>
      </c>
      <c r="L32" s="39">
        <v>0</v>
      </c>
      <c r="M32" s="39"/>
      <c r="N32" s="53"/>
    </row>
    <row r="33" spans="1:14">
      <c r="A33" s="28">
        <v>30</v>
      </c>
      <c r="B33" s="29">
        <v>45838</v>
      </c>
      <c r="C33" s="122">
        <v>0</v>
      </c>
      <c r="D33" s="136"/>
      <c r="E33" s="39">
        <v>0</v>
      </c>
      <c r="F33" s="39">
        <v>0</v>
      </c>
      <c r="G33" s="39">
        <v>0</v>
      </c>
      <c r="H33" s="137">
        <v>0</v>
      </c>
      <c r="I33" s="137">
        <v>0</v>
      </c>
      <c r="J33" s="39">
        <f t="shared" si="0"/>
        <v>0</v>
      </c>
      <c r="K33" s="39">
        <f t="shared" si="1"/>
        <v>0</v>
      </c>
      <c r="L33" s="39">
        <v>0</v>
      </c>
      <c r="M33" s="39"/>
      <c r="N33" s="53"/>
    </row>
    <row r="34" spans="1:14">
      <c r="A34" s="28">
        <v>31</v>
      </c>
      <c r="B34" s="29"/>
      <c r="C34" s="122"/>
      <c r="D34" s="136"/>
      <c r="E34" s="39"/>
      <c r="F34" s="39"/>
      <c r="G34" s="39"/>
      <c r="H34" s="137"/>
      <c r="I34" s="137"/>
      <c r="J34" s="39"/>
      <c r="K34" s="39"/>
      <c r="L34" s="39"/>
      <c r="M34" s="39"/>
      <c r="N34" s="53"/>
    </row>
    <row r="35" spans="1:14">
      <c r="A35" s="51"/>
      <c r="B35" s="51"/>
      <c r="C35" s="51"/>
      <c r="D35" s="51"/>
      <c r="E35" s="52">
        <f>SUM(E4:E34)</f>
        <v>4000</v>
      </c>
      <c r="F35" s="52"/>
      <c r="G35" s="52">
        <f>SUM(G4:G34)</f>
        <v>365560</v>
      </c>
      <c r="H35" s="52">
        <f>SUM(H4:H34)</f>
        <v>140</v>
      </c>
      <c r="I35" s="52"/>
      <c r="J35" s="52">
        <f>SUM(J4:J34)</f>
        <v>14484.4</v>
      </c>
      <c r="K35" s="52">
        <f>SUM(K4:K34)</f>
        <v>380044.4</v>
      </c>
      <c r="L35" s="52">
        <f>SUM(L4:L34)</f>
        <v>388266.5</v>
      </c>
      <c r="M35" s="52"/>
      <c r="N35" s="52"/>
    </row>
  </sheetData>
  <mergeCells count="2">
    <mergeCell ref="A1:N1"/>
    <mergeCell ref="A3:J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6A176-B02F-4D5D-BFBA-88F02F90B0CD}">
  <dimension ref="A1:P39"/>
  <sheetViews>
    <sheetView workbookViewId="0">
      <pane ySplit="2" topLeftCell="A21" activePane="bottomLeft" state="frozen"/>
      <selection pane="bottomLeft" activeCell="P18" sqref="P18"/>
    </sheetView>
  </sheetViews>
  <sheetFormatPr defaultColWidth="12.28515625" defaultRowHeight="12.75"/>
  <cols>
    <col min="1" max="1" width="8.42578125" style="73" customWidth="1"/>
    <col min="2" max="3" width="12.28515625" style="73"/>
    <col min="4" max="4" width="13.5703125" style="73" customWidth="1"/>
    <col min="5" max="5" width="12.28515625" style="73"/>
    <col min="6" max="6" width="13.7109375" style="73" bestFit="1" customWidth="1"/>
    <col min="7" max="16384" width="12.28515625" style="73"/>
  </cols>
  <sheetData>
    <row r="1" spans="1:16" ht="15.75" customHeight="1">
      <c r="A1" s="464" t="s">
        <v>42</v>
      </c>
      <c r="B1" s="464"/>
      <c r="C1" s="464"/>
      <c r="D1" s="464"/>
      <c r="E1" s="464"/>
      <c r="F1" s="464"/>
      <c r="G1" s="464"/>
      <c r="H1" s="464"/>
      <c r="I1" s="464"/>
      <c r="J1" s="464"/>
      <c r="K1" s="464"/>
      <c r="L1" s="464"/>
      <c r="M1" s="464"/>
      <c r="N1" s="464"/>
      <c r="O1" s="72"/>
    </row>
    <row r="2" spans="1:16" ht="15.75" customHeight="1">
      <c r="A2" s="100" t="s">
        <v>102</v>
      </c>
      <c r="B2" s="101" t="s">
        <v>103</v>
      </c>
      <c r="C2" s="101" t="s">
        <v>104</v>
      </c>
      <c r="D2" s="101" t="s">
        <v>105</v>
      </c>
      <c r="E2" s="101" t="s">
        <v>106</v>
      </c>
      <c r="F2" s="101" t="s">
        <v>107</v>
      </c>
      <c r="G2" s="101" t="s">
        <v>108</v>
      </c>
      <c r="H2" s="101" t="s">
        <v>109</v>
      </c>
      <c r="I2" s="101" t="s">
        <v>107</v>
      </c>
      <c r="J2" s="127" t="s">
        <v>108</v>
      </c>
      <c r="K2" s="129" t="s">
        <v>110</v>
      </c>
      <c r="L2" s="130" t="s">
        <v>111</v>
      </c>
      <c r="M2" s="131" t="s">
        <v>149</v>
      </c>
      <c r="N2" s="102" t="s">
        <v>113</v>
      </c>
      <c r="O2" s="35"/>
    </row>
    <row r="3" spans="1:16" ht="15.75" customHeight="1">
      <c r="A3" s="445" t="s">
        <v>114</v>
      </c>
      <c r="B3" s="446"/>
      <c r="C3" s="456"/>
      <c r="D3" s="456"/>
      <c r="E3" s="456"/>
      <c r="F3" s="456"/>
      <c r="G3" s="456"/>
      <c r="H3" s="456"/>
      <c r="I3" s="456"/>
      <c r="J3" s="466"/>
      <c r="K3" s="238">
        <v>1167095.1459999997</v>
      </c>
      <c r="L3" s="239"/>
      <c r="M3" s="240">
        <f>+K3</f>
        <v>1167095.1459999997</v>
      </c>
      <c r="N3" s="239"/>
      <c r="O3" s="35"/>
      <c r="P3" s="73">
        <v>1142944.1099999999</v>
      </c>
    </row>
    <row r="4" spans="1:16" ht="15">
      <c r="A4" s="28">
        <v>1</v>
      </c>
      <c r="B4" s="29">
        <v>45809</v>
      </c>
      <c r="C4" s="122"/>
      <c r="D4" s="122"/>
      <c r="E4" s="39"/>
      <c r="F4" s="39">
        <v>0</v>
      </c>
      <c r="G4" s="39">
        <f>E4*F4</f>
        <v>0</v>
      </c>
      <c r="H4" s="235">
        <v>0</v>
      </c>
      <c r="I4" s="235">
        <v>0</v>
      </c>
      <c r="J4" s="39">
        <f>H4*I4</f>
        <v>0</v>
      </c>
      <c r="K4" s="39">
        <f>G4+J4</f>
        <v>0</v>
      </c>
      <c r="L4" s="239"/>
      <c r="M4" s="236">
        <f>M3+K4-L4</f>
        <v>1167095.1459999997</v>
      </c>
      <c r="N4" s="39"/>
      <c r="O4" s="30"/>
    </row>
    <row r="5" spans="1:16" ht="15">
      <c r="A5" s="28">
        <v>2</v>
      </c>
      <c r="B5" s="29">
        <v>45810</v>
      </c>
      <c r="C5" s="122"/>
      <c r="D5" s="122"/>
      <c r="E5" s="39"/>
      <c r="F5" s="39">
        <v>0</v>
      </c>
      <c r="G5" s="39">
        <f t="shared" ref="G5:G33" si="0">E5*F5</f>
        <v>0</v>
      </c>
      <c r="H5" s="235">
        <v>0</v>
      </c>
      <c r="I5" s="235">
        <v>0</v>
      </c>
      <c r="J5" s="39">
        <f t="shared" ref="J5:J33" si="1">H5*I5</f>
        <v>0</v>
      </c>
      <c r="K5" s="39">
        <f t="shared" ref="K5:K33" si="2">G5+J5</f>
        <v>0</v>
      </c>
      <c r="L5" s="239"/>
      <c r="M5" s="236">
        <f>M4+K5-L5</f>
        <v>1167095.1459999997</v>
      </c>
      <c r="N5" s="39"/>
      <c r="O5" s="30"/>
    </row>
    <row r="6" spans="1:16" ht="15">
      <c r="A6" s="28">
        <v>3</v>
      </c>
      <c r="B6" s="29">
        <v>45811</v>
      </c>
      <c r="C6" s="122"/>
      <c r="D6" s="122"/>
      <c r="E6" s="39"/>
      <c r="F6" s="39">
        <v>0</v>
      </c>
      <c r="G6" s="39">
        <f t="shared" si="0"/>
        <v>0</v>
      </c>
      <c r="H6" s="235">
        <v>0</v>
      </c>
      <c r="I6" s="235">
        <v>0</v>
      </c>
      <c r="J6" s="39">
        <f t="shared" si="1"/>
        <v>0</v>
      </c>
      <c r="K6" s="39">
        <f t="shared" si="2"/>
        <v>0</v>
      </c>
      <c r="L6" s="239"/>
      <c r="M6" s="236">
        <f>M5+K6-L6</f>
        <v>1167095.1459999997</v>
      </c>
      <c r="N6" s="39"/>
      <c r="O6" s="30"/>
    </row>
    <row r="7" spans="1:16" ht="15">
      <c r="A7" s="28">
        <v>4</v>
      </c>
      <c r="B7" s="29">
        <v>45812</v>
      </c>
      <c r="C7" s="122"/>
      <c r="D7" s="122"/>
      <c r="E7" s="39"/>
      <c r="F7" s="39">
        <v>0</v>
      </c>
      <c r="G7" s="39">
        <f t="shared" si="0"/>
        <v>0</v>
      </c>
      <c r="H7" s="235">
        <v>0</v>
      </c>
      <c r="I7" s="235">
        <v>0</v>
      </c>
      <c r="J7" s="39">
        <f t="shared" si="1"/>
        <v>0</v>
      </c>
      <c r="K7" s="39">
        <f t="shared" si="2"/>
        <v>0</v>
      </c>
      <c r="L7" s="239"/>
      <c r="M7" s="236">
        <f>M6+K7-L7</f>
        <v>1167095.1459999997</v>
      </c>
      <c r="N7" s="39"/>
      <c r="O7" s="30"/>
    </row>
    <row r="8" spans="1:16" ht="15">
      <c r="A8" s="28">
        <v>5</v>
      </c>
      <c r="B8" s="29">
        <v>45813</v>
      </c>
      <c r="C8" s="122"/>
      <c r="D8" s="122"/>
      <c r="E8" s="39"/>
      <c r="F8" s="39">
        <v>0</v>
      </c>
      <c r="G8" s="39">
        <f t="shared" si="0"/>
        <v>0</v>
      </c>
      <c r="H8" s="235">
        <v>0</v>
      </c>
      <c r="I8" s="235">
        <v>0</v>
      </c>
      <c r="J8" s="39">
        <f t="shared" si="1"/>
        <v>0</v>
      </c>
      <c r="K8" s="39">
        <f t="shared" si="2"/>
        <v>0</v>
      </c>
      <c r="L8" s="239"/>
      <c r="M8" s="236">
        <f>M7+K8-L8</f>
        <v>1167095.1459999997</v>
      </c>
      <c r="N8" s="39"/>
      <c r="O8" s="30"/>
    </row>
    <row r="9" spans="1:16" ht="15">
      <c r="A9" s="28">
        <v>6</v>
      </c>
      <c r="B9" s="29">
        <v>45814</v>
      </c>
      <c r="C9" s="122"/>
      <c r="D9" s="122"/>
      <c r="E9" s="39"/>
      <c r="F9" s="39">
        <v>0</v>
      </c>
      <c r="G9" s="39">
        <f t="shared" si="0"/>
        <v>0</v>
      </c>
      <c r="H9" s="235">
        <v>0</v>
      </c>
      <c r="I9" s="235">
        <v>0</v>
      </c>
      <c r="J9" s="39">
        <f t="shared" si="1"/>
        <v>0</v>
      </c>
      <c r="K9" s="39">
        <f t="shared" si="2"/>
        <v>0</v>
      </c>
      <c r="L9" s="239">
        <v>968765.11499999999</v>
      </c>
      <c r="M9" s="236">
        <f t="shared" ref="M9:M33" si="3">M8+K9-L9</f>
        <v>198330.03099999973</v>
      </c>
      <c r="N9" s="39"/>
      <c r="O9" s="30"/>
    </row>
    <row r="10" spans="1:16" ht="15">
      <c r="A10" s="28">
        <v>7</v>
      </c>
      <c r="B10" s="29">
        <v>45815</v>
      </c>
      <c r="C10" s="122"/>
      <c r="D10" s="122"/>
      <c r="E10" s="39"/>
      <c r="F10" s="39">
        <v>0</v>
      </c>
      <c r="G10" s="39">
        <f t="shared" si="0"/>
        <v>0</v>
      </c>
      <c r="H10" s="235">
        <v>0</v>
      </c>
      <c r="I10" s="235">
        <v>0</v>
      </c>
      <c r="J10" s="39">
        <f t="shared" si="1"/>
        <v>0</v>
      </c>
      <c r="K10" s="39">
        <f t="shared" si="2"/>
        <v>0</v>
      </c>
      <c r="L10" s="239"/>
      <c r="M10" s="236">
        <f t="shared" si="3"/>
        <v>198330.03099999973</v>
      </c>
      <c r="N10" s="39"/>
      <c r="O10" s="30"/>
    </row>
    <row r="11" spans="1:16" ht="15">
      <c r="A11" s="28">
        <v>8</v>
      </c>
      <c r="B11" s="29">
        <v>45816</v>
      </c>
      <c r="C11" s="122"/>
      <c r="D11" s="122"/>
      <c r="E11" s="39"/>
      <c r="F11" s="39">
        <v>0</v>
      </c>
      <c r="G11" s="39">
        <f t="shared" si="0"/>
        <v>0</v>
      </c>
      <c r="H11" s="235">
        <v>0</v>
      </c>
      <c r="I11" s="235">
        <v>0</v>
      </c>
      <c r="J11" s="39">
        <f t="shared" si="1"/>
        <v>0</v>
      </c>
      <c r="K11" s="39">
        <f t="shared" si="2"/>
        <v>0</v>
      </c>
      <c r="L11" s="239"/>
      <c r="M11" s="236">
        <f t="shared" si="3"/>
        <v>198330.03099999973</v>
      </c>
      <c r="N11" s="39"/>
      <c r="O11" s="30"/>
    </row>
    <row r="12" spans="1:16" ht="15">
      <c r="A12" s="28">
        <v>9</v>
      </c>
      <c r="B12" s="29">
        <v>45817</v>
      </c>
      <c r="C12" s="122"/>
      <c r="D12" s="122"/>
      <c r="E12" s="39"/>
      <c r="F12" s="39">
        <v>0</v>
      </c>
      <c r="G12" s="39">
        <f t="shared" si="0"/>
        <v>0</v>
      </c>
      <c r="H12" s="235">
        <v>0</v>
      </c>
      <c r="I12" s="235">
        <v>0</v>
      </c>
      <c r="J12" s="39">
        <f t="shared" si="1"/>
        <v>0</v>
      </c>
      <c r="K12" s="39">
        <f t="shared" si="2"/>
        <v>0</v>
      </c>
      <c r="L12" s="239"/>
      <c r="M12" s="236">
        <f t="shared" si="3"/>
        <v>198330.03099999973</v>
      </c>
      <c r="N12" s="39"/>
      <c r="O12" s="30"/>
    </row>
    <row r="13" spans="1:16" ht="15">
      <c r="A13" s="28">
        <v>10</v>
      </c>
      <c r="B13" s="29">
        <v>45818</v>
      </c>
      <c r="C13" s="122"/>
      <c r="D13" s="122"/>
      <c r="E13" s="39"/>
      <c r="F13" s="39">
        <v>0</v>
      </c>
      <c r="G13" s="39">
        <f t="shared" si="0"/>
        <v>0</v>
      </c>
      <c r="H13" s="235">
        <v>0</v>
      </c>
      <c r="I13" s="235">
        <v>0</v>
      </c>
      <c r="J13" s="39">
        <f t="shared" si="1"/>
        <v>0</v>
      </c>
      <c r="K13" s="39">
        <f t="shared" si="2"/>
        <v>0</v>
      </c>
      <c r="L13" s="239"/>
      <c r="M13" s="236">
        <f t="shared" si="3"/>
        <v>198330.03099999973</v>
      </c>
      <c r="N13" s="39"/>
      <c r="O13" s="30"/>
    </row>
    <row r="14" spans="1:16" ht="15">
      <c r="A14" s="28">
        <v>11</v>
      </c>
      <c r="B14" s="29">
        <v>45819</v>
      </c>
      <c r="C14" s="122"/>
      <c r="D14" s="122"/>
      <c r="E14" s="39"/>
      <c r="F14" s="39">
        <v>0</v>
      </c>
      <c r="G14" s="39">
        <f t="shared" si="0"/>
        <v>0</v>
      </c>
      <c r="H14" s="235">
        <v>0</v>
      </c>
      <c r="I14" s="235">
        <v>0</v>
      </c>
      <c r="J14" s="39">
        <f t="shared" si="1"/>
        <v>0</v>
      </c>
      <c r="K14" s="39">
        <f t="shared" si="2"/>
        <v>0</v>
      </c>
      <c r="L14" s="239"/>
      <c r="M14" s="236">
        <f t="shared" si="3"/>
        <v>198330.03099999973</v>
      </c>
      <c r="N14" s="39"/>
      <c r="O14" s="30"/>
    </row>
    <row r="15" spans="1:16" ht="15">
      <c r="A15" s="28">
        <v>12</v>
      </c>
      <c r="B15" s="29">
        <v>45820</v>
      </c>
      <c r="C15" s="122"/>
      <c r="D15" s="122"/>
      <c r="E15" s="39"/>
      <c r="F15" s="39">
        <v>0</v>
      </c>
      <c r="G15" s="39">
        <f t="shared" si="0"/>
        <v>0</v>
      </c>
      <c r="H15" s="235">
        <v>0</v>
      </c>
      <c r="I15" s="235">
        <v>0</v>
      </c>
      <c r="J15" s="39">
        <f t="shared" si="1"/>
        <v>0</v>
      </c>
      <c r="K15" s="39">
        <f t="shared" si="2"/>
        <v>0</v>
      </c>
      <c r="L15" s="239"/>
      <c r="M15" s="236">
        <f t="shared" si="3"/>
        <v>198330.03099999973</v>
      </c>
      <c r="N15" s="39"/>
      <c r="O15" s="30"/>
    </row>
    <row r="16" spans="1:16" ht="15">
      <c r="A16" s="28">
        <v>13</v>
      </c>
      <c r="B16" s="29">
        <v>45821</v>
      </c>
      <c r="C16" s="122"/>
      <c r="D16" s="122"/>
      <c r="E16" s="39"/>
      <c r="F16" s="39">
        <v>0</v>
      </c>
      <c r="G16" s="39">
        <f t="shared" si="0"/>
        <v>0</v>
      </c>
      <c r="H16" s="235">
        <v>0</v>
      </c>
      <c r="I16" s="235">
        <v>0</v>
      </c>
      <c r="J16" s="39">
        <f t="shared" si="1"/>
        <v>0</v>
      </c>
      <c r="K16" s="39">
        <f t="shared" si="2"/>
        <v>0</v>
      </c>
      <c r="L16" s="239"/>
      <c r="M16" s="236">
        <f t="shared" si="3"/>
        <v>198330.03099999973</v>
      </c>
      <c r="N16" s="39"/>
      <c r="O16" s="30"/>
    </row>
    <row r="17" spans="1:15" ht="15">
      <c r="A17" s="28">
        <v>14</v>
      </c>
      <c r="B17" s="29">
        <v>45822</v>
      </c>
      <c r="C17" s="122"/>
      <c r="D17" s="122"/>
      <c r="E17" s="39"/>
      <c r="F17" s="39">
        <v>0</v>
      </c>
      <c r="G17" s="39">
        <f t="shared" si="0"/>
        <v>0</v>
      </c>
      <c r="H17" s="235">
        <v>0</v>
      </c>
      <c r="I17" s="235">
        <v>0</v>
      </c>
      <c r="J17" s="39">
        <f t="shared" si="1"/>
        <v>0</v>
      </c>
      <c r="K17" s="39">
        <f t="shared" si="2"/>
        <v>0</v>
      </c>
      <c r="L17" s="239"/>
      <c r="M17" s="236">
        <f t="shared" si="3"/>
        <v>198330.03099999973</v>
      </c>
      <c r="N17" s="39"/>
      <c r="O17" s="30"/>
    </row>
    <row r="18" spans="1:15" ht="15">
      <c r="A18" s="28">
        <v>15</v>
      </c>
      <c r="B18" s="29">
        <v>45823</v>
      </c>
      <c r="C18" s="122"/>
      <c r="D18" s="122"/>
      <c r="E18" s="39"/>
      <c r="F18" s="39">
        <v>0</v>
      </c>
      <c r="G18" s="39">
        <f t="shared" si="0"/>
        <v>0</v>
      </c>
      <c r="H18" s="235">
        <v>0</v>
      </c>
      <c r="I18" s="235">
        <v>0</v>
      </c>
      <c r="J18" s="39">
        <f t="shared" si="1"/>
        <v>0</v>
      </c>
      <c r="K18" s="39">
        <f t="shared" si="2"/>
        <v>0</v>
      </c>
      <c r="L18" s="239"/>
      <c r="M18" s="236">
        <f t="shared" si="3"/>
        <v>198330.03099999973</v>
      </c>
      <c r="N18" s="39"/>
      <c r="O18" s="30"/>
    </row>
    <row r="19" spans="1:15" ht="15">
      <c r="A19" s="28">
        <v>16</v>
      </c>
      <c r="B19" s="29">
        <v>45824</v>
      </c>
      <c r="C19" s="122"/>
      <c r="D19" s="122"/>
      <c r="E19" s="39"/>
      <c r="F19" s="39">
        <v>0</v>
      </c>
      <c r="G19" s="39">
        <f t="shared" si="0"/>
        <v>0</v>
      </c>
      <c r="H19" s="235">
        <v>0</v>
      </c>
      <c r="I19" s="235">
        <v>0</v>
      </c>
      <c r="J19" s="39">
        <f t="shared" si="1"/>
        <v>0</v>
      </c>
      <c r="K19" s="39">
        <f t="shared" si="2"/>
        <v>0</v>
      </c>
      <c r="L19" s="239"/>
      <c r="M19" s="236">
        <f t="shared" si="3"/>
        <v>198330.03099999973</v>
      </c>
      <c r="N19" s="39"/>
      <c r="O19" s="30"/>
    </row>
    <row r="20" spans="1:15" ht="15">
      <c r="A20" s="28">
        <v>17</v>
      </c>
      <c r="B20" s="29">
        <v>45825</v>
      </c>
      <c r="C20" s="122"/>
      <c r="D20" s="122"/>
      <c r="E20" s="39"/>
      <c r="F20" s="39">
        <v>0</v>
      </c>
      <c r="G20" s="39">
        <f t="shared" si="0"/>
        <v>0</v>
      </c>
      <c r="H20" s="235">
        <v>0</v>
      </c>
      <c r="I20" s="235">
        <v>0</v>
      </c>
      <c r="J20" s="39">
        <f t="shared" si="1"/>
        <v>0</v>
      </c>
      <c r="K20" s="39">
        <f t="shared" si="2"/>
        <v>0</v>
      </c>
      <c r="L20" s="239"/>
      <c r="M20" s="236">
        <f t="shared" si="3"/>
        <v>198330.03099999973</v>
      </c>
      <c r="N20" s="39"/>
      <c r="O20" s="30"/>
    </row>
    <row r="21" spans="1:15" ht="15">
      <c r="A21" s="28">
        <v>18</v>
      </c>
      <c r="B21" s="29">
        <v>45826</v>
      </c>
      <c r="C21" s="122"/>
      <c r="D21" s="122"/>
      <c r="E21" s="39"/>
      <c r="F21" s="39">
        <v>0</v>
      </c>
      <c r="G21" s="39">
        <f t="shared" si="0"/>
        <v>0</v>
      </c>
      <c r="H21" s="235">
        <v>0</v>
      </c>
      <c r="I21" s="235">
        <v>0</v>
      </c>
      <c r="J21" s="39">
        <f t="shared" si="1"/>
        <v>0</v>
      </c>
      <c r="K21" s="39">
        <f t="shared" si="2"/>
        <v>0</v>
      </c>
      <c r="L21" s="239"/>
      <c r="M21" s="236">
        <f t="shared" si="3"/>
        <v>198330.03099999973</v>
      </c>
      <c r="N21" s="39"/>
      <c r="O21" s="30"/>
    </row>
    <row r="22" spans="1:15" ht="15">
      <c r="A22" s="28">
        <v>19</v>
      </c>
      <c r="B22" s="29">
        <v>45827</v>
      </c>
      <c r="C22" s="122"/>
      <c r="D22" s="122"/>
      <c r="E22" s="39"/>
      <c r="F22" s="39">
        <v>0</v>
      </c>
      <c r="G22" s="39">
        <f t="shared" si="0"/>
        <v>0</v>
      </c>
      <c r="H22" s="235">
        <v>0</v>
      </c>
      <c r="I22" s="235">
        <v>0</v>
      </c>
      <c r="J22" s="39">
        <f t="shared" si="1"/>
        <v>0</v>
      </c>
      <c r="K22" s="39">
        <f t="shared" si="2"/>
        <v>0</v>
      </c>
      <c r="L22" s="239"/>
      <c r="M22" s="236">
        <f t="shared" si="3"/>
        <v>198330.03099999973</v>
      </c>
      <c r="N22" s="39"/>
      <c r="O22" s="30"/>
    </row>
    <row r="23" spans="1:15" ht="15">
      <c r="A23" s="28">
        <v>20</v>
      </c>
      <c r="B23" s="29">
        <v>45828</v>
      </c>
      <c r="C23" s="122"/>
      <c r="D23" s="122"/>
      <c r="E23" s="39"/>
      <c r="F23" s="39">
        <v>0</v>
      </c>
      <c r="G23" s="39">
        <f t="shared" si="0"/>
        <v>0</v>
      </c>
      <c r="H23" s="235">
        <v>0</v>
      </c>
      <c r="I23" s="235">
        <v>0</v>
      </c>
      <c r="J23" s="39">
        <f t="shared" si="1"/>
        <v>0</v>
      </c>
      <c r="K23" s="39">
        <f t="shared" si="2"/>
        <v>0</v>
      </c>
      <c r="L23" s="239"/>
      <c r="M23" s="236">
        <f t="shared" si="3"/>
        <v>198330.03099999973</v>
      </c>
      <c r="N23" s="39"/>
      <c r="O23" s="30"/>
    </row>
    <row r="24" spans="1:15" ht="15">
      <c r="A24" s="28">
        <v>21</v>
      </c>
      <c r="B24" s="29">
        <v>45829</v>
      </c>
      <c r="C24" s="122"/>
      <c r="D24" s="122"/>
      <c r="E24" s="39"/>
      <c r="F24" s="39">
        <v>0</v>
      </c>
      <c r="G24" s="39">
        <f t="shared" si="0"/>
        <v>0</v>
      </c>
      <c r="H24" s="235">
        <v>0</v>
      </c>
      <c r="I24" s="235">
        <v>0</v>
      </c>
      <c r="J24" s="39">
        <f t="shared" si="1"/>
        <v>0</v>
      </c>
      <c r="K24" s="39">
        <f t="shared" si="2"/>
        <v>0</v>
      </c>
      <c r="L24" s="239"/>
      <c r="M24" s="236">
        <f t="shared" si="3"/>
        <v>198330.03099999973</v>
      </c>
      <c r="N24" s="39"/>
      <c r="O24" s="30"/>
    </row>
    <row r="25" spans="1:15" ht="15">
      <c r="A25" s="28">
        <v>22</v>
      </c>
      <c r="B25" s="29">
        <v>45830</v>
      </c>
      <c r="C25" s="122"/>
      <c r="D25" s="122"/>
      <c r="E25" s="39"/>
      <c r="F25" s="39">
        <v>0</v>
      </c>
      <c r="G25" s="39">
        <f t="shared" si="0"/>
        <v>0</v>
      </c>
      <c r="H25" s="235">
        <v>0</v>
      </c>
      <c r="I25" s="235">
        <v>0</v>
      </c>
      <c r="J25" s="39">
        <f t="shared" si="1"/>
        <v>0</v>
      </c>
      <c r="K25" s="39">
        <f t="shared" si="2"/>
        <v>0</v>
      </c>
      <c r="L25" s="239"/>
      <c r="M25" s="236">
        <f t="shared" si="3"/>
        <v>198330.03099999973</v>
      </c>
      <c r="N25" s="39"/>
      <c r="O25" s="30"/>
    </row>
    <row r="26" spans="1:15" ht="15">
      <c r="A26" s="28">
        <v>23</v>
      </c>
      <c r="B26" s="29">
        <v>45831</v>
      </c>
      <c r="C26" s="122"/>
      <c r="D26" s="122"/>
      <c r="E26" s="39"/>
      <c r="F26" s="39">
        <v>0</v>
      </c>
      <c r="G26" s="39">
        <f t="shared" si="0"/>
        <v>0</v>
      </c>
      <c r="H26" s="235">
        <v>0</v>
      </c>
      <c r="I26" s="235">
        <v>0</v>
      </c>
      <c r="J26" s="39">
        <f t="shared" si="1"/>
        <v>0</v>
      </c>
      <c r="K26" s="39">
        <f t="shared" si="2"/>
        <v>0</v>
      </c>
      <c r="L26" s="239"/>
      <c r="M26" s="236">
        <f t="shared" si="3"/>
        <v>198330.03099999973</v>
      </c>
      <c r="N26" s="39"/>
      <c r="O26" s="30"/>
    </row>
    <row r="27" spans="1:15" ht="15">
      <c r="A27" s="28">
        <v>24</v>
      </c>
      <c r="B27" s="29">
        <v>45832</v>
      </c>
      <c r="C27" s="122"/>
      <c r="D27" s="122"/>
      <c r="E27" s="39"/>
      <c r="F27" s="39">
        <v>0</v>
      </c>
      <c r="G27" s="39">
        <f t="shared" si="0"/>
        <v>0</v>
      </c>
      <c r="H27" s="235">
        <v>0</v>
      </c>
      <c r="I27" s="235">
        <v>0</v>
      </c>
      <c r="J27" s="39">
        <f t="shared" si="1"/>
        <v>0</v>
      </c>
      <c r="K27" s="39">
        <f t="shared" si="2"/>
        <v>0</v>
      </c>
      <c r="L27" s="239"/>
      <c r="M27" s="236">
        <f t="shared" si="3"/>
        <v>198330.03099999973</v>
      </c>
      <c r="N27" s="39"/>
      <c r="O27" s="30"/>
    </row>
    <row r="28" spans="1:15" ht="15">
      <c r="A28" s="28">
        <v>25</v>
      </c>
      <c r="B28" s="29">
        <v>45833</v>
      </c>
      <c r="C28" s="122"/>
      <c r="D28" s="122"/>
      <c r="E28" s="39"/>
      <c r="F28" s="39">
        <v>0</v>
      </c>
      <c r="G28" s="39">
        <f t="shared" si="0"/>
        <v>0</v>
      </c>
      <c r="H28" s="235">
        <v>0</v>
      </c>
      <c r="I28" s="235">
        <v>0</v>
      </c>
      <c r="J28" s="39">
        <f t="shared" si="1"/>
        <v>0</v>
      </c>
      <c r="K28" s="39">
        <f t="shared" si="2"/>
        <v>0</v>
      </c>
      <c r="L28" s="239"/>
      <c r="M28" s="236">
        <f t="shared" si="3"/>
        <v>198330.03099999973</v>
      </c>
      <c r="N28" s="39"/>
      <c r="O28" s="30"/>
    </row>
    <row r="29" spans="1:15" ht="15">
      <c r="A29" s="28">
        <v>26</v>
      </c>
      <c r="B29" s="29">
        <v>45834</v>
      </c>
      <c r="C29" s="122"/>
      <c r="D29" s="122"/>
      <c r="E29" s="39"/>
      <c r="F29" s="39">
        <v>0</v>
      </c>
      <c r="G29" s="39">
        <f t="shared" si="0"/>
        <v>0</v>
      </c>
      <c r="H29" s="235">
        <v>110</v>
      </c>
      <c r="I29" s="235">
        <v>104.27</v>
      </c>
      <c r="J29" s="39">
        <f t="shared" si="1"/>
        <v>11469.699999999999</v>
      </c>
      <c r="K29" s="39">
        <f t="shared" si="2"/>
        <v>11469.699999999999</v>
      </c>
      <c r="L29" s="239"/>
      <c r="M29" s="236">
        <f t="shared" si="3"/>
        <v>209799.73099999974</v>
      </c>
      <c r="N29" s="39"/>
      <c r="O29" s="30"/>
    </row>
    <row r="30" spans="1:15" ht="15">
      <c r="A30" s="28">
        <v>27</v>
      </c>
      <c r="B30" s="29">
        <v>45835</v>
      </c>
      <c r="C30" s="122"/>
      <c r="D30" s="122"/>
      <c r="E30" s="39"/>
      <c r="F30" s="39">
        <v>0</v>
      </c>
      <c r="G30" s="39">
        <f t="shared" si="0"/>
        <v>0</v>
      </c>
      <c r="H30" s="235">
        <v>0</v>
      </c>
      <c r="I30" s="235">
        <v>0</v>
      </c>
      <c r="J30" s="39">
        <f t="shared" si="1"/>
        <v>0</v>
      </c>
      <c r="K30" s="39">
        <f t="shared" si="2"/>
        <v>0</v>
      </c>
      <c r="L30" s="239"/>
      <c r="M30" s="236">
        <f t="shared" si="3"/>
        <v>209799.73099999974</v>
      </c>
      <c r="N30" s="39"/>
      <c r="O30" s="30"/>
    </row>
    <row r="31" spans="1:15" ht="15">
      <c r="A31" s="28">
        <v>28</v>
      </c>
      <c r="B31" s="29">
        <v>45836</v>
      </c>
      <c r="C31" s="122"/>
      <c r="D31" s="122"/>
      <c r="E31" s="39"/>
      <c r="F31" s="39">
        <v>0</v>
      </c>
      <c r="G31" s="39">
        <f t="shared" si="0"/>
        <v>0</v>
      </c>
      <c r="H31" s="235">
        <v>0</v>
      </c>
      <c r="I31" s="235">
        <v>0</v>
      </c>
      <c r="J31" s="39">
        <f t="shared" si="1"/>
        <v>0</v>
      </c>
      <c r="K31" s="39">
        <f t="shared" si="2"/>
        <v>0</v>
      </c>
      <c r="L31" s="239"/>
      <c r="M31" s="236">
        <f t="shared" si="3"/>
        <v>209799.73099999974</v>
      </c>
      <c r="N31" s="39"/>
      <c r="O31" s="30"/>
    </row>
    <row r="32" spans="1:15" ht="15">
      <c r="A32" s="28">
        <v>29</v>
      </c>
      <c r="B32" s="29">
        <v>45837</v>
      </c>
      <c r="C32" s="122"/>
      <c r="D32" s="122"/>
      <c r="E32" s="39"/>
      <c r="F32" s="39">
        <v>0</v>
      </c>
      <c r="G32" s="39">
        <f t="shared" si="0"/>
        <v>0</v>
      </c>
      <c r="H32" s="235">
        <v>0</v>
      </c>
      <c r="I32" s="235">
        <v>0</v>
      </c>
      <c r="J32" s="39">
        <f t="shared" si="1"/>
        <v>0</v>
      </c>
      <c r="K32" s="39">
        <f t="shared" si="2"/>
        <v>0</v>
      </c>
      <c r="L32" s="239"/>
      <c r="M32" s="236">
        <f t="shared" si="3"/>
        <v>209799.73099999974</v>
      </c>
      <c r="N32" s="262"/>
      <c r="O32" s="30"/>
    </row>
    <row r="33" spans="1:15" ht="15">
      <c r="A33" s="28">
        <v>30</v>
      </c>
      <c r="B33" s="29">
        <v>45838</v>
      </c>
      <c r="C33" s="122"/>
      <c r="D33" s="122"/>
      <c r="E33" s="39"/>
      <c r="F33" s="39">
        <v>0</v>
      </c>
      <c r="G33" s="39">
        <f t="shared" si="0"/>
        <v>0</v>
      </c>
      <c r="H33" s="235">
        <v>0</v>
      </c>
      <c r="I33" s="235">
        <v>0</v>
      </c>
      <c r="J33" s="39">
        <f t="shared" si="1"/>
        <v>0</v>
      </c>
      <c r="K33" s="39">
        <f t="shared" si="2"/>
        <v>0</v>
      </c>
      <c r="L33" s="239"/>
      <c r="M33" s="236">
        <f t="shared" si="3"/>
        <v>209799.73099999974</v>
      </c>
      <c r="N33" s="262"/>
      <c r="O33" s="30"/>
    </row>
    <row r="34" spans="1:15" ht="15">
      <c r="A34" s="28">
        <v>31</v>
      </c>
      <c r="B34" s="29"/>
      <c r="C34" s="122"/>
      <c r="D34" s="122"/>
      <c r="E34" s="39"/>
      <c r="F34" s="39">
        <v>0</v>
      </c>
      <c r="G34" s="39">
        <f t="shared" ref="G5:G34" si="4">E34*F34</f>
        <v>0</v>
      </c>
      <c r="H34" s="235"/>
      <c r="I34" s="235"/>
      <c r="J34" s="39">
        <f t="shared" ref="J5:J34" si="5">H34*I34</f>
        <v>0</v>
      </c>
      <c r="K34" s="39">
        <f t="shared" ref="K5:K34" si="6">G34+J34</f>
        <v>0</v>
      </c>
      <c r="L34" s="239"/>
      <c r="M34" s="262"/>
      <c r="N34" s="262"/>
      <c r="O34" s="30"/>
    </row>
    <row r="35" spans="1:15">
      <c r="A35" s="51"/>
      <c r="B35" s="51"/>
      <c r="C35" s="241"/>
      <c r="D35" s="241"/>
      <c r="E35" s="242">
        <f>SUM(E4:E34)</f>
        <v>0</v>
      </c>
      <c r="F35" s="242"/>
      <c r="G35" s="242">
        <f>SUM(G4:G34)</f>
        <v>0</v>
      </c>
      <c r="H35" s="242">
        <f>SUM(H4:H34)</f>
        <v>110</v>
      </c>
      <c r="I35" s="242"/>
      <c r="J35" s="242">
        <f>SUM(J4:J34)</f>
        <v>11469.699999999999</v>
      </c>
      <c r="K35" s="242">
        <f>SUM(K4:K34)</f>
        <v>11469.699999999999</v>
      </c>
      <c r="L35" s="242">
        <f>SUM(L4:L31)</f>
        <v>968765.11499999999</v>
      </c>
      <c r="M35" s="242"/>
      <c r="N35" s="242"/>
      <c r="O35" s="35"/>
    </row>
    <row r="36" spans="1:15">
      <c r="A36" s="32"/>
      <c r="B36" s="32"/>
      <c r="C36" s="32"/>
      <c r="D36" s="32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0"/>
    </row>
    <row r="37" spans="1:15">
      <c r="A37" s="30"/>
      <c r="B37" s="30"/>
      <c r="C37" s="30"/>
      <c r="D37" s="30"/>
      <c r="E37" s="30"/>
      <c r="F37" s="30"/>
      <c r="G37" s="33"/>
      <c r="H37" s="30"/>
      <c r="I37" s="30"/>
      <c r="J37" s="30"/>
      <c r="K37" s="30"/>
      <c r="L37" s="30"/>
      <c r="M37" s="30"/>
      <c r="N37" s="30"/>
      <c r="O37" s="34"/>
    </row>
    <row r="38" spans="1:15">
      <c r="A38" s="30"/>
      <c r="B38" s="465"/>
      <c r="C38" s="465"/>
      <c r="D38" s="465"/>
      <c r="E38" s="465"/>
      <c r="F38" s="30"/>
      <c r="G38" s="30"/>
      <c r="H38" s="30"/>
      <c r="I38" s="465"/>
      <c r="J38" s="465"/>
      <c r="K38" s="465"/>
      <c r="L38" s="465"/>
      <c r="M38" s="465"/>
      <c r="N38" s="465"/>
      <c r="O38" s="34"/>
    </row>
    <row r="39" spans="1:15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4"/>
    </row>
  </sheetData>
  <mergeCells count="4">
    <mergeCell ref="A1:N1"/>
    <mergeCell ref="B38:E38"/>
    <mergeCell ref="I38:N38"/>
    <mergeCell ref="A3:J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73574-123A-4F92-95B2-0919D70B5B11}">
  <dimension ref="A1:O37"/>
  <sheetViews>
    <sheetView workbookViewId="0">
      <pane ySplit="2" topLeftCell="A32" activePane="bottomLeft" state="frozen"/>
      <selection pane="bottomLeft" activeCell="M41" sqref="M41"/>
    </sheetView>
  </sheetViews>
  <sheetFormatPr defaultColWidth="9.28515625" defaultRowHeight="15"/>
  <cols>
    <col min="1" max="1" width="5.42578125" style="63" bestFit="1" customWidth="1"/>
    <col min="2" max="2" width="11" style="63" bestFit="1" customWidth="1"/>
    <col min="3" max="3" width="7.140625" style="63" bestFit="1" customWidth="1"/>
    <col min="4" max="4" width="15.140625" style="63" bestFit="1" customWidth="1"/>
    <col min="5" max="5" width="9.28515625" style="63"/>
    <col min="6" max="6" width="9.85546875" style="63" bestFit="1" customWidth="1"/>
    <col min="7" max="7" width="10.42578125" style="63" bestFit="1" customWidth="1"/>
    <col min="8" max="8" width="9.28515625" style="63"/>
    <col min="9" max="9" width="7.140625" style="63" bestFit="1" customWidth="1"/>
    <col min="10" max="10" width="9.5703125" style="63" bestFit="1" customWidth="1"/>
    <col min="11" max="11" width="12.28515625" style="63" customWidth="1"/>
    <col min="12" max="12" width="11.7109375" style="63" bestFit="1" customWidth="1"/>
    <col min="13" max="13" width="11.7109375" style="63" customWidth="1"/>
    <col min="14" max="14" width="17.7109375" style="63" bestFit="1" customWidth="1"/>
    <col min="15" max="16384" width="9.28515625" style="63"/>
  </cols>
  <sheetData>
    <row r="1" spans="1:15" ht="15.75">
      <c r="A1" s="467" t="s">
        <v>44</v>
      </c>
      <c r="B1" s="467"/>
      <c r="C1" s="467"/>
      <c r="D1" s="467"/>
      <c r="E1" s="467"/>
      <c r="F1" s="467"/>
      <c r="G1" s="467"/>
      <c r="H1" s="467"/>
      <c r="I1" s="467"/>
      <c r="J1" s="467"/>
      <c r="K1" s="467"/>
      <c r="L1" s="467"/>
      <c r="M1" s="467"/>
      <c r="N1" s="467"/>
    </row>
    <row r="2" spans="1:15">
      <c r="A2" s="100" t="s">
        <v>102</v>
      </c>
      <c r="B2" s="101" t="s">
        <v>103</v>
      </c>
      <c r="C2" s="101" t="s">
        <v>104</v>
      </c>
      <c r="D2" s="101" t="s">
        <v>105</v>
      </c>
      <c r="E2" s="101" t="s">
        <v>106</v>
      </c>
      <c r="F2" s="101" t="s">
        <v>107</v>
      </c>
      <c r="G2" s="101" t="s">
        <v>108</v>
      </c>
      <c r="H2" s="101" t="s">
        <v>109</v>
      </c>
      <c r="I2" s="101" t="s">
        <v>107</v>
      </c>
      <c r="J2" s="127" t="s">
        <v>108</v>
      </c>
      <c r="K2" s="129" t="s">
        <v>110</v>
      </c>
      <c r="L2" s="130" t="s">
        <v>111</v>
      </c>
      <c r="M2" s="131" t="s">
        <v>149</v>
      </c>
      <c r="N2" s="102" t="s">
        <v>113</v>
      </c>
      <c r="O2" s="35"/>
    </row>
    <row r="3" spans="1:15" ht="15.75">
      <c r="A3" s="445" t="s">
        <v>114</v>
      </c>
      <c r="B3" s="446"/>
      <c r="C3" s="446"/>
      <c r="D3" s="446"/>
      <c r="E3" s="446"/>
      <c r="F3" s="446"/>
      <c r="G3" s="446"/>
      <c r="H3" s="446"/>
      <c r="I3" s="446"/>
      <c r="J3" s="461"/>
      <c r="K3" s="64">
        <v>87640.800000000032</v>
      </c>
      <c r="L3" s="61"/>
      <c r="M3" s="135">
        <f>+K3</f>
        <v>87640.800000000032</v>
      </c>
      <c r="N3" s="61"/>
    </row>
    <row r="4" spans="1:15" ht="15.75">
      <c r="A4" s="28">
        <v>1</v>
      </c>
      <c r="B4" s="29">
        <v>45809</v>
      </c>
      <c r="C4" s="133"/>
      <c r="D4" s="134"/>
      <c r="E4" s="92">
        <v>0</v>
      </c>
      <c r="F4" s="132"/>
      <c r="G4" s="132">
        <f>E4*F4</f>
        <v>0</v>
      </c>
      <c r="H4" s="132">
        <v>0</v>
      </c>
      <c r="I4" s="132">
        <v>0</v>
      </c>
      <c r="J4" s="132">
        <f>H4*I4</f>
        <v>0</v>
      </c>
      <c r="K4" s="132">
        <f>G4+J4</f>
        <v>0</v>
      </c>
      <c r="L4" s="132"/>
      <c r="M4" s="138">
        <f>M3+K4-L4</f>
        <v>87640.800000000032</v>
      </c>
      <c r="N4" s="132"/>
    </row>
    <row r="5" spans="1:15" ht="15.75">
      <c r="A5" s="28">
        <v>2</v>
      </c>
      <c r="B5" s="29">
        <v>45810</v>
      </c>
      <c r="C5" s="25"/>
      <c r="D5" s="26"/>
      <c r="E5" s="92">
        <v>0</v>
      </c>
      <c r="F5" s="132"/>
      <c r="G5" s="132">
        <f t="shared" ref="G5:G34" si="0">E5*F5</f>
        <v>0</v>
      </c>
      <c r="H5" s="132">
        <v>0</v>
      </c>
      <c r="I5" s="132">
        <v>0</v>
      </c>
      <c r="J5" s="132">
        <f t="shared" ref="J5:J34" si="1">H5*I5</f>
        <v>0</v>
      </c>
      <c r="K5" s="132">
        <f t="shared" ref="K5:K34" si="2">G5+J5</f>
        <v>0</v>
      </c>
      <c r="L5" s="132"/>
      <c r="M5" s="138">
        <f>M4+K5-L5</f>
        <v>87640.800000000032</v>
      </c>
      <c r="N5" s="53"/>
    </row>
    <row r="6" spans="1:15" ht="18.75" customHeight="1">
      <c r="A6" s="28">
        <v>3</v>
      </c>
      <c r="B6" s="29">
        <v>45811</v>
      </c>
      <c r="C6" s="245"/>
      <c r="D6" s="221"/>
      <c r="E6" s="92">
        <v>0</v>
      </c>
      <c r="F6" s="132"/>
      <c r="G6" s="132">
        <f t="shared" si="0"/>
        <v>0</v>
      </c>
      <c r="H6" s="132">
        <v>0</v>
      </c>
      <c r="I6" s="132">
        <v>0</v>
      </c>
      <c r="J6" s="132">
        <f t="shared" si="1"/>
        <v>0</v>
      </c>
      <c r="K6" s="132">
        <f t="shared" si="2"/>
        <v>0</v>
      </c>
      <c r="L6" s="132"/>
      <c r="M6" s="138">
        <f>M5+K6-L6</f>
        <v>87640.800000000032</v>
      </c>
      <c r="N6" s="61"/>
    </row>
    <row r="7" spans="1:15" ht="15.75">
      <c r="A7" s="28">
        <v>4</v>
      </c>
      <c r="B7" s="29">
        <v>45812</v>
      </c>
      <c r="C7" s="243"/>
      <c r="D7" s="244"/>
      <c r="E7" s="92">
        <v>0</v>
      </c>
      <c r="F7" s="132"/>
      <c r="G7" s="132">
        <f t="shared" si="0"/>
        <v>0</v>
      </c>
      <c r="H7" s="132">
        <v>0</v>
      </c>
      <c r="I7" s="132">
        <v>0</v>
      </c>
      <c r="J7" s="132">
        <f t="shared" si="1"/>
        <v>0</v>
      </c>
      <c r="K7" s="132">
        <f t="shared" si="2"/>
        <v>0</v>
      </c>
      <c r="L7" s="132"/>
      <c r="M7" s="138">
        <f>M6+K7-L7</f>
        <v>87640.800000000032</v>
      </c>
      <c r="N7" s="53"/>
    </row>
    <row r="8" spans="1:15" ht="15.75" customHeight="1">
      <c r="A8" s="28">
        <v>5</v>
      </c>
      <c r="B8" s="29">
        <v>45813</v>
      </c>
      <c r="C8" s="132"/>
      <c r="D8" s="132"/>
      <c r="E8" s="92">
        <v>0</v>
      </c>
      <c r="F8" s="132"/>
      <c r="G8" s="132">
        <f t="shared" si="0"/>
        <v>0</v>
      </c>
      <c r="H8" s="132">
        <v>0</v>
      </c>
      <c r="I8" s="132">
        <v>0</v>
      </c>
      <c r="J8" s="132">
        <f t="shared" si="1"/>
        <v>0</v>
      </c>
      <c r="K8" s="132">
        <f t="shared" si="2"/>
        <v>0</v>
      </c>
      <c r="L8" s="132">
        <v>87640.8</v>
      </c>
      <c r="M8" s="138">
        <f>M7+K8-L8</f>
        <v>0</v>
      </c>
      <c r="N8" s="61"/>
    </row>
    <row r="9" spans="1:15" ht="15.75" customHeight="1">
      <c r="A9" s="28">
        <v>6</v>
      </c>
      <c r="B9" s="29">
        <v>45814</v>
      </c>
      <c r="C9" s="61"/>
      <c r="D9" s="132"/>
      <c r="E9" s="92">
        <v>0</v>
      </c>
      <c r="F9" s="132"/>
      <c r="G9" s="132">
        <f t="shared" si="0"/>
        <v>0</v>
      </c>
      <c r="H9" s="132">
        <v>0</v>
      </c>
      <c r="I9" s="132">
        <v>0</v>
      </c>
      <c r="J9" s="132">
        <f t="shared" si="1"/>
        <v>0</v>
      </c>
      <c r="K9" s="132">
        <f t="shared" si="2"/>
        <v>0</v>
      </c>
      <c r="L9" s="132"/>
      <c r="M9" s="138">
        <f>M8+K9-L9</f>
        <v>0</v>
      </c>
      <c r="N9" s="61"/>
    </row>
    <row r="10" spans="1:15" ht="15.75" customHeight="1">
      <c r="A10" s="28">
        <v>7</v>
      </c>
      <c r="B10" s="29">
        <v>45815</v>
      </c>
      <c r="C10" s="61"/>
      <c r="D10" s="132"/>
      <c r="E10" s="92">
        <v>0</v>
      </c>
      <c r="F10" s="132"/>
      <c r="G10" s="132">
        <f t="shared" si="0"/>
        <v>0</v>
      </c>
      <c r="H10" s="132">
        <v>0</v>
      </c>
      <c r="I10" s="132">
        <v>0</v>
      </c>
      <c r="J10" s="132">
        <f t="shared" si="1"/>
        <v>0</v>
      </c>
      <c r="K10" s="132">
        <f t="shared" si="2"/>
        <v>0</v>
      </c>
      <c r="L10" s="132"/>
      <c r="M10" s="138">
        <f>M9+K10-L10</f>
        <v>0</v>
      </c>
      <c r="N10" s="61"/>
    </row>
    <row r="11" spans="1:15" ht="15.75" customHeight="1">
      <c r="A11" s="28">
        <v>8</v>
      </c>
      <c r="B11" s="29">
        <v>45816</v>
      </c>
      <c r="C11" s="61"/>
      <c r="D11" s="132"/>
      <c r="E11" s="92">
        <v>0</v>
      </c>
      <c r="F11" s="132"/>
      <c r="G11" s="132">
        <f t="shared" si="0"/>
        <v>0</v>
      </c>
      <c r="H11" s="132">
        <v>0</v>
      </c>
      <c r="I11" s="132">
        <v>0</v>
      </c>
      <c r="J11" s="132">
        <f t="shared" si="1"/>
        <v>0</v>
      </c>
      <c r="K11" s="132">
        <f t="shared" si="2"/>
        <v>0</v>
      </c>
      <c r="L11" s="132"/>
      <c r="M11" s="138">
        <f>M10+K11-L11</f>
        <v>0</v>
      </c>
      <c r="N11" s="61"/>
    </row>
    <row r="12" spans="1:15" ht="15.75" customHeight="1">
      <c r="A12" s="28">
        <v>9</v>
      </c>
      <c r="B12" s="29">
        <v>45817</v>
      </c>
      <c r="C12" s="61"/>
      <c r="D12" s="132"/>
      <c r="E12" s="92">
        <v>0</v>
      </c>
      <c r="F12" s="132"/>
      <c r="G12" s="132">
        <f t="shared" si="0"/>
        <v>0</v>
      </c>
      <c r="H12" s="132">
        <v>0</v>
      </c>
      <c r="I12" s="132">
        <v>0</v>
      </c>
      <c r="J12" s="132">
        <f t="shared" si="1"/>
        <v>0</v>
      </c>
      <c r="K12" s="132">
        <f t="shared" si="2"/>
        <v>0</v>
      </c>
      <c r="L12" s="132"/>
      <c r="M12" s="138">
        <f>M11+K12-L12</f>
        <v>0</v>
      </c>
      <c r="N12" s="61"/>
    </row>
    <row r="13" spans="1:15" ht="15.75" customHeight="1">
      <c r="A13" s="28">
        <v>10</v>
      </c>
      <c r="B13" s="29">
        <v>45818</v>
      </c>
      <c r="C13" s="61"/>
      <c r="D13" s="132"/>
      <c r="E13" s="92">
        <v>2000</v>
      </c>
      <c r="F13" s="132">
        <v>92.1</v>
      </c>
      <c r="G13" s="132">
        <f t="shared" si="0"/>
        <v>184200</v>
      </c>
      <c r="H13" s="132">
        <v>70</v>
      </c>
      <c r="I13" s="132">
        <v>103.86</v>
      </c>
      <c r="J13" s="132">
        <f t="shared" si="1"/>
        <v>7270.2</v>
      </c>
      <c r="K13" s="132">
        <f t="shared" si="2"/>
        <v>191470.2</v>
      </c>
      <c r="L13" s="132"/>
      <c r="M13" s="138">
        <f>M12+K13-L13</f>
        <v>191470.2</v>
      </c>
      <c r="N13" s="61"/>
    </row>
    <row r="14" spans="1:15" ht="15.75" customHeight="1">
      <c r="A14" s="28">
        <v>11</v>
      </c>
      <c r="B14" s="29">
        <v>45819</v>
      </c>
      <c r="C14" s="61"/>
      <c r="D14" s="132"/>
      <c r="E14" s="92">
        <v>0</v>
      </c>
      <c r="F14" s="132"/>
      <c r="G14" s="132">
        <f t="shared" si="0"/>
        <v>0</v>
      </c>
      <c r="H14" s="132">
        <v>0</v>
      </c>
      <c r="I14" s="132">
        <v>0</v>
      </c>
      <c r="J14" s="132">
        <f t="shared" si="1"/>
        <v>0</v>
      </c>
      <c r="K14" s="132">
        <f t="shared" si="2"/>
        <v>0</v>
      </c>
      <c r="L14" s="132"/>
      <c r="M14" s="138">
        <f>M13+K14-L14</f>
        <v>191470.2</v>
      </c>
      <c r="N14" s="61"/>
    </row>
    <row r="15" spans="1:15" ht="15.75" customHeight="1">
      <c r="A15" s="28">
        <v>12</v>
      </c>
      <c r="B15" s="29">
        <v>45820</v>
      </c>
      <c r="C15" s="61"/>
      <c r="D15" s="132"/>
      <c r="E15" s="92">
        <v>0</v>
      </c>
      <c r="F15" s="132"/>
      <c r="G15" s="132">
        <f t="shared" si="0"/>
        <v>0</v>
      </c>
      <c r="H15" s="132">
        <v>0</v>
      </c>
      <c r="I15" s="132">
        <v>0</v>
      </c>
      <c r="J15" s="132">
        <f t="shared" si="1"/>
        <v>0</v>
      </c>
      <c r="K15" s="132">
        <f t="shared" si="2"/>
        <v>0</v>
      </c>
      <c r="L15" s="132"/>
      <c r="M15" s="138">
        <f>M14+K15-L15</f>
        <v>191470.2</v>
      </c>
      <c r="N15" s="61"/>
    </row>
    <row r="16" spans="1:15" ht="15.75" customHeight="1">
      <c r="A16" s="28">
        <v>13</v>
      </c>
      <c r="B16" s="29">
        <v>45821</v>
      </c>
      <c r="C16" s="61"/>
      <c r="D16" s="132"/>
      <c r="E16" s="92">
        <v>0</v>
      </c>
      <c r="F16" s="132"/>
      <c r="G16" s="132">
        <f t="shared" si="0"/>
        <v>0</v>
      </c>
      <c r="H16" s="132">
        <v>0</v>
      </c>
      <c r="I16" s="132">
        <v>0</v>
      </c>
      <c r="J16" s="132">
        <f t="shared" si="1"/>
        <v>0</v>
      </c>
      <c r="K16" s="132">
        <f t="shared" si="2"/>
        <v>0</v>
      </c>
      <c r="L16" s="132"/>
      <c r="M16" s="138">
        <f>M15+K16-L16</f>
        <v>191470.2</v>
      </c>
      <c r="N16" s="61"/>
    </row>
    <row r="17" spans="1:14" ht="15.75" customHeight="1">
      <c r="A17" s="28">
        <v>14</v>
      </c>
      <c r="B17" s="29">
        <v>45822</v>
      </c>
      <c r="C17" s="61"/>
      <c r="D17" s="132"/>
      <c r="E17" s="92">
        <v>0</v>
      </c>
      <c r="F17" s="132"/>
      <c r="G17" s="132">
        <f t="shared" si="0"/>
        <v>0</v>
      </c>
      <c r="H17" s="132">
        <v>0</v>
      </c>
      <c r="I17" s="132">
        <v>0</v>
      </c>
      <c r="J17" s="132">
        <f t="shared" si="1"/>
        <v>0</v>
      </c>
      <c r="K17" s="132">
        <f t="shared" si="2"/>
        <v>0</v>
      </c>
      <c r="L17" s="132"/>
      <c r="M17" s="138">
        <f>M16+K17-L17</f>
        <v>191470.2</v>
      </c>
      <c r="N17" s="61"/>
    </row>
    <row r="18" spans="1:14" ht="15.75" customHeight="1">
      <c r="A18" s="28">
        <v>15</v>
      </c>
      <c r="B18" s="29">
        <v>45823</v>
      </c>
      <c r="C18" s="61"/>
      <c r="D18" s="132"/>
      <c r="E18" s="92">
        <v>0</v>
      </c>
      <c r="F18" s="132"/>
      <c r="G18" s="132">
        <f t="shared" si="0"/>
        <v>0</v>
      </c>
      <c r="H18" s="132">
        <v>0</v>
      </c>
      <c r="I18" s="132">
        <v>0</v>
      </c>
      <c r="J18" s="132">
        <f t="shared" si="1"/>
        <v>0</v>
      </c>
      <c r="K18" s="132">
        <f t="shared" si="2"/>
        <v>0</v>
      </c>
      <c r="L18" s="132"/>
      <c r="M18" s="138">
        <f>M17+K18-L18</f>
        <v>191470.2</v>
      </c>
      <c r="N18" s="61"/>
    </row>
    <row r="19" spans="1:14" ht="15.75" customHeight="1">
      <c r="A19" s="28">
        <v>16</v>
      </c>
      <c r="B19" s="29">
        <v>45824</v>
      </c>
      <c r="C19" s="61"/>
      <c r="D19" s="132"/>
      <c r="E19" s="92">
        <v>0</v>
      </c>
      <c r="F19" s="132"/>
      <c r="G19" s="132">
        <f t="shared" si="0"/>
        <v>0</v>
      </c>
      <c r="H19" s="132">
        <v>0</v>
      </c>
      <c r="I19" s="132">
        <v>0</v>
      </c>
      <c r="J19" s="132">
        <f t="shared" si="1"/>
        <v>0</v>
      </c>
      <c r="K19" s="132">
        <f t="shared" si="2"/>
        <v>0</v>
      </c>
      <c r="L19" s="132"/>
      <c r="M19" s="138">
        <f>M18+K19-L19</f>
        <v>191470.2</v>
      </c>
      <c r="N19" s="61"/>
    </row>
    <row r="20" spans="1:14" ht="15.75" customHeight="1">
      <c r="A20" s="28">
        <v>17</v>
      </c>
      <c r="B20" s="29">
        <v>45825</v>
      </c>
      <c r="C20" s="61"/>
      <c r="D20" s="132"/>
      <c r="E20" s="92">
        <v>0</v>
      </c>
      <c r="F20" s="132"/>
      <c r="G20" s="132">
        <f t="shared" si="0"/>
        <v>0</v>
      </c>
      <c r="H20" s="132">
        <v>0</v>
      </c>
      <c r="I20" s="132">
        <v>0</v>
      </c>
      <c r="J20" s="132">
        <f t="shared" si="1"/>
        <v>0</v>
      </c>
      <c r="K20" s="132">
        <f t="shared" si="2"/>
        <v>0</v>
      </c>
      <c r="L20" s="132"/>
      <c r="M20" s="138">
        <f>M19+K20-L20</f>
        <v>191470.2</v>
      </c>
      <c r="N20" s="61"/>
    </row>
    <row r="21" spans="1:14" ht="15.75" customHeight="1">
      <c r="A21" s="28">
        <v>18</v>
      </c>
      <c r="B21" s="29">
        <v>45826</v>
      </c>
      <c r="C21" s="61"/>
      <c r="D21" s="132"/>
      <c r="E21" s="92">
        <v>0</v>
      </c>
      <c r="F21" s="132"/>
      <c r="G21" s="132">
        <f t="shared" si="0"/>
        <v>0</v>
      </c>
      <c r="H21" s="132">
        <v>0</v>
      </c>
      <c r="I21" s="132">
        <v>0</v>
      </c>
      <c r="J21" s="132">
        <f t="shared" si="1"/>
        <v>0</v>
      </c>
      <c r="K21" s="132">
        <f t="shared" si="2"/>
        <v>0</v>
      </c>
      <c r="L21" s="132"/>
      <c r="M21" s="138">
        <f>M20+K21-L21</f>
        <v>191470.2</v>
      </c>
      <c r="N21" s="61"/>
    </row>
    <row r="22" spans="1:14" ht="15.75" customHeight="1">
      <c r="A22" s="28">
        <v>19</v>
      </c>
      <c r="B22" s="29">
        <v>45827</v>
      </c>
      <c r="C22" s="61"/>
      <c r="D22" s="132"/>
      <c r="E22" s="92">
        <v>0</v>
      </c>
      <c r="F22" s="132"/>
      <c r="G22" s="132">
        <f t="shared" si="0"/>
        <v>0</v>
      </c>
      <c r="H22" s="132">
        <v>0</v>
      </c>
      <c r="I22" s="132">
        <v>0</v>
      </c>
      <c r="J22" s="132">
        <f t="shared" si="1"/>
        <v>0</v>
      </c>
      <c r="K22" s="132">
        <f t="shared" si="2"/>
        <v>0</v>
      </c>
      <c r="L22" s="132"/>
      <c r="M22" s="138">
        <f>M21+K22-L22</f>
        <v>191470.2</v>
      </c>
      <c r="N22" s="61"/>
    </row>
    <row r="23" spans="1:14" ht="15.75" customHeight="1">
      <c r="A23" s="28">
        <v>20</v>
      </c>
      <c r="B23" s="29">
        <v>45828</v>
      </c>
      <c r="C23" s="61"/>
      <c r="D23" s="132"/>
      <c r="E23" s="92">
        <v>0</v>
      </c>
      <c r="F23" s="132"/>
      <c r="G23" s="132">
        <f t="shared" si="0"/>
        <v>0</v>
      </c>
      <c r="H23" s="132">
        <v>70</v>
      </c>
      <c r="I23" s="132">
        <v>103.86</v>
      </c>
      <c r="J23" s="132">
        <f t="shared" si="1"/>
        <v>7270.2</v>
      </c>
      <c r="K23" s="132">
        <f t="shared" si="2"/>
        <v>7270.2</v>
      </c>
      <c r="L23" s="132"/>
      <c r="M23" s="138">
        <f>M22+K23-L23</f>
        <v>198740.40000000002</v>
      </c>
      <c r="N23" s="61"/>
    </row>
    <row r="24" spans="1:14" ht="15.75" customHeight="1">
      <c r="A24" s="28">
        <v>21</v>
      </c>
      <c r="B24" s="29">
        <v>45829</v>
      </c>
      <c r="C24" s="61"/>
      <c r="D24" s="132"/>
      <c r="E24" s="92">
        <v>2000</v>
      </c>
      <c r="F24" s="132">
        <v>92.1</v>
      </c>
      <c r="G24" s="132">
        <f t="shared" si="0"/>
        <v>184200</v>
      </c>
      <c r="H24" s="132">
        <v>0</v>
      </c>
      <c r="I24" s="132">
        <v>0</v>
      </c>
      <c r="J24" s="132">
        <f t="shared" si="1"/>
        <v>0</v>
      </c>
      <c r="K24" s="132">
        <f t="shared" si="2"/>
        <v>184200</v>
      </c>
      <c r="L24" s="132"/>
      <c r="M24" s="138">
        <f>M23+K24-L24</f>
        <v>382940.4</v>
      </c>
      <c r="N24" s="61"/>
    </row>
    <row r="25" spans="1:14" ht="15.75" customHeight="1">
      <c r="A25" s="28">
        <v>22</v>
      </c>
      <c r="B25" s="29">
        <v>45830</v>
      </c>
      <c r="C25" s="61"/>
      <c r="D25" s="132"/>
      <c r="E25" s="92">
        <v>0</v>
      </c>
      <c r="F25" s="132"/>
      <c r="G25" s="132">
        <f t="shared" si="0"/>
        <v>0</v>
      </c>
      <c r="H25" s="132">
        <v>0</v>
      </c>
      <c r="I25" s="132">
        <v>0</v>
      </c>
      <c r="J25" s="132">
        <f t="shared" si="1"/>
        <v>0</v>
      </c>
      <c r="K25" s="132">
        <f t="shared" si="2"/>
        <v>0</v>
      </c>
      <c r="L25" s="132"/>
      <c r="M25" s="138">
        <f>M24+K25-L25</f>
        <v>382940.4</v>
      </c>
      <c r="N25" s="61"/>
    </row>
    <row r="26" spans="1:14" ht="15.75" customHeight="1">
      <c r="A26" s="28">
        <v>23</v>
      </c>
      <c r="B26" s="29">
        <v>45831</v>
      </c>
      <c r="C26" s="61"/>
      <c r="D26" s="132"/>
      <c r="E26" s="92">
        <v>0</v>
      </c>
      <c r="F26" s="132"/>
      <c r="G26" s="132">
        <f t="shared" si="0"/>
        <v>0</v>
      </c>
      <c r="H26" s="132">
        <v>0</v>
      </c>
      <c r="I26" s="132">
        <v>0</v>
      </c>
      <c r="J26" s="132">
        <f t="shared" si="1"/>
        <v>0</v>
      </c>
      <c r="K26" s="132">
        <f t="shared" si="2"/>
        <v>0</v>
      </c>
      <c r="L26" s="132"/>
      <c r="M26" s="138">
        <f>M25+K26-L26</f>
        <v>382940.4</v>
      </c>
      <c r="N26" s="61"/>
    </row>
    <row r="27" spans="1:14" ht="15.75" customHeight="1">
      <c r="A27" s="28">
        <v>24</v>
      </c>
      <c r="B27" s="29">
        <v>45832</v>
      </c>
      <c r="C27" s="61"/>
      <c r="D27" s="132"/>
      <c r="E27" s="92">
        <v>0</v>
      </c>
      <c r="F27" s="132"/>
      <c r="G27" s="132">
        <f t="shared" si="0"/>
        <v>0</v>
      </c>
      <c r="H27" s="132">
        <v>0</v>
      </c>
      <c r="I27" s="132">
        <v>0</v>
      </c>
      <c r="J27" s="132">
        <f t="shared" si="1"/>
        <v>0</v>
      </c>
      <c r="K27" s="132">
        <f t="shared" si="2"/>
        <v>0</v>
      </c>
      <c r="L27" s="132"/>
      <c r="M27" s="138">
        <f>M26+K27-L27</f>
        <v>382940.4</v>
      </c>
      <c r="N27" s="61"/>
    </row>
    <row r="28" spans="1:14" ht="15.75" customHeight="1">
      <c r="A28" s="28">
        <v>25</v>
      </c>
      <c r="B28" s="29">
        <v>45833</v>
      </c>
      <c r="C28" s="61"/>
      <c r="D28" s="132"/>
      <c r="E28" s="92">
        <v>0</v>
      </c>
      <c r="F28" s="132"/>
      <c r="G28" s="132">
        <f t="shared" si="0"/>
        <v>0</v>
      </c>
      <c r="H28" s="132">
        <v>0</v>
      </c>
      <c r="I28" s="132">
        <v>0</v>
      </c>
      <c r="J28" s="132">
        <f t="shared" si="1"/>
        <v>0</v>
      </c>
      <c r="K28" s="132">
        <f t="shared" si="2"/>
        <v>0</v>
      </c>
      <c r="L28" s="132"/>
      <c r="M28" s="138">
        <f>M27+K28-L28</f>
        <v>382940.4</v>
      </c>
      <c r="N28" s="61"/>
    </row>
    <row r="29" spans="1:14" ht="15.75" customHeight="1">
      <c r="A29" s="28">
        <v>26</v>
      </c>
      <c r="B29" s="29">
        <v>45834</v>
      </c>
      <c r="C29" s="61"/>
      <c r="D29" s="132"/>
      <c r="E29" s="92">
        <v>0</v>
      </c>
      <c r="F29" s="132"/>
      <c r="G29" s="132">
        <f t="shared" si="0"/>
        <v>0</v>
      </c>
      <c r="H29" s="132">
        <v>0</v>
      </c>
      <c r="I29" s="132">
        <v>0</v>
      </c>
      <c r="J29" s="132">
        <f t="shared" si="1"/>
        <v>0</v>
      </c>
      <c r="K29" s="132">
        <f t="shared" si="2"/>
        <v>0</v>
      </c>
      <c r="L29" s="132"/>
      <c r="M29" s="138">
        <f>M28+K29-L29</f>
        <v>382940.4</v>
      </c>
      <c r="N29" s="61"/>
    </row>
    <row r="30" spans="1:14" ht="15.75" customHeight="1">
      <c r="A30" s="28">
        <v>27</v>
      </c>
      <c r="B30" s="29">
        <v>45835</v>
      </c>
      <c r="C30" s="61"/>
      <c r="D30" s="132"/>
      <c r="E30" s="92">
        <v>0</v>
      </c>
      <c r="F30" s="132"/>
      <c r="G30" s="132">
        <f t="shared" si="0"/>
        <v>0</v>
      </c>
      <c r="H30" s="132">
        <v>0</v>
      </c>
      <c r="I30" s="132">
        <v>0</v>
      </c>
      <c r="J30" s="132">
        <f t="shared" si="1"/>
        <v>0</v>
      </c>
      <c r="K30" s="132">
        <f t="shared" si="2"/>
        <v>0</v>
      </c>
      <c r="L30" s="132"/>
      <c r="M30" s="138">
        <f>M29+K30-L30</f>
        <v>382940.4</v>
      </c>
      <c r="N30" s="61"/>
    </row>
    <row r="31" spans="1:14" ht="15.75" customHeight="1">
      <c r="A31" s="28">
        <v>28</v>
      </c>
      <c r="B31" s="29">
        <v>45836</v>
      </c>
      <c r="C31" s="61"/>
      <c r="D31" s="132"/>
      <c r="E31" s="92">
        <v>0</v>
      </c>
      <c r="F31" s="132"/>
      <c r="G31" s="132">
        <f t="shared" si="0"/>
        <v>0</v>
      </c>
      <c r="H31" s="132">
        <v>0</v>
      </c>
      <c r="I31" s="132">
        <v>0</v>
      </c>
      <c r="J31" s="132">
        <f t="shared" si="1"/>
        <v>0</v>
      </c>
      <c r="K31" s="132">
        <f t="shared" si="2"/>
        <v>0</v>
      </c>
      <c r="L31" s="132"/>
      <c r="M31" s="138">
        <f>M30+K31-L31</f>
        <v>382940.4</v>
      </c>
      <c r="N31" s="61"/>
    </row>
    <row r="32" spans="1:14" ht="15.75" customHeight="1">
      <c r="A32" s="28">
        <v>29</v>
      </c>
      <c r="B32" s="29">
        <v>45837</v>
      </c>
      <c r="C32" s="61"/>
      <c r="D32" s="132"/>
      <c r="E32" s="92">
        <v>0</v>
      </c>
      <c r="F32" s="132"/>
      <c r="G32" s="132">
        <f t="shared" si="0"/>
        <v>0</v>
      </c>
      <c r="H32" s="132">
        <v>0</v>
      </c>
      <c r="I32" s="132">
        <v>0</v>
      </c>
      <c r="J32" s="132">
        <f t="shared" si="1"/>
        <v>0</v>
      </c>
      <c r="K32" s="132">
        <f t="shared" si="2"/>
        <v>0</v>
      </c>
      <c r="L32" s="132"/>
      <c r="M32" s="138">
        <f>M31+K32-L32</f>
        <v>382940.4</v>
      </c>
      <c r="N32" s="61"/>
    </row>
    <row r="33" spans="1:15" ht="15.75" customHeight="1">
      <c r="A33" s="28">
        <v>30</v>
      </c>
      <c r="B33" s="29">
        <v>45838</v>
      </c>
      <c r="C33" s="61"/>
      <c r="D33" s="132"/>
      <c r="E33" s="92">
        <v>0</v>
      </c>
      <c r="F33" s="132"/>
      <c r="G33" s="132">
        <f t="shared" si="0"/>
        <v>0</v>
      </c>
      <c r="H33" s="132">
        <v>0</v>
      </c>
      <c r="I33" s="132">
        <v>0</v>
      </c>
      <c r="J33" s="132">
        <f t="shared" si="1"/>
        <v>0</v>
      </c>
      <c r="K33" s="132">
        <f t="shared" si="2"/>
        <v>0</v>
      </c>
      <c r="L33" s="132"/>
      <c r="M33" s="138">
        <f>M32+K33-L33</f>
        <v>382940.4</v>
      </c>
      <c r="N33" s="61"/>
    </row>
    <row r="34" spans="1:15" ht="15.75" customHeight="1">
      <c r="A34" s="28">
        <v>31</v>
      </c>
      <c r="B34" s="29"/>
      <c r="C34" s="61"/>
      <c r="D34" s="132"/>
      <c r="E34" s="92">
        <v>0</v>
      </c>
      <c r="F34" s="132"/>
      <c r="G34" s="132">
        <f t="shared" si="0"/>
        <v>0</v>
      </c>
      <c r="H34" s="132">
        <v>0</v>
      </c>
      <c r="I34" s="132">
        <v>0</v>
      </c>
      <c r="J34" s="132">
        <f t="shared" si="1"/>
        <v>0</v>
      </c>
      <c r="K34" s="132">
        <f t="shared" si="2"/>
        <v>0</v>
      </c>
      <c r="L34" s="132"/>
      <c r="M34" s="138">
        <f>M33+K34-L34</f>
        <v>382940.4</v>
      </c>
      <c r="N34" s="61"/>
    </row>
    <row r="35" spans="1:15">
      <c r="A35" s="51"/>
      <c r="B35" s="51"/>
      <c r="C35" s="51"/>
      <c r="D35" s="51"/>
      <c r="E35" s="52">
        <f>SUM(E4:E34)</f>
        <v>4000</v>
      </c>
      <c r="F35" s="52"/>
      <c r="G35" s="52">
        <f>SUM(G4:G34)</f>
        <v>368400</v>
      </c>
      <c r="H35" s="52">
        <f>SUM(H4:H34)</f>
        <v>140</v>
      </c>
      <c r="I35" s="52"/>
      <c r="J35" s="52">
        <f>SUM(J4:J34)</f>
        <v>14540.4</v>
      </c>
      <c r="K35" s="52">
        <f>SUM(K4:K34)</f>
        <v>382940.4</v>
      </c>
      <c r="L35" s="52">
        <f>SUM(L4:L34)</f>
        <v>87640.8</v>
      </c>
      <c r="M35" s="52"/>
      <c r="N35" s="52"/>
      <c r="O35" s="35"/>
    </row>
    <row r="37" spans="1:15">
      <c r="D37" s="54"/>
      <c r="E37" s="54"/>
    </row>
  </sheetData>
  <mergeCells count="2">
    <mergeCell ref="A1:N1"/>
    <mergeCell ref="A3:J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60AF3-FEE5-4489-B644-338CB0A1459A}">
  <dimension ref="A1:N35"/>
  <sheetViews>
    <sheetView topLeftCell="A13" workbookViewId="0">
      <selection activeCell="N39" sqref="N39"/>
    </sheetView>
  </sheetViews>
  <sheetFormatPr defaultRowHeight="15"/>
  <cols>
    <col min="2" max="2" width="10.42578125" bestFit="1" customWidth="1"/>
    <col min="4" max="4" width="16" bestFit="1" customWidth="1"/>
    <col min="5" max="5" width="11.140625" customWidth="1"/>
    <col min="11" max="11" width="12.5703125" customWidth="1"/>
    <col min="12" max="12" width="12.140625" customWidth="1"/>
    <col min="14" max="14" width="17.7109375" bestFit="1" customWidth="1"/>
    <col min="15" max="15" width="12" customWidth="1"/>
  </cols>
  <sheetData>
    <row r="1" spans="1:14" ht="15.75">
      <c r="A1" s="458" t="s">
        <v>46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</row>
    <row r="2" spans="1:14">
      <c r="A2" s="116" t="s">
        <v>102</v>
      </c>
      <c r="B2" s="121" t="s">
        <v>103</v>
      </c>
      <c r="C2" s="121" t="s">
        <v>104</v>
      </c>
      <c r="D2" s="121" t="s">
        <v>105</v>
      </c>
      <c r="E2" s="121" t="s">
        <v>106</v>
      </c>
      <c r="F2" s="121" t="s">
        <v>107</v>
      </c>
      <c r="G2" s="121" t="s">
        <v>108</v>
      </c>
      <c r="H2" s="121" t="s">
        <v>109</v>
      </c>
      <c r="I2" s="121" t="s">
        <v>107</v>
      </c>
      <c r="J2" s="121" t="s">
        <v>108</v>
      </c>
      <c r="K2" s="121" t="s">
        <v>110</v>
      </c>
      <c r="L2" s="121" t="s">
        <v>111</v>
      </c>
      <c r="M2" s="121" t="s">
        <v>149</v>
      </c>
      <c r="N2" s="121" t="s">
        <v>113</v>
      </c>
    </row>
    <row r="3" spans="1:14">
      <c r="A3" s="468" t="s">
        <v>114</v>
      </c>
      <c r="B3" s="468"/>
      <c r="C3" s="468"/>
      <c r="D3" s="468"/>
      <c r="E3" s="468"/>
      <c r="F3" s="468"/>
      <c r="G3" s="468"/>
      <c r="H3" s="468"/>
      <c r="I3" s="468"/>
      <c r="J3" s="468"/>
      <c r="K3" s="108">
        <v>0</v>
      </c>
      <c r="L3" s="108">
        <v>0</v>
      </c>
      <c r="M3" s="108">
        <f>+K3</f>
        <v>0</v>
      </c>
      <c r="N3" s="19"/>
    </row>
    <row r="4" spans="1:14">
      <c r="A4" s="28">
        <v>1</v>
      </c>
      <c r="B4" s="29">
        <v>45809</v>
      </c>
      <c r="C4" s="19"/>
      <c r="D4" s="19"/>
      <c r="E4" s="99"/>
      <c r="F4" s="99"/>
      <c r="G4" s="19">
        <f>E4*F4</f>
        <v>0</v>
      </c>
      <c r="H4" s="99"/>
      <c r="I4" s="99"/>
      <c r="J4" s="19">
        <f>H4*I4</f>
        <v>0</v>
      </c>
      <c r="K4" s="19">
        <f>G4+J4</f>
        <v>0</v>
      </c>
      <c r="L4" s="19">
        <f>K4</f>
        <v>0</v>
      </c>
      <c r="M4" s="19">
        <f>M3+K4-L4</f>
        <v>0</v>
      </c>
      <c r="N4" s="53"/>
    </row>
    <row r="5" spans="1:14">
      <c r="A5" s="28">
        <v>2</v>
      </c>
      <c r="B5" s="29">
        <v>45810</v>
      </c>
      <c r="C5" s="19"/>
      <c r="D5" s="19"/>
      <c r="E5" s="99">
        <v>300</v>
      </c>
      <c r="F5" s="99">
        <v>90.09</v>
      </c>
      <c r="G5" s="19">
        <f t="shared" ref="G5:G33" si="0">E5*F5</f>
        <v>27027</v>
      </c>
      <c r="H5" s="99">
        <v>20</v>
      </c>
      <c r="I5" s="99">
        <v>103.86</v>
      </c>
      <c r="J5" s="19">
        <f t="shared" ref="J5:J33" si="1">H5*I5</f>
        <v>2077.1999999999998</v>
      </c>
      <c r="K5" s="19">
        <f t="shared" ref="K5:K33" si="2">G5+J5</f>
        <v>29104.2</v>
      </c>
      <c r="L5" s="19">
        <f t="shared" ref="L5:L33" si="3">K5</f>
        <v>29104.2</v>
      </c>
      <c r="M5" s="19">
        <f t="shared" ref="M5:M27" si="4">M4+K5-L5</f>
        <v>0</v>
      </c>
      <c r="N5" s="53"/>
    </row>
    <row r="6" spans="1:14">
      <c r="A6" s="28">
        <v>3</v>
      </c>
      <c r="B6" s="29">
        <v>45811</v>
      </c>
      <c r="C6" s="19"/>
      <c r="D6" s="19"/>
      <c r="E6" s="99">
        <v>215</v>
      </c>
      <c r="F6" s="99">
        <v>90.09</v>
      </c>
      <c r="G6" s="19">
        <f t="shared" si="0"/>
        <v>19369.350000000002</v>
      </c>
      <c r="H6" s="99"/>
      <c r="I6" s="99"/>
      <c r="J6" s="19">
        <f t="shared" si="1"/>
        <v>0</v>
      </c>
      <c r="K6" s="19">
        <f t="shared" si="2"/>
        <v>19369.350000000002</v>
      </c>
      <c r="L6" s="19">
        <f t="shared" si="3"/>
        <v>19369.350000000002</v>
      </c>
      <c r="M6" s="19">
        <f t="shared" si="4"/>
        <v>0</v>
      </c>
      <c r="N6" s="53"/>
    </row>
    <row r="7" spans="1:14">
      <c r="A7" s="28">
        <v>4</v>
      </c>
      <c r="B7" s="29">
        <v>45812</v>
      </c>
      <c r="C7" s="19"/>
      <c r="D7" s="19"/>
      <c r="E7" s="99"/>
      <c r="F7" s="99"/>
      <c r="G7" s="19">
        <f t="shared" si="0"/>
        <v>0</v>
      </c>
      <c r="H7" s="99"/>
      <c r="I7" s="99"/>
      <c r="J7" s="19">
        <f t="shared" si="1"/>
        <v>0</v>
      </c>
      <c r="K7" s="19">
        <f t="shared" si="2"/>
        <v>0</v>
      </c>
      <c r="L7" s="19">
        <f t="shared" si="3"/>
        <v>0</v>
      </c>
      <c r="M7" s="19">
        <f t="shared" si="4"/>
        <v>0</v>
      </c>
      <c r="N7" s="53"/>
    </row>
    <row r="8" spans="1:14">
      <c r="A8" s="28">
        <v>5</v>
      </c>
      <c r="B8" s="29">
        <v>45813</v>
      </c>
      <c r="C8" s="19"/>
      <c r="D8" s="19"/>
      <c r="E8" s="99">
        <v>300</v>
      </c>
      <c r="F8" s="99">
        <v>90.09</v>
      </c>
      <c r="G8" s="19">
        <f t="shared" si="0"/>
        <v>27027</v>
      </c>
      <c r="H8" s="99">
        <v>20</v>
      </c>
      <c r="I8" s="99">
        <v>103.86</v>
      </c>
      <c r="J8" s="19">
        <f t="shared" si="1"/>
        <v>2077.1999999999998</v>
      </c>
      <c r="K8" s="19">
        <f t="shared" si="2"/>
        <v>29104.2</v>
      </c>
      <c r="L8" s="19">
        <f t="shared" si="3"/>
        <v>29104.2</v>
      </c>
      <c r="M8" s="19">
        <f t="shared" si="4"/>
        <v>0</v>
      </c>
      <c r="N8" s="53"/>
    </row>
    <row r="9" spans="1:14">
      <c r="A9" s="28">
        <v>6</v>
      </c>
      <c r="B9" s="29">
        <v>45814</v>
      </c>
      <c r="C9" s="19"/>
      <c r="D9" s="19"/>
      <c r="E9" s="99">
        <v>325</v>
      </c>
      <c r="F9" s="99">
        <v>90.09</v>
      </c>
      <c r="G9" s="19">
        <f t="shared" si="0"/>
        <v>29279.25</v>
      </c>
      <c r="H9" s="99"/>
      <c r="I9" s="99"/>
      <c r="J9" s="19">
        <f t="shared" si="1"/>
        <v>0</v>
      </c>
      <c r="K9" s="19">
        <f t="shared" si="2"/>
        <v>29279.25</v>
      </c>
      <c r="L9" s="19">
        <f t="shared" si="3"/>
        <v>29279.25</v>
      </c>
      <c r="M9" s="19">
        <f t="shared" si="4"/>
        <v>0</v>
      </c>
      <c r="N9" s="53"/>
    </row>
    <row r="10" spans="1:14">
      <c r="A10" s="28">
        <v>7</v>
      </c>
      <c r="B10" s="29">
        <v>45815</v>
      </c>
      <c r="C10" s="19"/>
      <c r="D10" s="19"/>
      <c r="E10" s="99">
        <v>320</v>
      </c>
      <c r="F10" s="99">
        <v>90.09</v>
      </c>
      <c r="G10" s="19">
        <f t="shared" si="0"/>
        <v>28828.800000000003</v>
      </c>
      <c r="H10" s="99"/>
      <c r="I10" s="99"/>
      <c r="J10" s="19">
        <f t="shared" si="1"/>
        <v>0</v>
      </c>
      <c r="K10" s="19">
        <f t="shared" si="2"/>
        <v>28828.800000000003</v>
      </c>
      <c r="L10" s="19">
        <f t="shared" si="3"/>
        <v>28828.800000000003</v>
      </c>
      <c r="M10" s="19">
        <f t="shared" si="4"/>
        <v>0</v>
      </c>
      <c r="N10" s="53"/>
    </row>
    <row r="11" spans="1:14">
      <c r="A11" s="28">
        <v>8</v>
      </c>
      <c r="B11" s="29">
        <v>45816</v>
      </c>
      <c r="C11" s="19"/>
      <c r="D11" s="19"/>
      <c r="E11" s="99"/>
      <c r="F11" s="99"/>
      <c r="G11" s="19">
        <f t="shared" si="0"/>
        <v>0</v>
      </c>
      <c r="H11" s="99"/>
      <c r="I11" s="99"/>
      <c r="J11" s="19">
        <f t="shared" si="1"/>
        <v>0</v>
      </c>
      <c r="K11" s="19">
        <f t="shared" si="2"/>
        <v>0</v>
      </c>
      <c r="L11" s="19">
        <f t="shared" si="3"/>
        <v>0</v>
      </c>
      <c r="M11" s="19">
        <f t="shared" si="4"/>
        <v>0</v>
      </c>
      <c r="N11" s="53"/>
    </row>
    <row r="12" spans="1:14">
      <c r="A12" s="28">
        <v>9</v>
      </c>
      <c r="B12" s="29">
        <v>45817</v>
      </c>
      <c r="C12" s="19"/>
      <c r="D12" s="19"/>
      <c r="E12" s="99"/>
      <c r="F12" s="99"/>
      <c r="G12" s="19">
        <f t="shared" si="0"/>
        <v>0</v>
      </c>
      <c r="H12" s="99"/>
      <c r="I12" s="99"/>
      <c r="J12" s="19">
        <f t="shared" si="1"/>
        <v>0</v>
      </c>
      <c r="K12" s="19">
        <f t="shared" si="2"/>
        <v>0</v>
      </c>
      <c r="L12" s="19">
        <f t="shared" si="3"/>
        <v>0</v>
      </c>
      <c r="M12" s="19">
        <f t="shared" si="4"/>
        <v>0</v>
      </c>
      <c r="N12" s="53"/>
    </row>
    <row r="13" spans="1:14">
      <c r="A13" s="28">
        <v>10</v>
      </c>
      <c r="B13" s="29">
        <v>45818</v>
      </c>
      <c r="C13" s="19"/>
      <c r="D13" s="19"/>
      <c r="E13" s="99">
        <v>300</v>
      </c>
      <c r="F13" s="99">
        <v>90.09</v>
      </c>
      <c r="G13" s="19">
        <f t="shared" si="0"/>
        <v>27027</v>
      </c>
      <c r="H13" s="99">
        <v>22</v>
      </c>
      <c r="I13" s="99">
        <v>103.86</v>
      </c>
      <c r="J13" s="19">
        <f t="shared" si="1"/>
        <v>2284.92</v>
      </c>
      <c r="K13" s="19">
        <f t="shared" si="2"/>
        <v>29311.919999999998</v>
      </c>
      <c r="L13" s="19">
        <f t="shared" si="3"/>
        <v>29311.919999999998</v>
      </c>
      <c r="M13" s="19">
        <f t="shared" si="4"/>
        <v>0</v>
      </c>
      <c r="N13" s="53"/>
    </row>
    <row r="14" spans="1:14">
      <c r="A14" s="28">
        <v>11</v>
      </c>
      <c r="B14" s="29">
        <v>45819</v>
      </c>
      <c r="C14" s="19"/>
      <c r="D14" s="19"/>
      <c r="E14" s="99"/>
      <c r="F14" s="99"/>
      <c r="G14" s="19">
        <f t="shared" si="0"/>
        <v>0</v>
      </c>
      <c r="H14" s="99"/>
      <c r="I14" s="99"/>
      <c r="J14" s="19">
        <f t="shared" si="1"/>
        <v>0</v>
      </c>
      <c r="K14" s="19">
        <f t="shared" si="2"/>
        <v>0</v>
      </c>
      <c r="L14" s="19">
        <f t="shared" si="3"/>
        <v>0</v>
      </c>
      <c r="M14" s="19">
        <f t="shared" si="4"/>
        <v>0</v>
      </c>
      <c r="N14" s="53"/>
    </row>
    <row r="15" spans="1:14">
      <c r="A15" s="28">
        <v>12</v>
      </c>
      <c r="B15" s="29">
        <v>45820</v>
      </c>
      <c r="C15" s="19"/>
      <c r="D15" s="19"/>
      <c r="E15" s="99">
        <v>300</v>
      </c>
      <c r="F15" s="99">
        <v>90.09</v>
      </c>
      <c r="G15" s="19">
        <f t="shared" si="0"/>
        <v>27027</v>
      </c>
      <c r="H15" s="99">
        <v>20</v>
      </c>
      <c r="I15" s="99">
        <v>103.86</v>
      </c>
      <c r="J15" s="19">
        <f t="shared" si="1"/>
        <v>2077.1999999999998</v>
      </c>
      <c r="K15" s="19">
        <f t="shared" si="2"/>
        <v>29104.2</v>
      </c>
      <c r="L15" s="19">
        <f t="shared" si="3"/>
        <v>29104.2</v>
      </c>
      <c r="M15" s="19">
        <f t="shared" si="4"/>
        <v>0</v>
      </c>
      <c r="N15" s="53"/>
    </row>
    <row r="16" spans="1:14">
      <c r="A16" s="28">
        <v>13</v>
      </c>
      <c r="B16" s="29">
        <v>45821</v>
      </c>
      <c r="C16" s="19"/>
      <c r="D16" s="19"/>
      <c r="E16" s="99">
        <v>300</v>
      </c>
      <c r="F16" s="99">
        <v>92.09</v>
      </c>
      <c r="G16" s="19">
        <f t="shared" si="0"/>
        <v>27627</v>
      </c>
      <c r="H16" s="99">
        <v>20</v>
      </c>
      <c r="I16" s="99">
        <v>103.86</v>
      </c>
      <c r="J16" s="19">
        <f t="shared" si="1"/>
        <v>2077.1999999999998</v>
      </c>
      <c r="K16" s="19">
        <f t="shared" si="2"/>
        <v>29704.2</v>
      </c>
      <c r="L16" s="19">
        <f t="shared" si="3"/>
        <v>29704.2</v>
      </c>
      <c r="M16" s="19">
        <f t="shared" si="4"/>
        <v>0</v>
      </c>
      <c r="N16" s="53"/>
    </row>
    <row r="17" spans="1:14">
      <c r="A17" s="28">
        <v>14</v>
      </c>
      <c r="B17" s="29">
        <v>45822</v>
      </c>
      <c r="C17" s="19"/>
      <c r="D17" s="19"/>
      <c r="E17" s="99"/>
      <c r="F17" s="99"/>
      <c r="G17" s="19">
        <f t="shared" si="0"/>
        <v>0</v>
      </c>
      <c r="H17" s="99"/>
      <c r="I17" s="99"/>
      <c r="J17" s="19">
        <f t="shared" si="1"/>
        <v>0</v>
      </c>
      <c r="K17" s="19">
        <f t="shared" si="2"/>
        <v>0</v>
      </c>
      <c r="L17" s="19">
        <f t="shared" si="3"/>
        <v>0</v>
      </c>
      <c r="M17" s="19">
        <f t="shared" si="4"/>
        <v>0</v>
      </c>
      <c r="N17" s="53"/>
    </row>
    <row r="18" spans="1:14">
      <c r="A18" s="28">
        <v>15</v>
      </c>
      <c r="B18" s="29">
        <v>45823</v>
      </c>
      <c r="C18" s="19"/>
      <c r="D18" s="19"/>
      <c r="E18" s="99"/>
      <c r="F18" s="99"/>
      <c r="G18" s="19">
        <f t="shared" si="0"/>
        <v>0</v>
      </c>
      <c r="H18" s="99"/>
      <c r="I18" s="99"/>
      <c r="J18" s="19">
        <f t="shared" si="1"/>
        <v>0</v>
      </c>
      <c r="K18" s="19">
        <f t="shared" si="2"/>
        <v>0</v>
      </c>
      <c r="L18" s="19">
        <f t="shared" si="3"/>
        <v>0</v>
      </c>
      <c r="M18" s="19">
        <f t="shared" si="4"/>
        <v>0</v>
      </c>
      <c r="N18" s="53"/>
    </row>
    <row r="19" spans="1:14">
      <c r="A19" s="28">
        <v>16</v>
      </c>
      <c r="B19" s="29">
        <v>45824</v>
      </c>
      <c r="C19" s="19"/>
      <c r="D19" s="19"/>
      <c r="E19" s="99">
        <v>310</v>
      </c>
      <c r="F19" s="99">
        <v>92.09</v>
      </c>
      <c r="G19" s="19">
        <f t="shared" si="0"/>
        <v>28547.9</v>
      </c>
      <c r="H19" s="99">
        <v>10</v>
      </c>
      <c r="I19" s="99">
        <v>103.86</v>
      </c>
      <c r="J19" s="19">
        <f t="shared" si="1"/>
        <v>1038.5999999999999</v>
      </c>
      <c r="K19" s="19">
        <f t="shared" si="2"/>
        <v>29586.5</v>
      </c>
      <c r="L19" s="19">
        <f t="shared" si="3"/>
        <v>29586.5</v>
      </c>
      <c r="M19" s="19">
        <f t="shared" si="4"/>
        <v>0</v>
      </c>
      <c r="N19" s="53"/>
    </row>
    <row r="20" spans="1:14">
      <c r="A20" s="28">
        <v>17</v>
      </c>
      <c r="B20" s="29">
        <v>45825</v>
      </c>
      <c r="C20" s="19"/>
      <c r="D20" s="19"/>
      <c r="E20" s="99">
        <v>215</v>
      </c>
      <c r="F20" s="99">
        <v>92.09</v>
      </c>
      <c r="G20" s="19">
        <f t="shared" si="0"/>
        <v>19799.350000000002</v>
      </c>
      <c r="H20" s="99"/>
      <c r="I20" s="99"/>
      <c r="J20" s="19">
        <f t="shared" si="1"/>
        <v>0</v>
      </c>
      <c r="K20" s="19">
        <f t="shared" si="2"/>
        <v>19799.350000000002</v>
      </c>
      <c r="L20" s="19">
        <f t="shared" si="3"/>
        <v>19799.350000000002</v>
      </c>
      <c r="M20" s="19">
        <f t="shared" si="4"/>
        <v>0</v>
      </c>
      <c r="N20" s="53"/>
    </row>
    <row r="21" spans="1:14">
      <c r="A21" s="28">
        <v>18</v>
      </c>
      <c r="B21" s="29">
        <v>45826</v>
      </c>
      <c r="C21" s="19"/>
      <c r="D21" s="19"/>
      <c r="E21" s="99"/>
      <c r="F21" s="99">
        <v>92.09</v>
      </c>
      <c r="G21" s="19">
        <f t="shared" si="0"/>
        <v>0</v>
      </c>
      <c r="H21" s="99"/>
      <c r="I21" s="99"/>
      <c r="J21" s="19">
        <f t="shared" si="1"/>
        <v>0</v>
      </c>
      <c r="K21" s="19">
        <f t="shared" si="2"/>
        <v>0</v>
      </c>
      <c r="L21" s="19">
        <f t="shared" si="3"/>
        <v>0</v>
      </c>
      <c r="M21" s="19">
        <f t="shared" si="4"/>
        <v>0</v>
      </c>
      <c r="N21" s="53"/>
    </row>
    <row r="22" spans="1:14">
      <c r="A22" s="28">
        <v>19</v>
      </c>
      <c r="B22" s="29">
        <v>45827</v>
      </c>
      <c r="C22" s="19"/>
      <c r="D22" s="19"/>
      <c r="E22" s="99">
        <v>300</v>
      </c>
      <c r="F22" s="99">
        <v>92.09</v>
      </c>
      <c r="G22" s="19">
        <f t="shared" si="0"/>
        <v>27627</v>
      </c>
      <c r="H22" s="99">
        <v>20</v>
      </c>
      <c r="I22" s="99">
        <v>103.86</v>
      </c>
      <c r="J22" s="19">
        <f t="shared" si="1"/>
        <v>2077.1999999999998</v>
      </c>
      <c r="K22" s="19">
        <f t="shared" si="2"/>
        <v>29704.2</v>
      </c>
      <c r="L22" s="19">
        <f t="shared" si="3"/>
        <v>29704.2</v>
      </c>
      <c r="M22" s="19">
        <f t="shared" si="4"/>
        <v>0</v>
      </c>
      <c r="N22" s="53"/>
    </row>
    <row r="23" spans="1:14">
      <c r="A23" s="28">
        <v>20</v>
      </c>
      <c r="B23" s="29">
        <v>45828</v>
      </c>
      <c r="C23" s="19"/>
      <c r="D23" s="19"/>
      <c r="E23" s="99"/>
      <c r="F23" s="99"/>
      <c r="G23" s="19">
        <f t="shared" si="0"/>
        <v>0</v>
      </c>
      <c r="H23" s="99"/>
      <c r="I23" s="99"/>
      <c r="J23" s="19">
        <f t="shared" si="1"/>
        <v>0</v>
      </c>
      <c r="K23" s="19">
        <f t="shared" si="2"/>
        <v>0</v>
      </c>
      <c r="L23" s="19">
        <f t="shared" si="3"/>
        <v>0</v>
      </c>
      <c r="M23" s="19">
        <f t="shared" si="4"/>
        <v>0</v>
      </c>
      <c r="N23" s="53"/>
    </row>
    <row r="24" spans="1:14">
      <c r="A24" s="28">
        <v>21</v>
      </c>
      <c r="B24" s="29">
        <v>45829</v>
      </c>
      <c r="C24" s="19"/>
      <c r="D24" s="19"/>
      <c r="E24" s="99">
        <v>215</v>
      </c>
      <c r="F24" s="99">
        <v>92.07</v>
      </c>
      <c r="G24" s="19">
        <f t="shared" si="0"/>
        <v>19795.05</v>
      </c>
      <c r="H24" s="99"/>
      <c r="I24" s="99"/>
      <c r="J24" s="19">
        <f t="shared" si="1"/>
        <v>0</v>
      </c>
      <c r="K24" s="19">
        <f t="shared" si="2"/>
        <v>19795.05</v>
      </c>
      <c r="L24" s="19">
        <f t="shared" si="3"/>
        <v>19795.05</v>
      </c>
      <c r="M24" s="19">
        <f t="shared" si="4"/>
        <v>0</v>
      </c>
      <c r="N24" s="53"/>
    </row>
    <row r="25" spans="1:14">
      <c r="A25" s="28">
        <v>22</v>
      </c>
      <c r="B25" s="29">
        <v>45830</v>
      </c>
      <c r="C25" s="19"/>
      <c r="D25" s="19"/>
      <c r="E25" s="99"/>
      <c r="F25" s="99"/>
      <c r="G25" s="19">
        <f t="shared" si="0"/>
        <v>0</v>
      </c>
      <c r="H25" s="99"/>
      <c r="I25" s="99"/>
      <c r="J25" s="19">
        <f t="shared" si="1"/>
        <v>0</v>
      </c>
      <c r="K25" s="19">
        <f t="shared" si="2"/>
        <v>0</v>
      </c>
      <c r="L25" s="19">
        <f t="shared" si="3"/>
        <v>0</v>
      </c>
      <c r="M25" s="19">
        <f t="shared" si="4"/>
        <v>0</v>
      </c>
      <c r="N25" s="53"/>
    </row>
    <row r="26" spans="1:14">
      <c r="A26" s="28">
        <v>23</v>
      </c>
      <c r="B26" s="29">
        <v>45831</v>
      </c>
      <c r="C26" s="19"/>
      <c r="D26" s="19"/>
      <c r="E26" s="99">
        <v>215</v>
      </c>
      <c r="F26" s="99">
        <v>92.07</v>
      </c>
      <c r="G26" s="19">
        <f t="shared" si="0"/>
        <v>19795.05</v>
      </c>
      <c r="H26" s="99"/>
      <c r="I26" s="99"/>
      <c r="J26" s="19">
        <f t="shared" si="1"/>
        <v>0</v>
      </c>
      <c r="K26" s="19">
        <f t="shared" si="2"/>
        <v>19795.05</v>
      </c>
      <c r="L26" s="19">
        <f t="shared" si="3"/>
        <v>19795.05</v>
      </c>
      <c r="M26" s="19">
        <f t="shared" si="4"/>
        <v>0</v>
      </c>
      <c r="N26" s="53"/>
    </row>
    <row r="27" spans="1:14">
      <c r="A27" s="28">
        <v>24</v>
      </c>
      <c r="B27" s="29">
        <v>45832</v>
      </c>
      <c r="C27" s="19"/>
      <c r="D27" s="19"/>
      <c r="E27" s="99"/>
      <c r="F27" s="99"/>
      <c r="G27" s="19">
        <f t="shared" si="0"/>
        <v>0</v>
      </c>
      <c r="H27" s="99"/>
      <c r="I27" s="99"/>
      <c r="J27" s="19">
        <f t="shared" si="1"/>
        <v>0</v>
      </c>
      <c r="K27" s="19">
        <f t="shared" si="2"/>
        <v>0</v>
      </c>
      <c r="L27" s="19">
        <f t="shared" si="3"/>
        <v>0</v>
      </c>
      <c r="M27" s="19">
        <f t="shared" si="4"/>
        <v>0</v>
      </c>
      <c r="N27" s="53"/>
    </row>
    <row r="28" spans="1:14">
      <c r="A28" s="28">
        <v>25</v>
      </c>
      <c r="B28" s="29">
        <v>45833</v>
      </c>
      <c r="C28" s="19"/>
      <c r="D28" s="19"/>
      <c r="E28" s="99">
        <v>290</v>
      </c>
      <c r="F28" s="99">
        <v>92.07</v>
      </c>
      <c r="G28" s="19">
        <f t="shared" si="0"/>
        <v>26700.3</v>
      </c>
      <c r="H28" s="99">
        <v>30</v>
      </c>
      <c r="I28" s="99">
        <v>103.86</v>
      </c>
      <c r="J28" s="19">
        <f t="shared" si="1"/>
        <v>3115.8</v>
      </c>
      <c r="K28" s="19">
        <f t="shared" si="2"/>
        <v>29816.1</v>
      </c>
      <c r="L28" s="19">
        <f t="shared" si="3"/>
        <v>29816.1</v>
      </c>
      <c r="M28" s="19">
        <v>0</v>
      </c>
      <c r="N28" s="53"/>
    </row>
    <row r="29" spans="1:14">
      <c r="A29" s="28">
        <v>26</v>
      </c>
      <c r="B29" s="29">
        <v>45834</v>
      </c>
      <c r="C29" s="19"/>
      <c r="D29" s="19"/>
      <c r="E29" s="99">
        <v>265</v>
      </c>
      <c r="F29" s="99">
        <v>92.07</v>
      </c>
      <c r="G29" s="19">
        <f t="shared" si="0"/>
        <v>24398.55</v>
      </c>
      <c r="H29" s="99">
        <v>50</v>
      </c>
      <c r="I29" s="99">
        <v>103.86</v>
      </c>
      <c r="J29" s="19">
        <f t="shared" si="1"/>
        <v>5193</v>
      </c>
      <c r="K29" s="19">
        <f t="shared" si="2"/>
        <v>29591.55</v>
      </c>
      <c r="L29" s="19">
        <f t="shared" si="3"/>
        <v>29591.55</v>
      </c>
      <c r="M29" s="19">
        <v>0</v>
      </c>
      <c r="N29" s="53"/>
    </row>
    <row r="30" spans="1:14">
      <c r="A30" s="28">
        <v>27</v>
      </c>
      <c r="B30" s="29">
        <v>45835</v>
      </c>
      <c r="C30" s="19"/>
      <c r="D30" s="19"/>
      <c r="E30" s="99">
        <v>105</v>
      </c>
      <c r="F30" s="99">
        <v>92.07</v>
      </c>
      <c r="G30" s="19">
        <f t="shared" si="0"/>
        <v>9667.3499999999985</v>
      </c>
      <c r="H30" s="99"/>
      <c r="I30" s="99"/>
      <c r="J30" s="19">
        <f t="shared" si="1"/>
        <v>0</v>
      </c>
      <c r="K30" s="19">
        <f t="shared" si="2"/>
        <v>9667.3499999999985</v>
      </c>
      <c r="L30" s="19">
        <f t="shared" si="3"/>
        <v>9667.3499999999985</v>
      </c>
      <c r="M30" s="19">
        <v>0</v>
      </c>
      <c r="N30" s="53"/>
    </row>
    <row r="31" spans="1:14">
      <c r="A31" s="28">
        <v>28</v>
      </c>
      <c r="B31" s="29">
        <v>45836</v>
      </c>
      <c r="C31" s="19"/>
      <c r="D31" s="19"/>
      <c r="E31" s="99">
        <v>289</v>
      </c>
      <c r="F31" s="99">
        <v>92.07</v>
      </c>
      <c r="G31" s="19">
        <f t="shared" si="0"/>
        <v>26608.23</v>
      </c>
      <c r="H31" s="99">
        <v>30</v>
      </c>
      <c r="I31" s="99">
        <v>103.86</v>
      </c>
      <c r="J31" s="19">
        <f t="shared" si="1"/>
        <v>3115.8</v>
      </c>
      <c r="K31" s="19">
        <f t="shared" si="2"/>
        <v>29724.03</v>
      </c>
      <c r="L31" s="19">
        <f t="shared" si="3"/>
        <v>29724.03</v>
      </c>
      <c r="M31" s="19">
        <v>0</v>
      </c>
      <c r="N31" s="53"/>
    </row>
    <row r="32" spans="1:14">
      <c r="A32" s="28">
        <v>29</v>
      </c>
      <c r="B32" s="29">
        <v>45837</v>
      </c>
      <c r="C32" s="19"/>
      <c r="D32" s="19"/>
      <c r="E32" s="99"/>
      <c r="F32" s="99"/>
      <c r="G32" s="19">
        <f t="shared" si="0"/>
        <v>0</v>
      </c>
      <c r="H32" s="99"/>
      <c r="I32" s="99"/>
      <c r="J32" s="19">
        <f t="shared" si="1"/>
        <v>0</v>
      </c>
      <c r="K32" s="19">
        <f t="shared" si="2"/>
        <v>0</v>
      </c>
      <c r="L32" s="19">
        <f t="shared" si="3"/>
        <v>0</v>
      </c>
      <c r="M32" s="19"/>
      <c r="N32" s="53"/>
    </row>
    <row r="33" spans="1:14">
      <c r="A33" s="28">
        <v>30</v>
      </c>
      <c r="B33" s="29">
        <v>45838</v>
      </c>
      <c r="C33" s="19"/>
      <c r="D33" s="19"/>
      <c r="E33" s="99"/>
      <c r="F33" s="99"/>
      <c r="G33" s="19">
        <f t="shared" si="0"/>
        <v>0</v>
      </c>
      <c r="H33" s="99"/>
      <c r="I33" s="99"/>
      <c r="J33" s="19">
        <f t="shared" si="1"/>
        <v>0</v>
      </c>
      <c r="K33" s="19">
        <f t="shared" si="2"/>
        <v>0</v>
      </c>
      <c r="L33" s="19">
        <f t="shared" si="3"/>
        <v>0</v>
      </c>
      <c r="M33" s="19"/>
      <c r="N33" s="53"/>
    </row>
    <row r="34" spans="1:14">
      <c r="A34" s="28">
        <v>31</v>
      </c>
      <c r="B34" s="29"/>
      <c r="C34" s="19"/>
      <c r="D34" s="19"/>
      <c r="E34" s="99"/>
      <c r="F34" s="99"/>
      <c r="G34" s="19"/>
      <c r="H34" s="99"/>
      <c r="I34" s="99"/>
      <c r="J34" s="19"/>
      <c r="K34" s="19"/>
      <c r="L34" s="19"/>
      <c r="M34" s="19"/>
      <c r="N34" s="53"/>
    </row>
    <row r="35" spans="1:14">
      <c r="A35" s="51"/>
      <c r="B35" s="51"/>
      <c r="C35" s="51"/>
      <c r="D35" s="51"/>
      <c r="E35" s="51">
        <f>SUM(E4:E34)</f>
        <v>4564</v>
      </c>
      <c r="F35" s="51"/>
      <c r="G35" s="51">
        <f>SUM(G4:G34)</f>
        <v>416151.17999999993</v>
      </c>
      <c r="H35" s="51">
        <f>SUM(H4:H34)</f>
        <v>242</v>
      </c>
      <c r="I35" s="51"/>
      <c r="J35" s="51">
        <f>SUM(J4:J34)</f>
        <v>25134.12</v>
      </c>
      <c r="K35" s="51">
        <f>SUM(K4:K34)</f>
        <v>441285.29999999993</v>
      </c>
      <c r="L35" s="51">
        <f>SUM(L4:L34)</f>
        <v>441285.29999999993</v>
      </c>
      <c r="M35" s="51"/>
      <c r="N35" s="51"/>
    </row>
  </sheetData>
  <mergeCells count="2">
    <mergeCell ref="A1:N1"/>
    <mergeCell ref="A3:J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CD2F7-6414-430C-BFEC-3C7DCD1314CE}">
  <dimension ref="A1:V45"/>
  <sheetViews>
    <sheetView workbookViewId="0">
      <pane ySplit="2" topLeftCell="A21" activePane="bottomLeft" state="frozen"/>
      <selection pane="bottomLeft" activeCell="R24" sqref="R24"/>
    </sheetView>
  </sheetViews>
  <sheetFormatPr defaultRowHeight="15"/>
  <cols>
    <col min="1" max="1" width="5.28515625" bestFit="1" customWidth="1"/>
    <col min="2" max="2" width="11.5703125" bestFit="1" customWidth="1"/>
    <col min="3" max="3" width="8.140625" bestFit="1" customWidth="1"/>
    <col min="4" max="4" width="16" bestFit="1" customWidth="1"/>
    <col min="5" max="5" width="10.85546875" bestFit="1" customWidth="1"/>
    <col min="6" max="6" width="14.42578125" customWidth="1"/>
    <col min="7" max="7" width="11.85546875" bestFit="1" customWidth="1"/>
    <col min="8" max="8" width="10.85546875" bestFit="1" customWidth="1"/>
    <col min="9" max="9" width="7.140625" bestFit="1" customWidth="1"/>
    <col min="10" max="10" width="10.85546875" bestFit="1" customWidth="1"/>
    <col min="11" max="11" width="13.85546875" bestFit="1" customWidth="1"/>
    <col min="12" max="12" width="12.7109375" bestFit="1" customWidth="1"/>
    <col min="13" max="13" width="12.7109375" customWidth="1"/>
    <col min="14" max="14" width="17.7109375" bestFit="1" customWidth="1"/>
    <col min="16" max="16" width="12" bestFit="1" customWidth="1"/>
    <col min="19" max="19" width="12" bestFit="1" customWidth="1"/>
  </cols>
  <sheetData>
    <row r="1" spans="1:15">
      <c r="A1" s="469" t="s">
        <v>40</v>
      </c>
      <c r="B1" s="469"/>
      <c r="C1" s="469"/>
      <c r="D1" s="469"/>
      <c r="E1" s="469"/>
      <c r="F1" s="469"/>
      <c r="G1" s="469"/>
      <c r="H1" s="469"/>
      <c r="I1" s="469"/>
      <c r="J1" s="469"/>
      <c r="K1" s="469"/>
      <c r="L1" s="469"/>
      <c r="M1" s="469"/>
      <c r="N1" s="469"/>
      <c r="O1" s="95"/>
    </row>
    <row r="2" spans="1:15">
      <c r="A2" s="139" t="s">
        <v>102</v>
      </c>
      <c r="B2" s="140" t="s">
        <v>103</v>
      </c>
      <c r="C2" s="140" t="s">
        <v>104</v>
      </c>
      <c r="D2" s="140" t="s">
        <v>105</v>
      </c>
      <c r="E2" s="140" t="s">
        <v>106</v>
      </c>
      <c r="F2" s="140" t="s">
        <v>107</v>
      </c>
      <c r="G2" s="140" t="s">
        <v>108</v>
      </c>
      <c r="H2" s="140" t="s">
        <v>109</v>
      </c>
      <c r="I2" s="140" t="s">
        <v>107</v>
      </c>
      <c r="J2" s="141" t="s">
        <v>108</v>
      </c>
      <c r="K2" s="139" t="s">
        <v>110</v>
      </c>
      <c r="L2" s="142" t="s">
        <v>111</v>
      </c>
      <c r="M2" s="142" t="s">
        <v>149</v>
      </c>
      <c r="N2" s="140" t="s">
        <v>113</v>
      </c>
      <c r="O2" s="71"/>
    </row>
    <row r="3" spans="1:15">
      <c r="A3" s="445" t="s">
        <v>114</v>
      </c>
      <c r="B3" s="446"/>
      <c r="C3" s="446"/>
      <c r="D3" s="446"/>
      <c r="E3" s="446"/>
      <c r="F3" s="446"/>
      <c r="G3" s="446"/>
      <c r="H3" s="446"/>
      <c r="I3" s="446"/>
      <c r="J3" s="461"/>
      <c r="K3" s="109">
        <v>36616.013999999981</v>
      </c>
      <c r="L3" s="46"/>
      <c r="M3" s="46">
        <f>+K3</f>
        <v>36616.013999999981</v>
      </c>
      <c r="N3" s="19"/>
      <c r="O3" s="71"/>
    </row>
    <row r="4" spans="1:15">
      <c r="A4" s="28">
        <v>1</v>
      </c>
      <c r="B4" s="29">
        <v>45809</v>
      </c>
      <c r="C4" s="143"/>
      <c r="D4" s="144"/>
      <c r="E4" s="106">
        <v>0</v>
      </c>
      <c r="F4" s="106">
        <v>0</v>
      </c>
      <c r="G4" s="21">
        <f>E4*F4</f>
        <v>0</v>
      </c>
      <c r="H4" s="106">
        <v>0</v>
      </c>
      <c r="I4" s="106"/>
      <c r="J4" s="21">
        <f>H4*I4</f>
        <v>0</v>
      </c>
      <c r="K4" s="21">
        <f>G4+J4</f>
        <v>0</v>
      </c>
      <c r="L4" s="145">
        <v>0</v>
      </c>
      <c r="M4" s="145">
        <f>M3+K4-L4</f>
        <v>36616.013999999981</v>
      </c>
      <c r="N4" s="53"/>
    </row>
    <row r="5" spans="1:15">
      <c r="A5" s="28">
        <v>2</v>
      </c>
      <c r="B5" s="29">
        <v>45810</v>
      </c>
      <c r="C5" s="79"/>
      <c r="D5" s="144"/>
      <c r="E5" s="106">
        <v>500</v>
      </c>
      <c r="F5" s="106">
        <v>92.1</v>
      </c>
      <c r="G5" s="21">
        <f t="shared" ref="G5:G34" si="0">E5*F5</f>
        <v>46050</v>
      </c>
      <c r="H5" s="106">
        <v>20</v>
      </c>
      <c r="I5" s="106">
        <v>103.86</v>
      </c>
      <c r="J5" s="21">
        <f t="shared" ref="J5:J34" si="1">H5*I5</f>
        <v>2077.1999999999998</v>
      </c>
      <c r="K5" s="21">
        <f t="shared" ref="K5:K34" si="2">G5+J5</f>
        <v>48127.199999999997</v>
      </c>
      <c r="L5" s="145">
        <v>0</v>
      </c>
      <c r="M5" s="145">
        <f>M4+K5-L5</f>
        <v>84743.213999999978</v>
      </c>
      <c r="N5" s="53"/>
    </row>
    <row r="6" spans="1:15">
      <c r="A6" s="28">
        <v>3</v>
      </c>
      <c r="B6" s="29">
        <v>45811</v>
      </c>
      <c r="C6" s="79"/>
      <c r="D6" s="144"/>
      <c r="E6" s="106">
        <v>0</v>
      </c>
      <c r="F6" s="106">
        <v>0</v>
      </c>
      <c r="G6" s="21">
        <f t="shared" si="0"/>
        <v>0</v>
      </c>
      <c r="H6" s="106">
        <v>0</v>
      </c>
      <c r="I6" s="106"/>
      <c r="J6" s="21">
        <f t="shared" si="1"/>
        <v>0</v>
      </c>
      <c r="K6" s="21">
        <f t="shared" si="2"/>
        <v>0</v>
      </c>
      <c r="L6" s="145">
        <v>0</v>
      </c>
      <c r="M6" s="145">
        <f>M5+K6-L6</f>
        <v>84743.213999999978</v>
      </c>
      <c r="N6" s="53"/>
    </row>
    <row r="7" spans="1:15">
      <c r="A7" s="28">
        <v>4</v>
      </c>
      <c r="B7" s="29">
        <v>45812</v>
      </c>
      <c r="C7" s="79"/>
      <c r="D7" s="144"/>
      <c r="E7" s="106">
        <v>0</v>
      </c>
      <c r="F7" s="106">
        <v>0</v>
      </c>
      <c r="G7" s="21">
        <f t="shared" si="0"/>
        <v>0</v>
      </c>
      <c r="H7" s="106">
        <v>0</v>
      </c>
      <c r="I7" s="106"/>
      <c r="J7" s="21">
        <f t="shared" si="1"/>
        <v>0</v>
      </c>
      <c r="K7" s="21">
        <f t="shared" si="2"/>
        <v>0</v>
      </c>
      <c r="L7" s="145">
        <v>0</v>
      </c>
      <c r="M7" s="145">
        <f>M6+K7-L7</f>
        <v>84743.213999999978</v>
      </c>
      <c r="N7" s="53"/>
    </row>
    <row r="8" spans="1:15">
      <c r="A8" s="28">
        <v>5</v>
      </c>
      <c r="B8" s="29">
        <v>45813</v>
      </c>
      <c r="C8" s="79"/>
      <c r="D8" s="144"/>
      <c r="E8" s="106">
        <v>0</v>
      </c>
      <c r="F8" s="106">
        <v>0</v>
      </c>
      <c r="G8" s="21">
        <f t="shared" si="0"/>
        <v>0</v>
      </c>
      <c r="H8" s="106">
        <v>0</v>
      </c>
      <c r="I8" s="106"/>
      <c r="J8" s="21">
        <f t="shared" si="1"/>
        <v>0</v>
      </c>
      <c r="K8" s="21">
        <f t="shared" si="2"/>
        <v>0</v>
      </c>
      <c r="L8" s="145">
        <v>0</v>
      </c>
      <c r="M8" s="145">
        <f t="shared" ref="M8:M34" si="3">M7+K8-L8</f>
        <v>84743.213999999978</v>
      </c>
      <c r="N8" s="53"/>
      <c r="O8" s="81"/>
    </row>
    <row r="9" spans="1:15">
      <c r="A9" s="28">
        <v>6</v>
      </c>
      <c r="B9" s="29">
        <v>45814</v>
      </c>
      <c r="C9" s="79"/>
      <c r="D9" s="144"/>
      <c r="E9" s="106">
        <v>0</v>
      </c>
      <c r="F9" s="106">
        <v>0</v>
      </c>
      <c r="G9" s="21">
        <f t="shared" si="0"/>
        <v>0</v>
      </c>
      <c r="H9" s="106">
        <v>0</v>
      </c>
      <c r="I9" s="106"/>
      <c r="J9" s="21">
        <f t="shared" si="1"/>
        <v>0</v>
      </c>
      <c r="K9" s="21">
        <f t="shared" si="2"/>
        <v>0</v>
      </c>
      <c r="L9" s="145">
        <v>84743.21</v>
      </c>
      <c r="M9" s="145">
        <f t="shared" si="3"/>
        <v>3.9999999717110768E-3</v>
      </c>
      <c r="N9" s="53"/>
      <c r="O9" s="81"/>
    </row>
    <row r="10" spans="1:15">
      <c r="A10" s="28">
        <v>7</v>
      </c>
      <c r="B10" s="29">
        <v>45815</v>
      </c>
      <c r="C10" s="79"/>
      <c r="D10" s="144"/>
      <c r="E10" s="106">
        <v>0</v>
      </c>
      <c r="F10" s="106">
        <v>0</v>
      </c>
      <c r="G10" s="21">
        <f t="shared" si="0"/>
        <v>0</v>
      </c>
      <c r="H10" s="106">
        <v>0</v>
      </c>
      <c r="I10" s="106"/>
      <c r="J10" s="21">
        <f t="shared" si="1"/>
        <v>0</v>
      </c>
      <c r="K10" s="21">
        <f t="shared" si="2"/>
        <v>0</v>
      </c>
      <c r="L10" s="145">
        <v>0</v>
      </c>
      <c r="M10" s="145">
        <f t="shared" si="3"/>
        <v>3.9999999717110768E-3</v>
      </c>
      <c r="N10" s="53"/>
      <c r="O10" s="81"/>
    </row>
    <row r="11" spans="1:15">
      <c r="A11" s="28">
        <v>8</v>
      </c>
      <c r="B11" s="29">
        <v>45816</v>
      </c>
      <c r="C11" s="79"/>
      <c r="D11" s="144"/>
      <c r="E11" s="106">
        <v>500</v>
      </c>
      <c r="F11" s="106">
        <v>92.1</v>
      </c>
      <c r="G11" s="21">
        <f t="shared" si="0"/>
        <v>46050</v>
      </c>
      <c r="H11" s="106">
        <v>0</v>
      </c>
      <c r="I11" s="106"/>
      <c r="J11" s="21">
        <f t="shared" si="1"/>
        <v>0</v>
      </c>
      <c r="K11" s="21">
        <f t="shared" si="2"/>
        <v>46050</v>
      </c>
      <c r="L11" s="145">
        <v>0</v>
      </c>
      <c r="M11" s="145">
        <f t="shared" si="3"/>
        <v>46050.003999999972</v>
      </c>
      <c r="N11" s="53"/>
      <c r="O11" s="81"/>
    </row>
    <row r="12" spans="1:15">
      <c r="A12" s="28">
        <v>9</v>
      </c>
      <c r="B12" s="29">
        <v>45817</v>
      </c>
      <c r="C12" s="79"/>
      <c r="D12" s="144"/>
      <c r="E12" s="106">
        <v>0</v>
      </c>
      <c r="F12" s="106">
        <v>0</v>
      </c>
      <c r="G12" s="21">
        <f t="shared" si="0"/>
        <v>0</v>
      </c>
      <c r="H12" s="106">
        <v>0</v>
      </c>
      <c r="I12" s="106"/>
      <c r="J12" s="21">
        <f t="shared" si="1"/>
        <v>0</v>
      </c>
      <c r="K12" s="21">
        <f t="shared" si="2"/>
        <v>0</v>
      </c>
      <c r="L12" s="145">
        <v>0</v>
      </c>
      <c r="M12" s="145">
        <f t="shared" si="3"/>
        <v>46050.003999999972</v>
      </c>
      <c r="N12" s="53"/>
      <c r="O12" s="81"/>
    </row>
    <row r="13" spans="1:15">
      <c r="A13" s="28">
        <v>10</v>
      </c>
      <c r="B13" s="29">
        <v>45818</v>
      </c>
      <c r="C13" s="79"/>
      <c r="D13" s="144"/>
      <c r="E13" s="106">
        <v>0</v>
      </c>
      <c r="F13" s="106">
        <v>0</v>
      </c>
      <c r="G13" s="21">
        <f t="shared" si="0"/>
        <v>0</v>
      </c>
      <c r="H13" s="106">
        <v>0</v>
      </c>
      <c r="I13" s="106"/>
      <c r="J13" s="21">
        <f t="shared" si="1"/>
        <v>0</v>
      </c>
      <c r="K13" s="21">
        <f t="shared" si="2"/>
        <v>0</v>
      </c>
      <c r="L13" s="145">
        <v>0</v>
      </c>
      <c r="M13" s="145">
        <f t="shared" si="3"/>
        <v>46050.003999999972</v>
      </c>
      <c r="N13" s="53"/>
      <c r="O13" s="81"/>
    </row>
    <row r="14" spans="1:15">
      <c r="A14" s="28">
        <v>11</v>
      </c>
      <c r="B14" s="29">
        <v>45819</v>
      </c>
      <c r="C14" s="79"/>
      <c r="D14" s="144"/>
      <c r="E14" s="106">
        <v>0</v>
      </c>
      <c r="F14" s="106">
        <v>0</v>
      </c>
      <c r="G14" s="21">
        <f t="shared" si="0"/>
        <v>0</v>
      </c>
      <c r="H14" s="106">
        <v>0</v>
      </c>
      <c r="I14" s="106"/>
      <c r="J14" s="21">
        <f t="shared" si="1"/>
        <v>0</v>
      </c>
      <c r="K14" s="21">
        <f t="shared" si="2"/>
        <v>0</v>
      </c>
      <c r="L14" s="145">
        <v>0</v>
      </c>
      <c r="M14" s="145">
        <f t="shared" si="3"/>
        <v>46050.003999999972</v>
      </c>
      <c r="N14" s="53"/>
      <c r="O14" s="81"/>
    </row>
    <row r="15" spans="1:15">
      <c r="A15" s="28">
        <v>12</v>
      </c>
      <c r="B15" s="29">
        <v>45820</v>
      </c>
      <c r="C15" s="79"/>
      <c r="D15" s="144"/>
      <c r="E15" s="106">
        <v>500</v>
      </c>
      <c r="F15" s="106">
        <v>92.1</v>
      </c>
      <c r="G15" s="21">
        <f t="shared" si="0"/>
        <v>46050</v>
      </c>
      <c r="H15" s="106">
        <v>35</v>
      </c>
      <c r="I15" s="106">
        <v>103.86</v>
      </c>
      <c r="J15" s="21">
        <f t="shared" si="1"/>
        <v>3635.1</v>
      </c>
      <c r="K15" s="21">
        <f t="shared" si="2"/>
        <v>49685.1</v>
      </c>
      <c r="L15" s="145">
        <v>0</v>
      </c>
      <c r="M15" s="145">
        <f t="shared" si="3"/>
        <v>95735.103999999963</v>
      </c>
      <c r="N15" s="53"/>
      <c r="O15" s="81"/>
    </row>
    <row r="16" spans="1:15">
      <c r="A16" s="28">
        <v>13</v>
      </c>
      <c r="B16" s="29">
        <v>45821</v>
      </c>
      <c r="C16" s="79"/>
      <c r="D16" s="144"/>
      <c r="E16" s="106">
        <v>0</v>
      </c>
      <c r="F16" s="106">
        <v>0</v>
      </c>
      <c r="G16" s="21">
        <f t="shared" si="0"/>
        <v>0</v>
      </c>
      <c r="H16" s="106">
        <v>0</v>
      </c>
      <c r="I16" s="106"/>
      <c r="J16" s="21">
        <f t="shared" si="1"/>
        <v>0</v>
      </c>
      <c r="K16" s="21">
        <f t="shared" si="2"/>
        <v>0</v>
      </c>
      <c r="L16" s="145">
        <v>0</v>
      </c>
      <c r="M16" s="145">
        <f t="shared" si="3"/>
        <v>95735.103999999963</v>
      </c>
      <c r="N16" s="53"/>
      <c r="O16" s="81"/>
    </row>
    <row r="17" spans="1:22">
      <c r="A17" s="28">
        <v>14</v>
      </c>
      <c r="B17" s="29">
        <v>45822</v>
      </c>
      <c r="C17" s="79"/>
      <c r="D17" s="144"/>
      <c r="E17" s="106">
        <v>0</v>
      </c>
      <c r="F17" s="106">
        <v>0</v>
      </c>
      <c r="G17" s="21">
        <f t="shared" si="0"/>
        <v>0</v>
      </c>
      <c r="H17" s="106">
        <v>0</v>
      </c>
      <c r="I17" s="106"/>
      <c r="J17" s="21">
        <f t="shared" si="1"/>
        <v>0</v>
      </c>
      <c r="K17" s="21">
        <f t="shared" si="2"/>
        <v>0</v>
      </c>
      <c r="L17" s="145">
        <v>0</v>
      </c>
      <c r="M17" s="145">
        <f t="shared" si="3"/>
        <v>95735.103999999963</v>
      </c>
      <c r="N17" s="53"/>
      <c r="O17" s="81"/>
    </row>
    <row r="18" spans="1:22">
      <c r="A18" s="28">
        <v>15</v>
      </c>
      <c r="B18" s="29">
        <v>45823</v>
      </c>
      <c r="C18" s="79"/>
      <c r="D18" s="144"/>
      <c r="E18" s="106">
        <v>0</v>
      </c>
      <c r="F18" s="106">
        <v>0</v>
      </c>
      <c r="G18" s="21">
        <f t="shared" si="0"/>
        <v>0</v>
      </c>
      <c r="H18" s="106">
        <v>0</v>
      </c>
      <c r="I18" s="106"/>
      <c r="J18" s="21">
        <f t="shared" si="1"/>
        <v>0</v>
      </c>
      <c r="K18" s="21">
        <f t="shared" si="2"/>
        <v>0</v>
      </c>
      <c r="L18" s="145">
        <v>0</v>
      </c>
      <c r="M18" s="145">
        <f t="shared" si="3"/>
        <v>95735.103999999963</v>
      </c>
      <c r="N18" s="53"/>
      <c r="O18" s="81"/>
    </row>
    <row r="19" spans="1:22">
      <c r="A19" s="28">
        <v>16</v>
      </c>
      <c r="B19" s="29">
        <v>45824</v>
      </c>
      <c r="C19" s="79"/>
      <c r="D19" s="144"/>
      <c r="E19" s="106">
        <v>500</v>
      </c>
      <c r="F19" s="106">
        <v>92.1</v>
      </c>
      <c r="G19" s="21">
        <f t="shared" si="0"/>
        <v>46050</v>
      </c>
      <c r="H19" s="106">
        <v>20</v>
      </c>
      <c r="I19" s="106">
        <v>103.86</v>
      </c>
      <c r="J19" s="21">
        <f t="shared" si="1"/>
        <v>2077.1999999999998</v>
      </c>
      <c r="K19" s="21">
        <f t="shared" si="2"/>
        <v>48127.199999999997</v>
      </c>
      <c r="L19" s="145">
        <v>0</v>
      </c>
      <c r="M19" s="145">
        <f t="shared" si="3"/>
        <v>143862.30399999995</v>
      </c>
      <c r="N19" s="53"/>
      <c r="O19" s="81"/>
    </row>
    <row r="20" spans="1:22">
      <c r="A20" s="28">
        <v>17</v>
      </c>
      <c r="B20" s="29">
        <v>45825</v>
      </c>
      <c r="C20" s="79"/>
      <c r="D20" s="144"/>
      <c r="E20" s="106">
        <v>0</v>
      </c>
      <c r="F20" s="106">
        <v>0</v>
      </c>
      <c r="G20" s="21">
        <f t="shared" si="0"/>
        <v>0</v>
      </c>
      <c r="H20" s="106">
        <v>0</v>
      </c>
      <c r="I20" s="106"/>
      <c r="J20" s="21">
        <f t="shared" si="1"/>
        <v>0</v>
      </c>
      <c r="K20" s="21">
        <f t="shared" si="2"/>
        <v>0</v>
      </c>
      <c r="L20" s="145">
        <v>0</v>
      </c>
      <c r="M20" s="145">
        <f t="shared" si="3"/>
        <v>143862.30399999995</v>
      </c>
      <c r="N20" s="53"/>
      <c r="O20" s="81"/>
      <c r="V20">
        <f>400*90.23</f>
        <v>36092</v>
      </c>
    </row>
    <row r="21" spans="1:22">
      <c r="A21" s="28">
        <v>18</v>
      </c>
      <c r="B21" s="29">
        <v>45826</v>
      </c>
      <c r="C21" s="79"/>
      <c r="D21" s="144"/>
      <c r="E21" s="106">
        <v>0</v>
      </c>
      <c r="F21" s="106">
        <v>0</v>
      </c>
      <c r="G21" s="21">
        <f t="shared" si="0"/>
        <v>0</v>
      </c>
      <c r="H21" s="106">
        <v>0</v>
      </c>
      <c r="I21" s="106"/>
      <c r="J21" s="21">
        <f t="shared" si="1"/>
        <v>0</v>
      </c>
      <c r="K21" s="21">
        <f t="shared" si="2"/>
        <v>0</v>
      </c>
      <c r="L21" s="145">
        <v>100000</v>
      </c>
      <c r="M21" s="145">
        <f t="shared" si="3"/>
        <v>43862.303999999946</v>
      </c>
      <c r="N21" s="53"/>
      <c r="O21" s="81"/>
      <c r="V21">
        <f>35*104.14</f>
        <v>3644.9</v>
      </c>
    </row>
    <row r="22" spans="1:22">
      <c r="A22" s="28">
        <v>19</v>
      </c>
      <c r="B22" s="29">
        <v>45827</v>
      </c>
      <c r="C22" s="79"/>
      <c r="D22" s="144"/>
      <c r="E22" s="106">
        <v>500</v>
      </c>
      <c r="F22" s="106">
        <v>92.1</v>
      </c>
      <c r="G22" s="21">
        <f t="shared" si="0"/>
        <v>46050</v>
      </c>
      <c r="H22" s="106">
        <v>35</v>
      </c>
      <c r="I22" s="106">
        <v>103.86</v>
      </c>
      <c r="J22" s="21">
        <f t="shared" si="1"/>
        <v>3635.1</v>
      </c>
      <c r="K22" s="21">
        <f t="shared" si="2"/>
        <v>49685.1</v>
      </c>
      <c r="L22" s="145">
        <v>0</v>
      </c>
      <c r="M22" s="145">
        <f t="shared" si="3"/>
        <v>93547.403999999951</v>
      </c>
      <c r="N22" s="53"/>
      <c r="O22" s="81"/>
    </row>
    <row r="23" spans="1:22">
      <c r="A23" s="28">
        <v>20</v>
      </c>
      <c r="B23" s="29">
        <v>45828</v>
      </c>
      <c r="C23" s="79"/>
      <c r="D23" s="144"/>
      <c r="E23" s="106">
        <v>0</v>
      </c>
      <c r="F23" s="106">
        <v>0</v>
      </c>
      <c r="G23" s="21">
        <f t="shared" si="0"/>
        <v>0</v>
      </c>
      <c r="H23" s="106">
        <v>0</v>
      </c>
      <c r="I23" s="106"/>
      <c r="J23" s="21">
        <f t="shared" si="1"/>
        <v>0</v>
      </c>
      <c r="K23" s="21">
        <f t="shared" si="2"/>
        <v>0</v>
      </c>
      <c r="L23" s="145">
        <v>0</v>
      </c>
      <c r="M23" s="145">
        <f t="shared" si="3"/>
        <v>93547.403999999951</v>
      </c>
      <c r="N23" s="352"/>
      <c r="O23" s="297"/>
    </row>
    <row r="24" spans="1:22">
      <c r="A24" s="28">
        <v>21</v>
      </c>
      <c r="B24" s="29">
        <v>45829</v>
      </c>
      <c r="C24" s="79"/>
      <c r="D24" s="144"/>
      <c r="E24" s="106">
        <v>0</v>
      </c>
      <c r="F24" s="106">
        <v>0</v>
      </c>
      <c r="G24" s="21">
        <f t="shared" si="0"/>
        <v>0</v>
      </c>
      <c r="H24" s="106">
        <v>0</v>
      </c>
      <c r="I24" s="106"/>
      <c r="J24" s="21">
        <f t="shared" si="1"/>
        <v>0</v>
      </c>
      <c r="K24" s="21">
        <f t="shared" si="2"/>
        <v>0</v>
      </c>
      <c r="L24" s="145">
        <v>0</v>
      </c>
      <c r="M24" s="145">
        <f t="shared" si="3"/>
        <v>93547.403999999951</v>
      </c>
      <c r="N24" s="53"/>
      <c r="O24" s="81"/>
    </row>
    <row r="25" spans="1:22">
      <c r="A25" s="28">
        <v>22</v>
      </c>
      <c r="B25" s="29">
        <v>45830</v>
      </c>
      <c r="C25" s="79"/>
      <c r="D25" s="144"/>
      <c r="E25" s="106">
        <v>0</v>
      </c>
      <c r="F25" s="106">
        <v>0</v>
      </c>
      <c r="G25" s="21">
        <f t="shared" si="0"/>
        <v>0</v>
      </c>
      <c r="H25" s="106">
        <v>0</v>
      </c>
      <c r="I25" s="106"/>
      <c r="J25" s="21">
        <f t="shared" si="1"/>
        <v>0</v>
      </c>
      <c r="K25" s="21">
        <f t="shared" si="2"/>
        <v>0</v>
      </c>
      <c r="L25" s="145">
        <v>0</v>
      </c>
      <c r="M25" s="145">
        <f t="shared" si="3"/>
        <v>93547.403999999951</v>
      </c>
      <c r="N25" s="53"/>
      <c r="O25" s="81"/>
    </row>
    <row r="26" spans="1:22">
      <c r="A26" s="28">
        <v>23</v>
      </c>
      <c r="B26" s="29">
        <v>45831</v>
      </c>
      <c r="C26" s="79"/>
      <c r="D26" s="144"/>
      <c r="E26" s="106">
        <v>200</v>
      </c>
      <c r="F26" s="106">
        <v>92.01</v>
      </c>
      <c r="G26" s="21">
        <f t="shared" si="0"/>
        <v>18402</v>
      </c>
      <c r="H26" s="106">
        <v>0</v>
      </c>
      <c r="I26" s="106"/>
      <c r="J26" s="21">
        <f t="shared" si="1"/>
        <v>0</v>
      </c>
      <c r="K26" s="21">
        <f t="shared" si="2"/>
        <v>18402</v>
      </c>
      <c r="L26" s="145">
        <v>18402</v>
      </c>
      <c r="M26" s="145">
        <f t="shared" si="3"/>
        <v>93547.403999999951</v>
      </c>
      <c r="N26" s="53"/>
      <c r="O26" s="81"/>
    </row>
    <row r="27" spans="1:22">
      <c r="A27" s="28">
        <v>24</v>
      </c>
      <c r="B27" s="29">
        <v>45832</v>
      </c>
      <c r="C27" s="79"/>
      <c r="D27" s="144"/>
      <c r="E27" s="106">
        <v>0</v>
      </c>
      <c r="F27" s="106">
        <v>0</v>
      </c>
      <c r="G27" s="21">
        <f t="shared" si="0"/>
        <v>0</v>
      </c>
      <c r="H27" s="106">
        <v>0</v>
      </c>
      <c r="I27" s="106"/>
      <c r="J27" s="21">
        <f t="shared" si="1"/>
        <v>0</v>
      </c>
      <c r="K27" s="21">
        <f t="shared" si="2"/>
        <v>0</v>
      </c>
      <c r="L27" s="145">
        <v>0</v>
      </c>
      <c r="M27" s="145">
        <f t="shared" si="3"/>
        <v>93547.403999999951</v>
      </c>
      <c r="N27" s="53"/>
      <c r="O27" s="81"/>
    </row>
    <row r="28" spans="1:22">
      <c r="A28" s="28">
        <v>25</v>
      </c>
      <c r="B28" s="29">
        <v>45833</v>
      </c>
      <c r="C28" s="79"/>
      <c r="D28" s="144"/>
      <c r="E28" s="106">
        <v>500</v>
      </c>
      <c r="F28" s="106">
        <v>92.01</v>
      </c>
      <c r="G28" s="21">
        <f t="shared" si="0"/>
        <v>46005</v>
      </c>
      <c r="H28" s="106">
        <v>35</v>
      </c>
      <c r="I28" s="106">
        <v>103.86</v>
      </c>
      <c r="J28" s="21">
        <f t="shared" si="1"/>
        <v>3635.1</v>
      </c>
      <c r="K28" s="21">
        <f t="shared" si="2"/>
        <v>49640.1</v>
      </c>
      <c r="L28" s="145">
        <v>93547</v>
      </c>
      <c r="M28" s="145">
        <f t="shared" si="3"/>
        <v>49640.503999999957</v>
      </c>
      <c r="N28" s="53"/>
      <c r="O28" s="81"/>
    </row>
    <row r="29" spans="1:22">
      <c r="A29" s="28">
        <v>26</v>
      </c>
      <c r="B29" s="29">
        <v>45834</v>
      </c>
      <c r="C29" s="79"/>
      <c r="D29" s="144"/>
      <c r="E29" s="106">
        <v>0</v>
      </c>
      <c r="F29" s="106">
        <v>0</v>
      </c>
      <c r="G29" s="21">
        <f t="shared" si="0"/>
        <v>0</v>
      </c>
      <c r="H29" s="106">
        <v>0</v>
      </c>
      <c r="I29" s="106"/>
      <c r="J29" s="21">
        <f t="shared" si="1"/>
        <v>0</v>
      </c>
      <c r="K29" s="21">
        <f t="shared" si="2"/>
        <v>0</v>
      </c>
      <c r="L29" s="145">
        <v>0</v>
      </c>
      <c r="M29" s="145">
        <f t="shared" si="3"/>
        <v>49640.503999999957</v>
      </c>
      <c r="N29" s="53"/>
      <c r="O29" s="81"/>
    </row>
    <row r="30" spans="1:22">
      <c r="A30" s="28">
        <v>27</v>
      </c>
      <c r="B30" s="29">
        <v>45835</v>
      </c>
      <c r="C30" s="79"/>
      <c r="D30" s="144"/>
      <c r="E30" s="106">
        <v>0</v>
      </c>
      <c r="F30" s="106">
        <v>0</v>
      </c>
      <c r="G30" s="21">
        <f t="shared" si="0"/>
        <v>0</v>
      </c>
      <c r="H30" s="106">
        <v>0</v>
      </c>
      <c r="I30" s="106"/>
      <c r="J30" s="21">
        <f t="shared" si="1"/>
        <v>0</v>
      </c>
      <c r="K30" s="21">
        <f t="shared" si="2"/>
        <v>0</v>
      </c>
      <c r="L30" s="145">
        <v>0</v>
      </c>
      <c r="M30" s="145">
        <f t="shared" si="3"/>
        <v>49640.503999999957</v>
      </c>
      <c r="N30" s="53"/>
      <c r="O30" s="81"/>
    </row>
    <row r="31" spans="1:22">
      <c r="A31" s="28">
        <v>28</v>
      </c>
      <c r="B31" s="29">
        <v>45836</v>
      </c>
      <c r="C31" s="79"/>
      <c r="D31" s="144"/>
      <c r="E31" s="106">
        <v>500</v>
      </c>
      <c r="F31" s="106">
        <v>92.01</v>
      </c>
      <c r="G31" s="21">
        <f t="shared" si="0"/>
        <v>46005</v>
      </c>
      <c r="H31" s="106">
        <v>30</v>
      </c>
      <c r="I31" s="106">
        <v>103.86</v>
      </c>
      <c r="J31" s="21">
        <f t="shared" si="1"/>
        <v>3115.8</v>
      </c>
      <c r="K31" s="21">
        <f t="shared" si="2"/>
        <v>49120.800000000003</v>
      </c>
      <c r="L31" s="145">
        <v>0</v>
      </c>
      <c r="M31" s="145">
        <f t="shared" si="3"/>
        <v>98761.30399999996</v>
      </c>
      <c r="N31" s="53"/>
      <c r="O31" s="81"/>
    </row>
    <row r="32" spans="1:22">
      <c r="A32" s="28">
        <v>29</v>
      </c>
      <c r="B32" s="29">
        <v>45837</v>
      </c>
      <c r="C32" s="79"/>
      <c r="D32" s="144"/>
      <c r="E32" s="106">
        <v>0</v>
      </c>
      <c r="F32" s="106">
        <v>0</v>
      </c>
      <c r="G32" s="21">
        <f t="shared" si="0"/>
        <v>0</v>
      </c>
      <c r="H32" s="106">
        <v>0</v>
      </c>
      <c r="I32" s="106"/>
      <c r="J32" s="21">
        <f t="shared" si="1"/>
        <v>0</v>
      </c>
      <c r="K32" s="21">
        <f t="shared" si="2"/>
        <v>0</v>
      </c>
      <c r="L32" s="145">
        <v>0</v>
      </c>
      <c r="M32" s="145">
        <f t="shared" si="3"/>
        <v>98761.30399999996</v>
      </c>
      <c r="N32" s="53"/>
      <c r="O32" s="81"/>
    </row>
    <row r="33" spans="1:19">
      <c r="A33" s="28">
        <v>30</v>
      </c>
      <c r="B33" s="29">
        <v>45838</v>
      </c>
      <c r="C33" s="79"/>
      <c r="D33" s="144"/>
      <c r="E33" s="106">
        <v>0</v>
      </c>
      <c r="F33" s="106">
        <v>0</v>
      </c>
      <c r="G33" s="21">
        <f t="shared" si="0"/>
        <v>0</v>
      </c>
      <c r="H33" s="106">
        <v>0</v>
      </c>
      <c r="I33" s="106"/>
      <c r="J33" s="21">
        <f t="shared" si="1"/>
        <v>0</v>
      </c>
      <c r="K33" s="21">
        <f t="shared" si="2"/>
        <v>0</v>
      </c>
      <c r="L33" s="145">
        <v>0</v>
      </c>
      <c r="M33" s="145">
        <f t="shared" si="3"/>
        <v>98761.30399999996</v>
      </c>
      <c r="N33" s="53"/>
      <c r="O33" s="81"/>
    </row>
    <row r="34" spans="1:19">
      <c r="A34" s="28">
        <v>31</v>
      </c>
      <c r="B34" s="29"/>
      <c r="C34" s="79"/>
      <c r="D34" s="144"/>
      <c r="E34" s="106">
        <v>0</v>
      </c>
      <c r="F34" s="106">
        <v>0</v>
      </c>
      <c r="G34" s="21">
        <f t="shared" si="0"/>
        <v>0</v>
      </c>
      <c r="H34" s="106">
        <v>0</v>
      </c>
      <c r="I34" s="106"/>
      <c r="J34" s="21">
        <f t="shared" si="1"/>
        <v>0</v>
      </c>
      <c r="K34" s="21">
        <f t="shared" si="2"/>
        <v>0</v>
      </c>
      <c r="L34" s="145">
        <v>0</v>
      </c>
      <c r="M34" s="145">
        <f t="shared" si="3"/>
        <v>98761.30399999996</v>
      </c>
      <c r="N34" s="53"/>
      <c r="O34" s="81"/>
    </row>
    <row r="35" spans="1:19">
      <c r="A35" s="28"/>
      <c r="B35" s="29"/>
      <c r="C35" s="79"/>
      <c r="D35" s="144"/>
      <c r="E35" s="106">
        <v>0</v>
      </c>
      <c r="F35" s="106">
        <v>0</v>
      </c>
      <c r="G35" s="21">
        <f t="shared" ref="G35" si="4">E35*F35</f>
        <v>0</v>
      </c>
      <c r="H35" s="106">
        <v>0</v>
      </c>
      <c r="I35" s="106"/>
      <c r="J35" s="21">
        <f t="shared" ref="J35" si="5">H35*I35</f>
        <v>0</v>
      </c>
      <c r="K35" s="21">
        <f t="shared" ref="K35" si="6">G35+J35</f>
        <v>0</v>
      </c>
      <c r="L35" s="145">
        <v>0</v>
      </c>
      <c r="M35" s="145">
        <f t="shared" ref="M35" si="7">M34+K35-L35</f>
        <v>98761.30399999996</v>
      </c>
      <c r="N35" s="53"/>
      <c r="O35" s="81"/>
    </row>
    <row r="36" spans="1:19">
      <c r="A36" s="51"/>
      <c r="B36" s="51"/>
      <c r="C36" s="51"/>
      <c r="D36" s="51"/>
      <c r="E36" s="52">
        <f>SUM(E4:E34)</f>
        <v>3700</v>
      </c>
      <c r="F36" s="52"/>
      <c r="G36" s="52">
        <f>SUM(G4:G34)</f>
        <v>340662</v>
      </c>
      <c r="H36" s="52">
        <f>SUM(H4:H34)</f>
        <v>175</v>
      </c>
      <c r="I36" s="52"/>
      <c r="J36" s="52">
        <f>SUM(J4:J34)</f>
        <v>18175.5</v>
      </c>
      <c r="K36" s="52">
        <f>SUM(K4:K34)</f>
        <v>358837.5</v>
      </c>
      <c r="L36" s="52">
        <f>SUM(L4:L34)</f>
        <v>296692.21000000002</v>
      </c>
      <c r="M36" s="52"/>
      <c r="N36" s="52"/>
      <c r="O36" s="35"/>
    </row>
    <row r="37" spans="1:19">
      <c r="A37" s="85"/>
      <c r="B37" s="86"/>
      <c r="C37" s="85"/>
      <c r="D37" s="85"/>
      <c r="E37" s="87">
        <v>0</v>
      </c>
      <c r="F37" s="87"/>
      <c r="G37" s="87">
        <v>0</v>
      </c>
      <c r="H37" s="87">
        <v>0</v>
      </c>
      <c r="I37" s="87"/>
      <c r="J37" s="88">
        <v>0</v>
      </c>
      <c r="K37" s="88">
        <f>G37+J37</f>
        <v>0</v>
      </c>
      <c r="L37" s="88">
        <v>0</v>
      </c>
      <c r="M37" s="88"/>
      <c r="N37" s="87"/>
      <c r="O37" s="81"/>
    </row>
    <row r="38" spans="1:19">
      <c r="E38" s="150">
        <f>SUM(E36:E37)</f>
        <v>3700</v>
      </c>
      <c r="F38" s="150">
        <f>SUM(F36:F37)</f>
        <v>0</v>
      </c>
      <c r="G38" s="150">
        <f>SUM(G36:G37)</f>
        <v>340662</v>
      </c>
      <c r="H38" s="150">
        <f>SUM(H36:H37)</f>
        <v>175</v>
      </c>
      <c r="I38" s="150">
        <f>SUM(I36:I37)</f>
        <v>0</v>
      </c>
      <c r="J38" s="150">
        <f>SUM(J36:J37)</f>
        <v>18175.5</v>
      </c>
      <c r="K38" s="150">
        <f>SUM(K36:K37)</f>
        <v>358837.5</v>
      </c>
      <c r="L38" s="150">
        <f>SUM(L36:L37)</f>
        <v>296692.21000000002</v>
      </c>
      <c r="O38" s="81"/>
    </row>
    <row r="39" spans="1:19">
      <c r="O39" s="81"/>
    </row>
    <row r="40" spans="1:19">
      <c r="O40" s="81"/>
    </row>
    <row r="41" spans="1:19">
      <c r="O41" s="81"/>
    </row>
    <row r="42" spans="1:19">
      <c r="O42" s="81"/>
      <c r="S42">
        <v>9052944708</v>
      </c>
    </row>
    <row r="43" spans="1:19">
      <c r="A43" s="81"/>
      <c r="B43" s="71"/>
      <c r="C43" s="81"/>
      <c r="D43" s="81"/>
      <c r="E43" s="81"/>
      <c r="F43" s="81"/>
      <c r="G43" s="89"/>
      <c r="H43" s="81"/>
      <c r="I43" s="81"/>
      <c r="J43" s="71"/>
      <c r="K43" s="71"/>
      <c r="L43" s="71"/>
      <c r="M43" s="71"/>
      <c r="N43" s="81"/>
      <c r="O43" s="87"/>
    </row>
    <row r="44" spans="1:19">
      <c r="A44" s="81"/>
      <c r="B44" s="462"/>
      <c r="C44" s="462"/>
      <c r="D44" s="462"/>
      <c r="E44" s="462"/>
      <c r="F44" s="81"/>
      <c r="G44" s="81"/>
      <c r="H44" s="81"/>
      <c r="I44" s="462"/>
      <c r="J44" s="462"/>
      <c r="K44" s="462"/>
      <c r="L44" s="462"/>
      <c r="M44" s="462"/>
      <c r="N44" s="462"/>
      <c r="O44" s="87"/>
    </row>
    <row r="45" spans="1:19">
      <c r="A45" s="81"/>
      <c r="B45" s="71"/>
      <c r="C45" s="81"/>
      <c r="D45" s="81"/>
      <c r="E45" s="81"/>
      <c r="F45" s="81"/>
      <c r="G45" s="81"/>
      <c r="H45" s="81"/>
      <c r="I45" s="81"/>
      <c r="J45" s="71"/>
      <c r="K45" s="71"/>
      <c r="L45" s="71"/>
      <c r="M45" s="71"/>
      <c r="N45" s="81"/>
      <c r="O45" s="87"/>
    </row>
  </sheetData>
  <mergeCells count="4">
    <mergeCell ref="A1:N1"/>
    <mergeCell ref="B44:E44"/>
    <mergeCell ref="I44:N44"/>
    <mergeCell ref="A3:J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D1FCD-21AA-40DD-BCCB-514D4CD38E73}">
  <sheetPr>
    <tabColor rgb="FF7030A0"/>
  </sheetPr>
  <dimension ref="A1:Q49"/>
  <sheetViews>
    <sheetView workbookViewId="0">
      <pane ySplit="2" topLeftCell="A15" activePane="bottomLeft" state="frozen"/>
      <selection pane="bottomLeft" activeCell="Q28" sqref="Q28"/>
    </sheetView>
  </sheetViews>
  <sheetFormatPr defaultColWidth="9.140625" defaultRowHeight="15"/>
  <cols>
    <col min="1" max="1" width="6.140625" bestFit="1" customWidth="1"/>
    <col min="2" max="2" width="11.5703125" customWidth="1"/>
    <col min="3" max="3" width="8" bestFit="1" customWidth="1"/>
    <col min="4" max="4" width="15.5703125" customWidth="1"/>
    <col min="5" max="5" width="10.7109375" bestFit="1" customWidth="1"/>
    <col min="6" max="7" width="11.85546875" bestFit="1" customWidth="1"/>
    <col min="8" max="8" width="10.7109375" bestFit="1" customWidth="1"/>
    <col min="9" max="9" width="8.140625" bestFit="1" customWidth="1"/>
    <col min="10" max="10" width="10.85546875" bestFit="1" customWidth="1"/>
    <col min="11" max="12" width="13.5703125" bestFit="1" customWidth="1"/>
    <col min="13" max="13" width="13.5703125" customWidth="1"/>
    <col min="14" max="14" width="17.7109375" bestFit="1" customWidth="1"/>
    <col min="15" max="15" width="7.140625" customWidth="1"/>
    <col min="16" max="16" width="9.7109375" customWidth="1"/>
    <col min="17" max="17" width="11.28515625" bestFit="1" customWidth="1"/>
  </cols>
  <sheetData>
    <row r="1" spans="1:15" ht="15.75">
      <c r="A1" s="452" t="s">
        <v>64</v>
      </c>
      <c r="B1" s="452"/>
      <c r="C1" s="452"/>
      <c r="D1" s="452"/>
      <c r="E1" s="452"/>
      <c r="F1" s="452"/>
      <c r="G1" s="452"/>
      <c r="H1" s="452"/>
      <c r="I1" s="452"/>
      <c r="J1" s="452"/>
      <c r="K1" s="452"/>
      <c r="L1" s="452"/>
      <c r="M1" s="452"/>
      <c r="N1" s="452"/>
      <c r="O1" s="65"/>
    </row>
    <row r="2" spans="1:15" ht="18" customHeight="1">
      <c r="A2" s="76" t="s">
        <v>102</v>
      </c>
      <c r="B2" s="96" t="s">
        <v>103</v>
      </c>
      <c r="C2" s="96" t="s">
        <v>104</v>
      </c>
      <c r="D2" s="96" t="s">
        <v>105</v>
      </c>
      <c r="E2" s="96" t="s">
        <v>106</v>
      </c>
      <c r="F2" s="96" t="s">
        <v>107</v>
      </c>
      <c r="G2" s="96" t="s">
        <v>108</v>
      </c>
      <c r="H2" s="96" t="s">
        <v>109</v>
      </c>
      <c r="I2" s="96" t="s">
        <v>107</v>
      </c>
      <c r="J2" s="97" t="s">
        <v>108</v>
      </c>
      <c r="K2" s="76" t="s">
        <v>110</v>
      </c>
      <c r="L2" s="98" t="s">
        <v>111</v>
      </c>
      <c r="M2" s="187" t="s">
        <v>149</v>
      </c>
      <c r="N2" s="96" t="s">
        <v>113</v>
      </c>
      <c r="O2" s="71"/>
    </row>
    <row r="3" spans="1:15" ht="18" customHeight="1">
      <c r="A3" s="165"/>
      <c r="B3" s="166"/>
      <c r="C3" s="166"/>
      <c r="D3" s="147" t="s">
        <v>114</v>
      </c>
      <c r="E3" s="166"/>
      <c r="F3" s="166"/>
      <c r="G3" s="166"/>
      <c r="H3" s="166"/>
      <c r="I3" s="166"/>
      <c r="J3" s="167"/>
      <c r="K3" s="375">
        <v>36319.153400000003</v>
      </c>
      <c r="L3" s="168">
        <v>0</v>
      </c>
      <c r="M3" s="168">
        <f>+K3</f>
        <v>36319.153400000003</v>
      </c>
      <c r="N3" s="166"/>
      <c r="O3" s="71"/>
    </row>
    <row r="4" spans="1:15">
      <c r="A4" s="55">
        <v>1</v>
      </c>
      <c r="B4" s="237">
        <v>45809</v>
      </c>
      <c r="C4" s="27"/>
      <c r="D4" s="27"/>
      <c r="E4" s="8">
        <v>0</v>
      </c>
      <c r="F4" s="8">
        <v>0</v>
      </c>
      <c r="G4" s="8">
        <f>E4*F4</f>
        <v>0</v>
      </c>
      <c r="H4" s="9">
        <v>0</v>
      </c>
      <c r="I4" s="9">
        <v>0</v>
      </c>
      <c r="J4" s="8">
        <f>H4*I4</f>
        <v>0</v>
      </c>
      <c r="K4" s="8">
        <f>G4+J4</f>
        <v>0</v>
      </c>
      <c r="L4" s="168">
        <v>0</v>
      </c>
      <c r="M4" s="8">
        <f>M3+K4-L4</f>
        <v>36319.153400000003</v>
      </c>
      <c r="N4" s="53"/>
      <c r="O4" s="1"/>
    </row>
    <row r="5" spans="1:15">
      <c r="A5" s="55">
        <v>2</v>
      </c>
      <c r="B5" s="237">
        <v>45810</v>
      </c>
      <c r="C5" s="27"/>
      <c r="D5" s="27"/>
      <c r="E5" s="8">
        <v>0</v>
      </c>
      <c r="F5" s="8">
        <v>0</v>
      </c>
      <c r="G5" s="8">
        <f t="shared" ref="G5:G34" si="0">E5*F5</f>
        <v>0</v>
      </c>
      <c r="H5" s="9">
        <v>0</v>
      </c>
      <c r="I5" s="9">
        <v>0</v>
      </c>
      <c r="J5" s="8">
        <f t="shared" ref="J5:J34" si="1">H5*I5</f>
        <v>0</v>
      </c>
      <c r="K5" s="8">
        <f t="shared" ref="K5:K34" si="2">G5+J5</f>
        <v>0</v>
      </c>
      <c r="L5" s="168">
        <v>0</v>
      </c>
      <c r="M5" s="8">
        <f t="shared" ref="M5:M34" si="3">M4+K5-L5</f>
        <v>36319.153400000003</v>
      </c>
      <c r="N5" s="53"/>
      <c r="O5" s="1"/>
    </row>
    <row r="6" spans="1:15">
      <c r="A6" s="55">
        <v>3</v>
      </c>
      <c r="B6" s="237">
        <v>45811</v>
      </c>
      <c r="C6" s="27"/>
      <c r="D6" s="27"/>
      <c r="E6" s="8">
        <v>286.16000000000003</v>
      </c>
      <c r="F6" s="8">
        <v>91.47</v>
      </c>
      <c r="G6" s="8">
        <f t="shared" si="0"/>
        <v>26175.055200000003</v>
      </c>
      <c r="H6" s="9">
        <v>0</v>
      </c>
      <c r="I6" s="9">
        <v>0</v>
      </c>
      <c r="J6" s="8">
        <f t="shared" si="1"/>
        <v>0</v>
      </c>
      <c r="K6" s="8">
        <f t="shared" si="2"/>
        <v>26175.055200000003</v>
      </c>
      <c r="L6" s="168">
        <v>0</v>
      </c>
      <c r="M6" s="8">
        <f t="shared" si="3"/>
        <v>62494.208600000005</v>
      </c>
      <c r="N6" s="53"/>
      <c r="O6" s="1"/>
    </row>
    <row r="7" spans="1:15">
      <c r="A7" s="55">
        <v>4</v>
      </c>
      <c r="B7" s="237">
        <v>45812</v>
      </c>
      <c r="C7" s="27"/>
      <c r="D7" s="27"/>
      <c r="E7" s="8">
        <v>32.4</v>
      </c>
      <c r="F7" s="8">
        <v>91.47</v>
      </c>
      <c r="G7" s="8">
        <f t="shared" si="0"/>
        <v>2963.6279999999997</v>
      </c>
      <c r="H7" s="9">
        <v>5</v>
      </c>
      <c r="I7" s="9">
        <v>103.4</v>
      </c>
      <c r="J7" s="8">
        <f t="shared" si="1"/>
        <v>517</v>
      </c>
      <c r="K7" s="8">
        <f t="shared" si="2"/>
        <v>3480.6279999999997</v>
      </c>
      <c r="L7" s="168">
        <v>0</v>
      </c>
      <c r="M7" s="8">
        <f t="shared" si="3"/>
        <v>65974.83660000001</v>
      </c>
      <c r="N7" s="53"/>
      <c r="O7" s="1"/>
    </row>
    <row r="8" spans="1:15">
      <c r="A8" s="55">
        <v>5</v>
      </c>
      <c r="B8" s="237">
        <v>45813</v>
      </c>
      <c r="C8" s="27"/>
      <c r="D8" s="27"/>
      <c r="E8" s="8">
        <v>0</v>
      </c>
      <c r="F8" s="8">
        <v>0</v>
      </c>
      <c r="G8" s="8">
        <f t="shared" si="0"/>
        <v>0</v>
      </c>
      <c r="H8" s="9">
        <v>0</v>
      </c>
      <c r="I8" s="9">
        <v>0</v>
      </c>
      <c r="J8" s="8">
        <f t="shared" si="1"/>
        <v>0</v>
      </c>
      <c r="K8" s="8">
        <f t="shared" si="2"/>
        <v>0</v>
      </c>
      <c r="L8" s="168">
        <v>0</v>
      </c>
      <c r="M8" s="8">
        <f t="shared" si="3"/>
        <v>65974.83660000001</v>
      </c>
      <c r="N8" s="53"/>
      <c r="O8" s="1"/>
    </row>
    <row r="9" spans="1:15">
      <c r="A9" s="55">
        <v>6</v>
      </c>
      <c r="B9" s="237">
        <v>45814</v>
      </c>
      <c r="C9" s="27"/>
      <c r="D9" s="27"/>
      <c r="E9" s="8">
        <v>478.97</v>
      </c>
      <c r="F9" s="8">
        <v>91.47</v>
      </c>
      <c r="G9" s="8">
        <f t="shared" si="0"/>
        <v>43811.385900000001</v>
      </c>
      <c r="H9" s="9">
        <v>0</v>
      </c>
      <c r="I9" s="9">
        <v>0</v>
      </c>
      <c r="J9" s="8">
        <f t="shared" si="1"/>
        <v>0</v>
      </c>
      <c r="K9" s="8">
        <f t="shared" si="2"/>
        <v>43811.385900000001</v>
      </c>
      <c r="L9" s="168">
        <v>65000</v>
      </c>
      <c r="M9" s="8">
        <f t="shared" si="3"/>
        <v>44786.222500000003</v>
      </c>
      <c r="N9" s="53"/>
      <c r="O9" s="1"/>
    </row>
    <row r="10" spans="1:15">
      <c r="A10" s="55">
        <v>7</v>
      </c>
      <c r="B10" s="237">
        <v>45815</v>
      </c>
      <c r="C10" s="27"/>
      <c r="D10" s="27"/>
      <c r="E10" s="8">
        <v>30</v>
      </c>
      <c r="F10" s="8">
        <v>91.47</v>
      </c>
      <c r="G10" s="8">
        <f t="shared" si="0"/>
        <v>2744.1</v>
      </c>
      <c r="H10" s="9">
        <v>6</v>
      </c>
      <c r="I10" s="9">
        <v>103.4</v>
      </c>
      <c r="J10" s="8">
        <f t="shared" si="1"/>
        <v>620.40000000000009</v>
      </c>
      <c r="K10" s="8">
        <f t="shared" si="2"/>
        <v>3364.5</v>
      </c>
      <c r="L10" s="168">
        <v>0</v>
      </c>
      <c r="M10" s="8">
        <f t="shared" si="3"/>
        <v>48150.722500000003</v>
      </c>
      <c r="N10" s="53"/>
      <c r="O10" s="1"/>
    </row>
    <row r="11" spans="1:15">
      <c r="A11" s="55">
        <v>8</v>
      </c>
      <c r="B11" s="237">
        <v>45816</v>
      </c>
      <c r="C11" s="27"/>
      <c r="D11" s="27"/>
      <c r="E11" s="8">
        <v>50.01</v>
      </c>
      <c r="F11" s="8">
        <v>91.47</v>
      </c>
      <c r="G11" s="8">
        <f t="shared" si="0"/>
        <v>4574.4146999999994</v>
      </c>
      <c r="H11" s="9">
        <v>0</v>
      </c>
      <c r="I11" s="9">
        <v>0</v>
      </c>
      <c r="J11" s="8">
        <f t="shared" si="1"/>
        <v>0</v>
      </c>
      <c r="K11" s="8">
        <f t="shared" si="2"/>
        <v>4574.4146999999994</v>
      </c>
      <c r="L11" s="168">
        <v>0</v>
      </c>
      <c r="M11" s="8">
        <f t="shared" si="3"/>
        <v>52725.137200000005</v>
      </c>
      <c r="N11" s="53"/>
      <c r="O11" s="1"/>
    </row>
    <row r="12" spans="1:15">
      <c r="A12" s="55">
        <v>9</v>
      </c>
      <c r="B12" s="237">
        <v>45817</v>
      </c>
      <c r="C12" s="27"/>
      <c r="D12" s="27"/>
      <c r="E12" s="8">
        <v>0</v>
      </c>
      <c r="F12" s="8">
        <v>0</v>
      </c>
      <c r="G12" s="8">
        <f t="shared" si="0"/>
        <v>0</v>
      </c>
      <c r="H12" s="9">
        <v>0</v>
      </c>
      <c r="I12" s="9">
        <v>0</v>
      </c>
      <c r="J12" s="8">
        <f t="shared" si="1"/>
        <v>0</v>
      </c>
      <c r="K12" s="8">
        <f t="shared" si="2"/>
        <v>0</v>
      </c>
      <c r="L12" s="168">
        <v>0</v>
      </c>
      <c r="M12" s="8">
        <f t="shared" si="3"/>
        <v>52725.137200000005</v>
      </c>
      <c r="N12" s="53"/>
      <c r="O12" s="1" t="s">
        <v>115</v>
      </c>
    </row>
    <row r="13" spans="1:15">
      <c r="A13" s="55">
        <v>10</v>
      </c>
      <c r="B13" s="237">
        <v>45818</v>
      </c>
      <c r="C13" s="27"/>
      <c r="D13" s="27"/>
      <c r="E13" s="8">
        <v>0</v>
      </c>
      <c r="F13" s="8">
        <v>0</v>
      </c>
      <c r="G13" s="8">
        <f t="shared" si="0"/>
        <v>0</v>
      </c>
      <c r="H13" s="9">
        <v>0</v>
      </c>
      <c r="I13" s="9">
        <v>0</v>
      </c>
      <c r="J13" s="8">
        <f t="shared" si="1"/>
        <v>0</v>
      </c>
      <c r="K13" s="8">
        <f t="shared" si="2"/>
        <v>0</v>
      </c>
      <c r="L13" s="168">
        <v>0</v>
      </c>
      <c r="M13" s="8">
        <f t="shared" si="3"/>
        <v>52725.137200000005</v>
      </c>
      <c r="N13" s="53"/>
      <c r="O13" s="1"/>
    </row>
    <row r="14" spans="1:15">
      <c r="A14" s="55">
        <v>11</v>
      </c>
      <c r="B14" s="237">
        <v>45819</v>
      </c>
      <c r="C14" s="27"/>
      <c r="D14" s="27"/>
      <c r="E14" s="8">
        <v>38.08</v>
      </c>
      <c r="F14" s="8">
        <v>91.47</v>
      </c>
      <c r="G14" s="8">
        <f t="shared" si="0"/>
        <v>3483.1776</v>
      </c>
      <c r="H14" s="9">
        <v>0</v>
      </c>
      <c r="I14" s="9">
        <v>0</v>
      </c>
      <c r="J14" s="8">
        <f t="shared" si="1"/>
        <v>0</v>
      </c>
      <c r="K14" s="8">
        <f t="shared" si="2"/>
        <v>3483.1776</v>
      </c>
      <c r="L14" s="168">
        <v>0</v>
      </c>
      <c r="M14" s="8">
        <f t="shared" si="3"/>
        <v>56208.314800000007</v>
      </c>
      <c r="N14" s="53"/>
      <c r="O14" s="1"/>
    </row>
    <row r="15" spans="1:15">
      <c r="A15" s="55">
        <v>12</v>
      </c>
      <c r="B15" s="237">
        <v>45820</v>
      </c>
      <c r="C15" s="27"/>
      <c r="D15" s="27"/>
      <c r="E15" s="8">
        <v>0</v>
      </c>
      <c r="F15" s="8">
        <v>0</v>
      </c>
      <c r="G15" s="8">
        <f t="shared" si="0"/>
        <v>0</v>
      </c>
      <c r="H15" s="9">
        <v>0</v>
      </c>
      <c r="I15" s="9">
        <v>0</v>
      </c>
      <c r="J15" s="8">
        <f t="shared" si="1"/>
        <v>0</v>
      </c>
      <c r="K15" s="8">
        <f t="shared" si="2"/>
        <v>0</v>
      </c>
      <c r="L15" s="168">
        <v>0</v>
      </c>
      <c r="M15" s="8">
        <f t="shared" si="3"/>
        <v>56208.314800000007</v>
      </c>
      <c r="N15" s="53"/>
      <c r="O15" s="1"/>
    </row>
    <row r="16" spans="1:15">
      <c r="A16" s="55">
        <v>13</v>
      </c>
      <c r="B16" s="237">
        <v>45821</v>
      </c>
      <c r="C16" s="27"/>
      <c r="D16" s="27"/>
      <c r="E16" s="8">
        <v>89.02</v>
      </c>
      <c r="F16" s="8">
        <v>91.47</v>
      </c>
      <c r="G16" s="8">
        <f t="shared" si="0"/>
        <v>8142.6593999999996</v>
      </c>
      <c r="H16" s="9">
        <v>0</v>
      </c>
      <c r="I16" s="9">
        <v>0</v>
      </c>
      <c r="J16" s="8">
        <f t="shared" si="1"/>
        <v>0</v>
      </c>
      <c r="K16" s="8">
        <f t="shared" si="2"/>
        <v>8142.6593999999996</v>
      </c>
      <c r="L16" s="168">
        <v>0</v>
      </c>
      <c r="M16" s="8">
        <f>M15+K16-L16</f>
        <v>64350.974200000004</v>
      </c>
      <c r="N16" s="53"/>
      <c r="O16" s="1"/>
    </row>
    <row r="17" spans="1:15">
      <c r="A17" s="55">
        <v>14</v>
      </c>
      <c r="B17" s="237">
        <v>45822</v>
      </c>
      <c r="C17" s="27"/>
      <c r="D17" s="27"/>
      <c r="E17" s="8">
        <v>5</v>
      </c>
      <c r="F17" s="8">
        <v>91.47</v>
      </c>
      <c r="G17" s="8">
        <f t="shared" si="0"/>
        <v>457.35</v>
      </c>
      <c r="H17" s="9">
        <v>16.53</v>
      </c>
      <c r="I17" s="9">
        <v>103.4</v>
      </c>
      <c r="J17" s="8">
        <f t="shared" si="1"/>
        <v>1709.2020000000002</v>
      </c>
      <c r="K17" s="8">
        <f t="shared" si="2"/>
        <v>2166.5520000000001</v>
      </c>
      <c r="L17" s="168">
        <v>0</v>
      </c>
      <c r="M17" s="8">
        <f>M16+K17-L17</f>
        <v>66517.526200000008</v>
      </c>
      <c r="N17" s="53"/>
      <c r="O17" s="1"/>
    </row>
    <row r="18" spans="1:15">
      <c r="A18" s="55">
        <v>15</v>
      </c>
      <c r="B18" s="237">
        <v>45823</v>
      </c>
      <c r="C18" s="27"/>
      <c r="D18" s="27"/>
      <c r="E18" s="8">
        <v>157.69</v>
      </c>
      <c r="F18" s="8">
        <v>91.47</v>
      </c>
      <c r="G18" s="8">
        <f t="shared" si="0"/>
        <v>14423.9043</v>
      </c>
      <c r="H18" s="9">
        <v>0</v>
      </c>
      <c r="I18" s="9">
        <v>0</v>
      </c>
      <c r="J18" s="8">
        <f t="shared" si="1"/>
        <v>0</v>
      </c>
      <c r="K18" s="8">
        <f t="shared" si="2"/>
        <v>14423.9043</v>
      </c>
      <c r="L18" s="168">
        <v>0</v>
      </c>
      <c r="M18" s="8">
        <f t="shared" si="3"/>
        <v>80941.430500000002</v>
      </c>
      <c r="N18" s="53"/>
      <c r="O18" s="1"/>
    </row>
    <row r="19" spans="1:15">
      <c r="A19" s="55">
        <v>16</v>
      </c>
      <c r="B19" s="237">
        <v>45824</v>
      </c>
      <c r="C19" s="27"/>
      <c r="D19" s="27"/>
      <c r="E19" s="8">
        <v>100</v>
      </c>
      <c r="F19" s="8">
        <v>91.47</v>
      </c>
      <c r="G19" s="8">
        <f t="shared" si="0"/>
        <v>9147</v>
      </c>
      <c r="H19" s="9">
        <v>0</v>
      </c>
      <c r="I19" s="9">
        <v>0</v>
      </c>
      <c r="J19" s="8">
        <f t="shared" si="1"/>
        <v>0</v>
      </c>
      <c r="K19" s="8">
        <f t="shared" si="2"/>
        <v>9147</v>
      </c>
      <c r="L19" s="168">
        <v>0</v>
      </c>
      <c r="M19" s="8">
        <f t="shared" si="3"/>
        <v>90088.430500000002</v>
      </c>
      <c r="N19" s="53"/>
      <c r="O19" s="1"/>
    </row>
    <row r="20" spans="1:15">
      <c r="A20" s="55">
        <v>17</v>
      </c>
      <c r="B20" s="237">
        <v>45825</v>
      </c>
      <c r="C20" s="27"/>
      <c r="D20" s="27"/>
      <c r="E20" s="8">
        <v>205.38</v>
      </c>
      <c r="F20" s="8">
        <v>91.47</v>
      </c>
      <c r="G20" s="8">
        <f t="shared" si="0"/>
        <v>18786.1086</v>
      </c>
      <c r="H20" s="9">
        <v>0</v>
      </c>
      <c r="I20" s="9">
        <v>0</v>
      </c>
      <c r="J20" s="8">
        <f t="shared" si="1"/>
        <v>0</v>
      </c>
      <c r="K20" s="8">
        <f t="shared" si="2"/>
        <v>18786.1086</v>
      </c>
      <c r="L20" s="168">
        <v>0</v>
      </c>
      <c r="M20" s="8">
        <f t="shared" si="3"/>
        <v>108874.53909999999</v>
      </c>
      <c r="N20" s="53"/>
      <c r="O20" s="1"/>
    </row>
    <row r="21" spans="1:15">
      <c r="A21" s="55">
        <v>18</v>
      </c>
      <c r="B21" s="237">
        <v>45826</v>
      </c>
      <c r="C21" s="27"/>
      <c r="D21" s="27"/>
      <c r="E21" s="8">
        <v>161.22999999999999</v>
      </c>
      <c r="F21" s="8">
        <v>91.47</v>
      </c>
      <c r="G21" s="8">
        <f t="shared" si="0"/>
        <v>14747.708099999998</v>
      </c>
      <c r="H21" s="9">
        <v>20</v>
      </c>
      <c r="I21" s="9">
        <v>103.4</v>
      </c>
      <c r="J21" s="8">
        <f t="shared" si="1"/>
        <v>2068</v>
      </c>
      <c r="K21" s="8">
        <f t="shared" si="2"/>
        <v>16815.708099999996</v>
      </c>
      <c r="L21" s="168">
        <v>108800</v>
      </c>
      <c r="M21" s="8">
        <f>M20+K21-L21</f>
        <v>16890.247199999983</v>
      </c>
      <c r="N21" s="53"/>
      <c r="O21" s="1"/>
    </row>
    <row r="22" spans="1:15">
      <c r="A22" s="55">
        <v>19</v>
      </c>
      <c r="B22" s="237">
        <v>45827</v>
      </c>
      <c r="C22" s="27"/>
      <c r="D22" s="27"/>
      <c r="E22" s="8">
        <v>22.32</v>
      </c>
      <c r="F22" s="8">
        <v>91.47</v>
      </c>
      <c r="G22" s="8">
        <f t="shared" si="0"/>
        <v>2041.6104</v>
      </c>
      <c r="H22" s="9">
        <v>6</v>
      </c>
      <c r="I22" s="9">
        <v>103.4</v>
      </c>
      <c r="J22" s="8">
        <f t="shared" si="1"/>
        <v>620.40000000000009</v>
      </c>
      <c r="K22" s="8">
        <f t="shared" si="2"/>
        <v>2662.0104000000001</v>
      </c>
      <c r="L22" s="168">
        <v>0</v>
      </c>
      <c r="M22" s="8">
        <f t="shared" si="3"/>
        <v>19552.257599999983</v>
      </c>
      <c r="N22" s="53"/>
      <c r="O22" s="1"/>
    </row>
    <row r="23" spans="1:15">
      <c r="A23" s="55">
        <v>20</v>
      </c>
      <c r="B23" s="237">
        <v>45828</v>
      </c>
      <c r="C23" s="27"/>
      <c r="D23" s="27"/>
      <c r="E23" s="8">
        <v>62.38</v>
      </c>
      <c r="F23" s="8">
        <v>91.47</v>
      </c>
      <c r="G23" s="8">
        <f t="shared" si="0"/>
        <v>5705.8986000000004</v>
      </c>
      <c r="H23" s="9">
        <v>0</v>
      </c>
      <c r="I23" s="9">
        <v>0</v>
      </c>
      <c r="J23" s="8">
        <f t="shared" si="1"/>
        <v>0</v>
      </c>
      <c r="K23" s="8">
        <f t="shared" si="2"/>
        <v>5705.8986000000004</v>
      </c>
      <c r="L23" s="168">
        <v>0</v>
      </c>
      <c r="M23" s="8">
        <f t="shared" si="3"/>
        <v>25258.156199999983</v>
      </c>
      <c r="N23" s="53"/>
      <c r="O23" s="1"/>
    </row>
    <row r="24" spans="1:15">
      <c r="A24" s="55">
        <v>21</v>
      </c>
      <c r="B24" s="237">
        <v>45829</v>
      </c>
      <c r="C24" s="27"/>
      <c r="D24" s="27"/>
      <c r="E24" s="8">
        <v>381.06</v>
      </c>
      <c r="F24" s="8">
        <v>91.47</v>
      </c>
      <c r="G24" s="8">
        <f t="shared" si="0"/>
        <v>34855.558199999999</v>
      </c>
      <c r="H24" s="9">
        <v>5</v>
      </c>
      <c r="I24" s="9">
        <v>103.4</v>
      </c>
      <c r="J24" s="8">
        <f t="shared" si="1"/>
        <v>517</v>
      </c>
      <c r="K24" s="8">
        <f t="shared" si="2"/>
        <v>35372.558199999999</v>
      </c>
      <c r="L24" s="168">
        <v>0</v>
      </c>
      <c r="M24" s="8">
        <f t="shared" si="3"/>
        <v>60630.714399999983</v>
      </c>
      <c r="N24" s="53"/>
      <c r="O24" s="1"/>
    </row>
    <row r="25" spans="1:15">
      <c r="A25" s="55">
        <v>22</v>
      </c>
      <c r="B25" s="237">
        <v>45830</v>
      </c>
      <c r="C25" s="27"/>
      <c r="D25" s="27"/>
      <c r="E25" s="8">
        <v>0</v>
      </c>
      <c r="F25" s="8">
        <v>0</v>
      </c>
      <c r="G25" s="8">
        <f t="shared" si="0"/>
        <v>0</v>
      </c>
      <c r="H25" s="9">
        <v>0</v>
      </c>
      <c r="I25" s="9">
        <v>0</v>
      </c>
      <c r="J25" s="8">
        <f t="shared" si="1"/>
        <v>0</v>
      </c>
      <c r="K25" s="8">
        <f t="shared" si="2"/>
        <v>0</v>
      </c>
      <c r="L25" s="168">
        <v>0</v>
      </c>
      <c r="M25" s="8">
        <f t="shared" si="3"/>
        <v>60630.714399999983</v>
      </c>
      <c r="N25" s="53"/>
      <c r="O25" s="1"/>
    </row>
    <row r="26" spans="1:15">
      <c r="A26" s="55">
        <v>23</v>
      </c>
      <c r="B26" s="237">
        <v>45831</v>
      </c>
      <c r="C26" s="27"/>
      <c r="D26" s="27"/>
      <c r="E26" s="8">
        <v>70</v>
      </c>
      <c r="F26" s="8">
        <v>91.47</v>
      </c>
      <c r="G26" s="8">
        <f t="shared" si="0"/>
        <v>6402.9</v>
      </c>
      <c r="H26" s="9">
        <v>0</v>
      </c>
      <c r="I26" s="9">
        <v>0</v>
      </c>
      <c r="J26" s="8">
        <f t="shared" si="1"/>
        <v>0</v>
      </c>
      <c r="K26" s="8">
        <f t="shared" si="2"/>
        <v>6402.9</v>
      </c>
      <c r="L26" s="168">
        <v>0</v>
      </c>
      <c r="M26" s="8">
        <f t="shared" si="3"/>
        <v>67033.614399999977</v>
      </c>
      <c r="N26" s="53"/>
      <c r="O26" s="1"/>
    </row>
    <row r="27" spans="1:15">
      <c r="A27" s="55">
        <v>24</v>
      </c>
      <c r="B27" s="237">
        <v>45832</v>
      </c>
      <c r="C27" s="27"/>
      <c r="D27" s="27"/>
      <c r="E27" s="8">
        <v>481.52</v>
      </c>
      <c r="F27" s="8">
        <v>91.47</v>
      </c>
      <c r="G27" s="8">
        <f t="shared" si="0"/>
        <v>44044.634399999995</v>
      </c>
      <c r="H27" s="9">
        <v>7.01</v>
      </c>
      <c r="I27" s="9">
        <v>103.4</v>
      </c>
      <c r="J27" s="8">
        <f t="shared" si="1"/>
        <v>724.83400000000006</v>
      </c>
      <c r="K27" s="8">
        <f t="shared" si="2"/>
        <v>44769.468399999998</v>
      </c>
      <c r="L27" s="168">
        <v>0</v>
      </c>
      <c r="M27" s="8">
        <f t="shared" si="3"/>
        <v>111803.08279999997</v>
      </c>
      <c r="N27" s="53"/>
      <c r="O27" s="1"/>
    </row>
    <row r="28" spans="1:15">
      <c r="A28" s="55">
        <v>25</v>
      </c>
      <c r="B28" s="237">
        <v>45833</v>
      </c>
      <c r="C28" s="27"/>
      <c r="D28" s="27"/>
      <c r="E28" s="8">
        <v>116.01</v>
      </c>
      <c r="F28" s="8">
        <v>91.47</v>
      </c>
      <c r="G28" s="8">
        <f t="shared" si="0"/>
        <v>10611.4347</v>
      </c>
      <c r="H28" s="9">
        <v>6.56</v>
      </c>
      <c r="I28" s="9">
        <v>103.4</v>
      </c>
      <c r="J28" s="8">
        <f t="shared" si="1"/>
        <v>678.30399999999997</v>
      </c>
      <c r="K28" s="8">
        <f t="shared" si="2"/>
        <v>11289.7387</v>
      </c>
      <c r="L28" s="168">
        <v>0</v>
      </c>
      <c r="M28" s="8">
        <f t="shared" si="3"/>
        <v>123092.82149999998</v>
      </c>
      <c r="N28" s="53"/>
      <c r="O28" s="1"/>
    </row>
    <row r="29" spans="1:15">
      <c r="A29" s="55">
        <v>26</v>
      </c>
      <c r="B29" s="237">
        <v>45834</v>
      </c>
      <c r="C29" s="27"/>
      <c r="D29" s="27"/>
      <c r="E29" s="8">
        <v>34.97</v>
      </c>
      <c r="F29" s="8">
        <v>91.47</v>
      </c>
      <c r="G29" s="8">
        <f t="shared" si="0"/>
        <v>3198.7058999999999</v>
      </c>
      <c r="H29" s="9">
        <v>0</v>
      </c>
      <c r="I29" s="9">
        <v>0</v>
      </c>
      <c r="J29" s="8">
        <f t="shared" si="1"/>
        <v>0</v>
      </c>
      <c r="K29" s="8">
        <f t="shared" si="2"/>
        <v>3198.7058999999999</v>
      </c>
      <c r="L29" s="168">
        <v>0</v>
      </c>
      <c r="M29" s="8">
        <f t="shared" si="3"/>
        <v>126291.52739999998</v>
      </c>
      <c r="N29" s="53"/>
      <c r="O29" s="1"/>
    </row>
    <row r="30" spans="1:15">
      <c r="A30" s="55">
        <v>27</v>
      </c>
      <c r="B30" s="237">
        <v>45835</v>
      </c>
      <c r="C30" s="27"/>
      <c r="D30" s="27"/>
      <c r="E30" s="8">
        <v>140.38</v>
      </c>
      <c r="F30" s="8">
        <v>91.47</v>
      </c>
      <c r="G30" s="8">
        <f t="shared" si="0"/>
        <v>12840.5586</v>
      </c>
      <c r="H30" s="9">
        <v>9</v>
      </c>
      <c r="I30" s="9">
        <v>103.4</v>
      </c>
      <c r="J30" s="8">
        <f t="shared" si="1"/>
        <v>930.6</v>
      </c>
      <c r="K30" s="8">
        <f t="shared" si="2"/>
        <v>13771.158600000001</v>
      </c>
      <c r="L30" s="168">
        <v>0</v>
      </c>
      <c r="M30" s="8">
        <f t="shared" si="3"/>
        <v>140062.68599999999</v>
      </c>
      <c r="N30" s="53"/>
      <c r="O30" s="1"/>
    </row>
    <row r="31" spans="1:15">
      <c r="A31" s="55">
        <v>28</v>
      </c>
      <c r="B31" s="237">
        <v>45836</v>
      </c>
      <c r="C31" s="27"/>
      <c r="D31" s="27"/>
      <c r="E31" s="8">
        <v>150</v>
      </c>
      <c r="F31" s="8">
        <v>91.47</v>
      </c>
      <c r="G31" s="8">
        <f t="shared" si="0"/>
        <v>13720.5</v>
      </c>
      <c r="H31" s="9">
        <v>14.39</v>
      </c>
      <c r="I31" s="9">
        <v>103.4</v>
      </c>
      <c r="J31" s="8">
        <f t="shared" si="1"/>
        <v>1487.9260000000002</v>
      </c>
      <c r="K31" s="8">
        <f t="shared" si="2"/>
        <v>15208.425999999999</v>
      </c>
      <c r="L31" s="168">
        <v>0</v>
      </c>
      <c r="M31" s="288">
        <f t="shared" si="3"/>
        <v>155271.11199999999</v>
      </c>
      <c r="N31" s="53"/>
      <c r="O31" s="1"/>
    </row>
    <row r="32" spans="1:15">
      <c r="A32" s="231">
        <v>29</v>
      </c>
      <c r="B32" s="237">
        <v>45837</v>
      </c>
      <c r="C32" s="27"/>
      <c r="D32" s="27"/>
      <c r="E32" s="8">
        <v>0</v>
      </c>
      <c r="F32" s="8">
        <v>0</v>
      </c>
      <c r="G32" s="8">
        <f t="shared" si="0"/>
        <v>0</v>
      </c>
      <c r="H32" s="9">
        <v>0</v>
      </c>
      <c r="I32" s="9">
        <v>0</v>
      </c>
      <c r="J32" s="8">
        <f t="shared" si="1"/>
        <v>0</v>
      </c>
      <c r="K32" s="8">
        <f t="shared" si="2"/>
        <v>0</v>
      </c>
      <c r="L32" s="168">
        <v>0</v>
      </c>
      <c r="M32" s="288">
        <f t="shared" si="3"/>
        <v>155271.11199999999</v>
      </c>
      <c r="N32" s="53"/>
      <c r="O32" s="1"/>
    </row>
    <row r="33" spans="1:17">
      <c r="A33" s="231">
        <v>30</v>
      </c>
      <c r="B33" s="237">
        <v>45838</v>
      </c>
      <c r="C33" s="27"/>
      <c r="D33" s="27"/>
      <c r="E33" s="8">
        <v>127</v>
      </c>
      <c r="F33" s="8">
        <v>91.47</v>
      </c>
      <c r="G33" s="8">
        <f t="shared" si="0"/>
        <v>11616.69</v>
      </c>
      <c r="H33" s="9">
        <v>10</v>
      </c>
      <c r="I33" s="9">
        <v>103.4</v>
      </c>
      <c r="J33" s="8">
        <f t="shared" si="1"/>
        <v>1034</v>
      </c>
      <c r="K33" s="8">
        <f t="shared" si="2"/>
        <v>12650.69</v>
      </c>
      <c r="L33" s="168">
        <v>0</v>
      </c>
      <c r="M33" s="288">
        <f t="shared" si="3"/>
        <v>167921.802</v>
      </c>
      <c r="N33" s="53"/>
      <c r="O33" s="1"/>
      <c r="Q33">
        <f>35000-8000</f>
        <v>27000</v>
      </c>
    </row>
    <row r="34" spans="1:17">
      <c r="A34" s="231">
        <v>31</v>
      </c>
      <c r="B34" s="237"/>
      <c r="C34" s="27"/>
      <c r="D34" s="27"/>
      <c r="E34" s="8">
        <v>0</v>
      </c>
      <c r="F34" s="8">
        <v>0</v>
      </c>
      <c r="G34" s="8">
        <f t="shared" si="0"/>
        <v>0</v>
      </c>
      <c r="H34" s="9">
        <v>0</v>
      </c>
      <c r="I34" s="9">
        <v>0</v>
      </c>
      <c r="J34" s="8">
        <f t="shared" si="1"/>
        <v>0</v>
      </c>
      <c r="K34" s="8">
        <f t="shared" si="2"/>
        <v>0</v>
      </c>
      <c r="L34" s="168">
        <v>0</v>
      </c>
      <c r="M34" s="288">
        <f t="shared" si="3"/>
        <v>167921.802</v>
      </c>
      <c r="N34" s="53"/>
      <c r="O34" s="1"/>
    </row>
    <row r="35" spans="1:17">
      <c r="A35" s="74"/>
      <c r="B35" s="74"/>
      <c r="C35" s="74"/>
      <c r="D35" s="74"/>
      <c r="E35" s="75">
        <f>SUM(E4:E34)</f>
        <v>3219.5800000000004</v>
      </c>
      <c r="F35" s="75"/>
      <c r="G35" s="75">
        <f>SUM(G4:G34)</f>
        <v>294494.98259999999</v>
      </c>
      <c r="H35" s="75">
        <f>SUM(H4:H34)</f>
        <v>105.49000000000001</v>
      </c>
      <c r="I35" s="75"/>
      <c r="J35" s="75">
        <f>SUM(J4:J34)</f>
        <v>10907.665999999999</v>
      </c>
      <c r="K35" s="75">
        <f>SUM(K4:K34)</f>
        <v>305402.64859999996</v>
      </c>
      <c r="L35" s="75">
        <f>SUM(L4:L34)</f>
        <v>173800</v>
      </c>
      <c r="M35" s="75"/>
      <c r="N35" s="75"/>
      <c r="O35" s="71"/>
    </row>
    <row r="36" spans="1:17">
      <c r="A36" s="2"/>
      <c r="B36" s="2"/>
      <c r="C36" s="2"/>
      <c r="D36" s="2"/>
      <c r="E36" s="4"/>
      <c r="F36" s="4"/>
      <c r="G36" s="4"/>
      <c r="H36" s="4"/>
      <c r="I36" s="4"/>
      <c r="J36" s="4"/>
      <c r="K36" s="4"/>
      <c r="L36" s="4"/>
      <c r="M36" s="4"/>
      <c r="N36" s="4"/>
      <c r="O36" s="1"/>
    </row>
    <row r="37" spans="1:17">
      <c r="A37" s="1"/>
      <c r="B37" s="1"/>
      <c r="C37" s="1"/>
      <c r="D37" s="1"/>
      <c r="E37" s="1"/>
      <c r="F37" s="1"/>
      <c r="G37" s="3"/>
      <c r="H37" s="1"/>
      <c r="I37" s="1"/>
      <c r="J37" s="1"/>
      <c r="K37" s="1"/>
      <c r="L37" s="8"/>
      <c r="M37" s="1"/>
      <c r="N37" s="1"/>
      <c r="O37" s="4"/>
    </row>
    <row r="38" spans="1:17">
      <c r="A38" s="1"/>
      <c r="B38" s="453"/>
      <c r="C38" s="453"/>
      <c r="D38" s="453"/>
      <c r="E38" s="453"/>
      <c r="F38" s="1"/>
      <c r="G38" s="1"/>
      <c r="H38" s="1"/>
      <c r="I38" s="470">
        <f>K24+L24</f>
        <v>35372.558199999999</v>
      </c>
      <c r="J38" s="453"/>
      <c r="K38" s="453"/>
      <c r="L38" s="453"/>
      <c r="M38" s="453"/>
      <c r="N38" s="453"/>
      <c r="O38" s="4"/>
    </row>
    <row r="39" spans="1:17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4"/>
    </row>
    <row r="40" spans="1:17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</row>
    <row r="41" spans="1:17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</row>
    <row r="42" spans="1:17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</row>
    <row r="43" spans="1:17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</row>
    <row r="44" spans="1:17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</row>
    <row r="45" spans="1:17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</row>
    <row r="46" spans="1:17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</row>
    <row r="47" spans="1:1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</row>
    <row r="48" spans="1:17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</row>
    <row r="49" spans="1:1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</row>
  </sheetData>
  <mergeCells count="3">
    <mergeCell ref="B38:E38"/>
    <mergeCell ref="I38:N38"/>
    <mergeCell ref="A1:N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B0BCA-CEB5-4CC4-B7FA-CDD92ABE66F3}">
  <sheetPr>
    <tabColor rgb="FF7030A0"/>
  </sheetPr>
  <dimension ref="A1:O49"/>
  <sheetViews>
    <sheetView topLeftCell="A18" workbookViewId="0">
      <selection activeCell="Q18" sqref="Q18"/>
    </sheetView>
  </sheetViews>
  <sheetFormatPr defaultRowHeight="15"/>
  <cols>
    <col min="1" max="1" width="5.140625" bestFit="1" customWidth="1"/>
    <col min="2" max="2" width="10" bestFit="1" customWidth="1"/>
    <col min="3" max="3" width="8" bestFit="1" customWidth="1"/>
    <col min="4" max="4" width="15.28515625" customWidth="1"/>
    <col min="5" max="5" width="9.7109375" bestFit="1" customWidth="1"/>
    <col min="6" max="6" width="7" bestFit="1" customWidth="1"/>
    <col min="7" max="7" width="11.5703125" bestFit="1" customWidth="1"/>
    <col min="9" max="9" width="8.140625" bestFit="1" customWidth="1"/>
    <col min="11" max="12" width="13.5703125" bestFit="1" customWidth="1"/>
    <col min="13" max="13" width="10.140625" bestFit="1" customWidth="1"/>
    <col min="14" max="14" width="10.42578125" bestFit="1" customWidth="1"/>
    <col min="15" max="15" width="9.42578125" customWidth="1"/>
  </cols>
  <sheetData>
    <row r="1" spans="1:15" ht="15.75">
      <c r="A1" s="452" t="s">
        <v>66</v>
      </c>
      <c r="B1" s="452"/>
      <c r="C1" s="452"/>
      <c r="D1" s="452"/>
      <c r="E1" s="452"/>
      <c r="F1" s="452"/>
      <c r="G1" s="452"/>
      <c r="H1" s="452"/>
      <c r="I1" s="452"/>
      <c r="J1" s="452"/>
      <c r="K1" s="452"/>
      <c r="L1" s="452"/>
      <c r="M1" s="452"/>
      <c r="N1" s="452"/>
      <c r="O1" s="65"/>
    </row>
    <row r="2" spans="1:15" ht="30.75">
      <c r="A2" s="76" t="s">
        <v>102</v>
      </c>
      <c r="B2" s="96" t="s">
        <v>103</v>
      </c>
      <c r="C2" s="96" t="s">
        <v>104</v>
      </c>
      <c r="D2" s="96" t="s">
        <v>105</v>
      </c>
      <c r="E2" s="96" t="s">
        <v>106</v>
      </c>
      <c r="F2" s="96" t="s">
        <v>107</v>
      </c>
      <c r="G2" s="96" t="s">
        <v>108</v>
      </c>
      <c r="H2" s="96" t="s">
        <v>109</v>
      </c>
      <c r="I2" s="96" t="s">
        <v>107</v>
      </c>
      <c r="J2" s="97" t="s">
        <v>108</v>
      </c>
      <c r="K2" s="76" t="s">
        <v>110</v>
      </c>
      <c r="L2" s="98" t="s">
        <v>111</v>
      </c>
      <c r="M2" s="187" t="s">
        <v>149</v>
      </c>
      <c r="N2" s="96" t="s">
        <v>113</v>
      </c>
      <c r="O2" s="71"/>
    </row>
    <row r="3" spans="1:15">
      <c r="A3" s="165"/>
      <c r="B3" s="166"/>
      <c r="C3" s="166"/>
      <c r="D3" s="147" t="s">
        <v>114</v>
      </c>
      <c r="E3" s="166"/>
      <c r="F3" s="166"/>
      <c r="G3" s="166"/>
      <c r="H3" s="166"/>
      <c r="I3" s="166"/>
      <c r="J3" s="167"/>
      <c r="K3" s="165">
        <v>0</v>
      </c>
      <c r="L3" s="168">
        <v>0</v>
      </c>
      <c r="M3" s="168">
        <f>+K3</f>
        <v>0</v>
      </c>
      <c r="N3" s="166"/>
      <c r="O3" s="71"/>
    </row>
    <row r="4" spans="1:15">
      <c r="A4" s="55">
        <v>1</v>
      </c>
      <c r="B4" s="237">
        <v>45809</v>
      </c>
      <c r="C4" s="27"/>
      <c r="D4" s="27"/>
      <c r="E4" s="8">
        <v>0</v>
      </c>
      <c r="F4" s="8">
        <v>0</v>
      </c>
      <c r="G4" s="8">
        <f>E4*F4</f>
        <v>0</v>
      </c>
      <c r="H4" s="9">
        <v>0</v>
      </c>
      <c r="I4" s="9">
        <v>0</v>
      </c>
      <c r="J4" s="8">
        <f>H4*I4</f>
        <v>0</v>
      </c>
      <c r="K4" s="8">
        <f>G4+J4</f>
        <v>0</v>
      </c>
      <c r="L4" s="168">
        <v>0</v>
      </c>
      <c r="M4" s="8">
        <f>M3+K4-L4</f>
        <v>0</v>
      </c>
      <c r="N4" s="53"/>
      <c r="O4" s="1"/>
    </row>
    <row r="5" spans="1:15">
      <c r="A5" s="55">
        <v>2</v>
      </c>
      <c r="B5" s="237">
        <v>45810</v>
      </c>
      <c r="C5" s="27"/>
      <c r="D5" s="27"/>
      <c r="E5" s="8">
        <v>130</v>
      </c>
      <c r="F5" s="8">
        <v>91.8</v>
      </c>
      <c r="G5" s="8">
        <f t="shared" ref="G5:G34" si="0">E5*F5</f>
        <v>11934</v>
      </c>
      <c r="H5" s="9">
        <v>0</v>
      </c>
      <c r="I5" s="9">
        <v>0</v>
      </c>
      <c r="J5" s="8">
        <f t="shared" ref="J5:J34" si="1">H5*I5</f>
        <v>0</v>
      </c>
      <c r="K5" s="8">
        <f t="shared" ref="K5:K34" si="2">G5+J5</f>
        <v>11934</v>
      </c>
      <c r="L5" s="168">
        <f>+K5</f>
        <v>11934</v>
      </c>
      <c r="M5" s="8">
        <f t="shared" ref="M5:M8" si="3">M4+K5-L5</f>
        <v>0</v>
      </c>
      <c r="N5" s="53"/>
      <c r="O5" s="1"/>
    </row>
    <row r="6" spans="1:15">
      <c r="A6" s="55">
        <v>3</v>
      </c>
      <c r="B6" s="237">
        <v>45811</v>
      </c>
      <c r="C6" s="27"/>
      <c r="D6" s="27"/>
      <c r="E6" s="8">
        <v>30</v>
      </c>
      <c r="F6" s="8">
        <v>91.8</v>
      </c>
      <c r="G6" s="8">
        <f t="shared" si="0"/>
        <v>2754</v>
      </c>
      <c r="H6" s="9">
        <v>0</v>
      </c>
      <c r="I6" s="9">
        <v>0</v>
      </c>
      <c r="J6" s="8">
        <f t="shared" si="1"/>
        <v>0</v>
      </c>
      <c r="K6" s="8">
        <f t="shared" si="2"/>
        <v>2754</v>
      </c>
      <c r="L6" s="168">
        <f t="shared" ref="L6:L33" si="4">+K6</f>
        <v>2754</v>
      </c>
      <c r="M6" s="8">
        <f t="shared" si="3"/>
        <v>0</v>
      </c>
      <c r="N6" s="53"/>
      <c r="O6" s="1"/>
    </row>
    <row r="7" spans="1:15">
      <c r="A7" s="55">
        <v>4</v>
      </c>
      <c r="B7" s="237">
        <v>45812</v>
      </c>
      <c r="C7" s="27"/>
      <c r="D7" s="27"/>
      <c r="E7" s="8">
        <v>190.15</v>
      </c>
      <c r="F7" s="8">
        <v>91.8</v>
      </c>
      <c r="G7" s="8">
        <f t="shared" si="0"/>
        <v>17455.77</v>
      </c>
      <c r="H7" s="9">
        <v>0</v>
      </c>
      <c r="I7" s="9">
        <v>0</v>
      </c>
      <c r="J7" s="8">
        <f t="shared" si="1"/>
        <v>0</v>
      </c>
      <c r="K7" s="8">
        <f t="shared" si="2"/>
        <v>17455.77</v>
      </c>
      <c r="L7" s="168">
        <f t="shared" si="4"/>
        <v>17455.77</v>
      </c>
      <c r="M7" s="8">
        <f t="shared" si="3"/>
        <v>0</v>
      </c>
      <c r="N7" s="53"/>
      <c r="O7" s="1"/>
    </row>
    <row r="8" spans="1:15">
      <c r="A8" s="55">
        <v>5</v>
      </c>
      <c r="B8" s="237">
        <v>45813</v>
      </c>
      <c r="C8" s="27"/>
      <c r="D8" s="27"/>
      <c r="E8" s="8">
        <v>0</v>
      </c>
      <c r="F8" s="8">
        <v>0</v>
      </c>
      <c r="G8" s="8">
        <f t="shared" si="0"/>
        <v>0</v>
      </c>
      <c r="H8" s="9">
        <v>0</v>
      </c>
      <c r="I8" s="9">
        <v>0</v>
      </c>
      <c r="J8" s="8">
        <f t="shared" si="1"/>
        <v>0</v>
      </c>
      <c r="K8" s="8">
        <f t="shared" si="2"/>
        <v>0</v>
      </c>
      <c r="L8" s="168">
        <f t="shared" si="4"/>
        <v>0</v>
      </c>
      <c r="M8" s="8">
        <f t="shared" si="3"/>
        <v>0</v>
      </c>
      <c r="N8" s="53"/>
      <c r="O8" s="1"/>
    </row>
    <row r="9" spans="1:15">
      <c r="A9" s="55">
        <v>6</v>
      </c>
      <c r="B9" s="237">
        <v>45814</v>
      </c>
      <c r="C9" s="27"/>
      <c r="D9" s="27"/>
      <c r="E9" s="8">
        <v>0</v>
      </c>
      <c r="F9" s="8">
        <v>0</v>
      </c>
      <c r="G9" s="8">
        <f t="shared" si="0"/>
        <v>0</v>
      </c>
      <c r="H9" s="9">
        <v>0</v>
      </c>
      <c r="I9" s="9">
        <v>0</v>
      </c>
      <c r="J9" s="8">
        <f t="shared" si="1"/>
        <v>0</v>
      </c>
      <c r="K9" s="8">
        <f t="shared" si="2"/>
        <v>0</v>
      </c>
      <c r="L9" s="168">
        <f t="shared" si="4"/>
        <v>0</v>
      </c>
      <c r="M9" s="8">
        <f t="shared" ref="M9:M33" si="5">M8+K9-L9</f>
        <v>0</v>
      </c>
      <c r="N9" s="53"/>
      <c r="O9" s="1"/>
    </row>
    <row r="10" spans="1:15">
      <c r="A10" s="55">
        <v>7</v>
      </c>
      <c r="B10" s="237">
        <v>45815</v>
      </c>
      <c r="C10" s="27"/>
      <c r="D10" s="27"/>
      <c r="E10" s="8">
        <v>10</v>
      </c>
      <c r="F10" s="8">
        <v>91.8</v>
      </c>
      <c r="G10" s="8">
        <f t="shared" si="0"/>
        <v>918</v>
      </c>
      <c r="H10" s="9">
        <v>0</v>
      </c>
      <c r="I10" s="9">
        <v>0</v>
      </c>
      <c r="J10" s="8">
        <f t="shared" si="1"/>
        <v>0</v>
      </c>
      <c r="K10" s="8">
        <f t="shared" si="2"/>
        <v>918</v>
      </c>
      <c r="L10" s="168">
        <f t="shared" si="4"/>
        <v>918</v>
      </c>
      <c r="M10" s="8">
        <f t="shared" si="5"/>
        <v>0</v>
      </c>
      <c r="N10" s="53"/>
      <c r="O10" s="1"/>
    </row>
    <row r="11" spans="1:15">
      <c r="A11" s="55">
        <v>8</v>
      </c>
      <c r="B11" s="237">
        <v>45816</v>
      </c>
      <c r="C11" s="27"/>
      <c r="D11" s="27"/>
      <c r="E11" s="8">
        <v>0</v>
      </c>
      <c r="F11" s="8">
        <v>0</v>
      </c>
      <c r="G11" s="8">
        <f t="shared" si="0"/>
        <v>0</v>
      </c>
      <c r="H11" s="9">
        <v>0</v>
      </c>
      <c r="I11" s="9">
        <v>0</v>
      </c>
      <c r="J11" s="8">
        <f t="shared" si="1"/>
        <v>0</v>
      </c>
      <c r="K11" s="8">
        <f t="shared" si="2"/>
        <v>0</v>
      </c>
      <c r="L11" s="168">
        <f t="shared" si="4"/>
        <v>0</v>
      </c>
      <c r="M11" s="8">
        <f t="shared" si="5"/>
        <v>0</v>
      </c>
      <c r="N11" s="53"/>
      <c r="O11" s="1"/>
    </row>
    <row r="12" spans="1:15">
      <c r="A12" s="55">
        <v>9</v>
      </c>
      <c r="B12" s="237">
        <v>45817</v>
      </c>
      <c r="C12" s="27"/>
      <c r="D12" s="27"/>
      <c r="E12" s="8">
        <v>0</v>
      </c>
      <c r="F12" s="8">
        <v>0</v>
      </c>
      <c r="G12" s="8">
        <f t="shared" si="0"/>
        <v>0</v>
      </c>
      <c r="H12" s="9">
        <v>0</v>
      </c>
      <c r="I12" s="9">
        <v>0</v>
      </c>
      <c r="J12" s="8">
        <f t="shared" si="1"/>
        <v>0</v>
      </c>
      <c r="K12" s="8">
        <f t="shared" si="2"/>
        <v>0</v>
      </c>
      <c r="L12" s="168">
        <f t="shared" si="4"/>
        <v>0</v>
      </c>
      <c r="M12" s="8">
        <f t="shared" si="5"/>
        <v>0</v>
      </c>
      <c r="N12" s="53"/>
      <c r="O12" s="1" t="s">
        <v>115</v>
      </c>
    </row>
    <row r="13" spans="1:15">
      <c r="A13" s="55">
        <v>10</v>
      </c>
      <c r="B13" s="237">
        <v>45818</v>
      </c>
      <c r="C13" s="27"/>
      <c r="D13" s="27"/>
      <c r="E13" s="8">
        <v>71.95</v>
      </c>
      <c r="F13" s="8">
        <v>91.8</v>
      </c>
      <c r="G13" s="8">
        <f t="shared" si="0"/>
        <v>6605.01</v>
      </c>
      <c r="H13" s="9">
        <v>5</v>
      </c>
      <c r="I13" s="9">
        <v>103.76</v>
      </c>
      <c r="J13" s="8">
        <f t="shared" si="1"/>
        <v>518.80000000000007</v>
      </c>
      <c r="K13" s="8">
        <f t="shared" si="2"/>
        <v>7123.81</v>
      </c>
      <c r="L13" s="168">
        <f t="shared" si="4"/>
        <v>7123.81</v>
      </c>
      <c r="M13" s="8">
        <f t="shared" si="5"/>
        <v>0</v>
      </c>
      <c r="N13" s="53"/>
      <c r="O13" s="1"/>
    </row>
    <row r="14" spans="1:15">
      <c r="A14" s="55">
        <v>11</v>
      </c>
      <c r="B14" s="237">
        <v>45819</v>
      </c>
      <c r="C14" s="27"/>
      <c r="D14" s="27"/>
      <c r="E14" s="8">
        <v>0</v>
      </c>
      <c r="F14" s="8">
        <v>0</v>
      </c>
      <c r="G14" s="8">
        <f t="shared" si="0"/>
        <v>0</v>
      </c>
      <c r="H14" s="9">
        <v>11</v>
      </c>
      <c r="I14" s="9">
        <v>103.76</v>
      </c>
      <c r="J14" s="8">
        <f t="shared" si="1"/>
        <v>1141.3600000000001</v>
      </c>
      <c r="K14" s="8">
        <f t="shared" si="2"/>
        <v>1141.3600000000001</v>
      </c>
      <c r="L14" s="168">
        <f t="shared" si="4"/>
        <v>1141.3600000000001</v>
      </c>
      <c r="M14" s="8">
        <f t="shared" si="5"/>
        <v>0</v>
      </c>
      <c r="N14" s="53"/>
      <c r="O14" s="1"/>
    </row>
    <row r="15" spans="1:15">
      <c r="A15" s="55">
        <v>12</v>
      </c>
      <c r="B15" s="237">
        <v>45820</v>
      </c>
      <c r="C15" s="27"/>
      <c r="D15" s="27"/>
      <c r="E15" s="8">
        <v>0</v>
      </c>
      <c r="F15" s="8">
        <v>0</v>
      </c>
      <c r="G15" s="8">
        <f t="shared" si="0"/>
        <v>0</v>
      </c>
      <c r="H15" s="9">
        <v>0</v>
      </c>
      <c r="I15" s="9">
        <v>0</v>
      </c>
      <c r="J15" s="8">
        <f t="shared" si="1"/>
        <v>0</v>
      </c>
      <c r="K15" s="8">
        <f t="shared" si="2"/>
        <v>0</v>
      </c>
      <c r="L15" s="168">
        <f t="shared" si="4"/>
        <v>0</v>
      </c>
      <c r="M15" s="8">
        <f t="shared" si="5"/>
        <v>0</v>
      </c>
      <c r="N15" s="53"/>
      <c r="O15" s="1"/>
    </row>
    <row r="16" spans="1:15">
      <c r="A16" s="55">
        <v>13</v>
      </c>
      <c r="B16" s="237">
        <v>45821</v>
      </c>
      <c r="C16" s="27"/>
      <c r="D16" s="27"/>
      <c r="E16" s="8">
        <v>65</v>
      </c>
      <c r="F16" s="8">
        <v>91.8</v>
      </c>
      <c r="G16" s="8">
        <f t="shared" si="0"/>
        <v>5967</v>
      </c>
      <c r="H16" s="9">
        <v>0</v>
      </c>
      <c r="I16" s="9">
        <v>0</v>
      </c>
      <c r="J16" s="8">
        <f t="shared" si="1"/>
        <v>0</v>
      </c>
      <c r="K16" s="8">
        <f t="shared" si="2"/>
        <v>5967</v>
      </c>
      <c r="L16" s="168">
        <f t="shared" si="4"/>
        <v>5967</v>
      </c>
      <c r="M16" s="8">
        <f t="shared" si="5"/>
        <v>0</v>
      </c>
      <c r="N16" s="53"/>
      <c r="O16" s="1"/>
    </row>
    <row r="17" spans="1:15">
      <c r="A17" s="55">
        <v>14</v>
      </c>
      <c r="B17" s="237">
        <v>45822</v>
      </c>
      <c r="C17" s="27"/>
      <c r="D17" s="27"/>
      <c r="E17" s="8">
        <v>30</v>
      </c>
      <c r="F17" s="8">
        <v>91.8</v>
      </c>
      <c r="G17" s="8">
        <f t="shared" si="0"/>
        <v>2754</v>
      </c>
      <c r="H17" s="9">
        <v>0</v>
      </c>
      <c r="I17" s="9">
        <v>0</v>
      </c>
      <c r="J17" s="8">
        <f t="shared" si="1"/>
        <v>0</v>
      </c>
      <c r="K17" s="8">
        <f t="shared" si="2"/>
        <v>2754</v>
      </c>
      <c r="L17" s="168">
        <f t="shared" si="4"/>
        <v>2754</v>
      </c>
      <c r="M17" s="8">
        <f t="shared" si="5"/>
        <v>0</v>
      </c>
      <c r="N17" s="53"/>
      <c r="O17" s="1"/>
    </row>
    <row r="18" spans="1:15">
      <c r="A18" s="55">
        <v>15</v>
      </c>
      <c r="B18" s="237">
        <v>45823</v>
      </c>
      <c r="C18" s="27"/>
      <c r="D18" s="27"/>
      <c r="E18" s="8">
        <v>0</v>
      </c>
      <c r="F18" s="8">
        <v>0</v>
      </c>
      <c r="G18" s="8">
        <f t="shared" si="0"/>
        <v>0</v>
      </c>
      <c r="H18" s="9">
        <v>0</v>
      </c>
      <c r="I18" s="9">
        <v>0</v>
      </c>
      <c r="J18" s="8">
        <f t="shared" si="1"/>
        <v>0</v>
      </c>
      <c r="K18" s="8">
        <f t="shared" si="2"/>
        <v>0</v>
      </c>
      <c r="L18" s="168">
        <f t="shared" si="4"/>
        <v>0</v>
      </c>
      <c r="M18" s="8">
        <f t="shared" si="5"/>
        <v>0</v>
      </c>
      <c r="N18" s="53"/>
      <c r="O18" s="1"/>
    </row>
    <row r="19" spans="1:15">
      <c r="A19" s="55">
        <v>16</v>
      </c>
      <c r="B19" s="237">
        <v>45824</v>
      </c>
      <c r="C19" s="27"/>
      <c r="D19" s="27"/>
      <c r="E19" s="8">
        <v>0</v>
      </c>
      <c r="F19" s="8">
        <v>0</v>
      </c>
      <c r="G19" s="8">
        <f t="shared" si="0"/>
        <v>0</v>
      </c>
      <c r="H19" s="9">
        <v>0</v>
      </c>
      <c r="I19" s="9">
        <v>0</v>
      </c>
      <c r="J19" s="8">
        <f t="shared" si="1"/>
        <v>0</v>
      </c>
      <c r="K19" s="8">
        <f t="shared" si="2"/>
        <v>0</v>
      </c>
      <c r="L19" s="168">
        <f t="shared" si="4"/>
        <v>0</v>
      </c>
      <c r="M19" s="8">
        <f t="shared" si="5"/>
        <v>0</v>
      </c>
      <c r="N19" s="53"/>
      <c r="O19" s="1"/>
    </row>
    <row r="20" spans="1:15">
      <c r="A20" s="55">
        <v>17</v>
      </c>
      <c r="B20" s="237">
        <v>45825</v>
      </c>
      <c r="C20" s="27"/>
      <c r="D20" s="27"/>
      <c r="E20" s="8">
        <v>220</v>
      </c>
      <c r="F20" s="8">
        <v>91.8</v>
      </c>
      <c r="G20" s="8">
        <f t="shared" si="0"/>
        <v>20196</v>
      </c>
      <c r="H20" s="9">
        <v>0</v>
      </c>
      <c r="I20" s="9">
        <v>0</v>
      </c>
      <c r="J20" s="8">
        <f t="shared" si="1"/>
        <v>0</v>
      </c>
      <c r="K20" s="8">
        <f t="shared" si="2"/>
        <v>20196</v>
      </c>
      <c r="L20" s="168">
        <f t="shared" si="4"/>
        <v>20196</v>
      </c>
      <c r="M20" s="8">
        <f t="shared" si="5"/>
        <v>0</v>
      </c>
      <c r="N20" s="53"/>
      <c r="O20" s="1"/>
    </row>
    <row r="21" spans="1:15">
      <c r="A21" s="55">
        <v>18</v>
      </c>
      <c r="B21" s="237">
        <v>45826</v>
      </c>
      <c r="C21" s="27"/>
      <c r="D21" s="27"/>
      <c r="E21" s="8">
        <v>10</v>
      </c>
      <c r="F21" s="8">
        <v>91.8</v>
      </c>
      <c r="G21" s="8">
        <f t="shared" si="0"/>
        <v>918</v>
      </c>
      <c r="H21" s="9">
        <v>5</v>
      </c>
      <c r="I21" s="9">
        <v>103.76</v>
      </c>
      <c r="J21" s="8">
        <f t="shared" si="1"/>
        <v>518.80000000000007</v>
      </c>
      <c r="K21" s="8">
        <f t="shared" si="2"/>
        <v>1436.8000000000002</v>
      </c>
      <c r="L21" s="168">
        <f t="shared" si="4"/>
        <v>1436.8000000000002</v>
      </c>
      <c r="M21" s="8">
        <f t="shared" si="5"/>
        <v>0</v>
      </c>
      <c r="N21" s="53"/>
      <c r="O21" s="1"/>
    </row>
    <row r="22" spans="1:15">
      <c r="A22" s="55">
        <v>19</v>
      </c>
      <c r="B22" s="237">
        <v>45827</v>
      </c>
      <c r="C22" s="27"/>
      <c r="D22" s="27"/>
      <c r="E22" s="8">
        <v>120</v>
      </c>
      <c r="F22" s="8">
        <v>91.8</v>
      </c>
      <c r="G22" s="8">
        <f t="shared" si="0"/>
        <v>11016</v>
      </c>
      <c r="H22" s="9">
        <v>0</v>
      </c>
      <c r="I22" s="9">
        <v>0</v>
      </c>
      <c r="J22" s="8">
        <f t="shared" si="1"/>
        <v>0</v>
      </c>
      <c r="K22" s="8">
        <f t="shared" si="2"/>
        <v>11016</v>
      </c>
      <c r="L22" s="168">
        <f t="shared" si="4"/>
        <v>11016</v>
      </c>
      <c r="M22" s="8">
        <f t="shared" si="5"/>
        <v>0</v>
      </c>
      <c r="N22" s="53"/>
      <c r="O22" s="1"/>
    </row>
    <row r="23" spans="1:15">
      <c r="A23" s="55">
        <v>20</v>
      </c>
      <c r="B23" s="237">
        <v>45828</v>
      </c>
      <c r="C23" s="27"/>
      <c r="D23" s="27"/>
      <c r="E23" s="8">
        <v>165</v>
      </c>
      <c r="F23" s="8">
        <v>91.8</v>
      </c>
      <c r="G23" s="8">
        <f t="shared" si="0"/>
        <v>15147</v>
      </c>
      <c r="H23" s="9">
        <v>0</v>
      </c>
      <c r="I23" s="9">
        <v>0</v>
      </c>
      <c r="J23" s="8">
        <f t="shared" si="1"/>
        <v>0</v>
      </c>
      <c r="K23" s="8">
        <f t="shared" si="2"/>
        <v>15147</v>
      </c>
      <c r="L23" s="168">
        <f t="shared" si="4"/>
        <v>15147</v>
      </c>
      <c r="M23" s="8">
        <f t="shared" si="5"/>
        <v>0</v>
      </c>
      <c r="N23" s="53"/>
      <c r="O23" s="1"/>
    </row>
    <row r="24" spans="1:15">
      <c r="A24" s="55">
        <v>21</v>
      </c>
      <c r="B24" s="237">
        <v>45829</v>
      </c>
      <c r="C24" s="27"/>
      <c r="D24" s="27"/>
      <c r="E24" s="8">
        <v>135</v>
      </c>
      <c r="F24" s="8">
        <v>91.8</v>
      </c>
      <c r="G24" s="8">
        <f t="shared" si="0"/>
        <v>12393</v>
      </c>
      <c r="H24" s="9">
        <v>10</v>
      </c>
      <c r="I24" s="9">
        <v>103.76</v>
      </c>
      <c r="J24" s="8">
        <f t="shared" si="1"/>
        <v>1037.6000000000001</v>
      </c>
      <c r="K24" s="8">
        <f t="shared" si="2"/>
        <v>13430.6</v>
      </c>
      <c r="L24" s="168">
        <f t="shared" si="4"/>
        <v>13430.6</v>
      </c>
      <c r="M24" s="8">
        <f t="shared" si="5"/>
        <v>0</v>
      </c>
      <c r="N24" s="53"/>
      <c r="O24" s="1"/>
    </row>
    <row r="25" spans="1:15">
      <c r="A25" s="55">
        <v>22</v>
      </c>
      <c r="B25" s="237">
        <v>45830</v>
      </c>
      <c r="C25" s="27"/>
      <c r="D25" s="27"/>
      <c r="E25" s="8">
        <v>0</v>
      </c>
      <c r="F25" s="8">
        <v>0</v>
      </c>
      <c r="G25" s="8">
        <f t="shared" si="0"/>
        <v>0</v>
      </c>
      <c r="H25" s="9">
        <v>0</v>
      </c>
      <c r="I25" s="9">
        <v>0</v>
      </c>
      <c r="J25" s="8">
        <f t="shared" si="1"/>
        <v>0</v>
      </c>
      <c r="K25" s="8">
        <f t="shared" si="2"/>
        <v>0</v>
      </c>
      <c r="L25" s="168">
        <f t="shared" si="4"/>
        <v>0</v>
      </c>
      <c r="M25" s="8">
        <f t="shared" si="5"/>
        <v>0</v>
      </c>
      <c r="N25" s="53"/>
      <c r="O25" s="1"/>
    </row>
    <row r="26" spans="1:15">
      <c r="A26" s="55">
        <v>23</v>
      </c>
      <c r="B26" s="237">
        <v>45831</v>
      </c>
      <c r="C26" s="27"/>
      <c r="D26" s="27"/>
      <c r="E26" s="8">
        <v>0</v>
      </c>
      <c r="F26" s="8">
        <v>0</v>
      </c>
      <c r="G26" s="8">
        <f t="shared" si="0"/>
        <v>0</v>
      </c>
      <c r="H26" s="9">
        <v>0</v>
      </c>
      <c r="I26" s="9">
        <v>0</v>
      </c>
      <c r="J26" s="8">
        <f t="shared" si="1"/>
        <v>0</v>
      </c>
      <c r="K26" s="8">
        <f t="shared" si="2"/>
        <v>0</v>
      </c>
      <c r="L26" s="168">
        <f t="shared" si="4"/>
        <v>0</v>
      </c>
      <c r="M26" s="8">
        <f t="shared" si="5"/>
        <v>0</v>
      </c>
      <c r="N26" s="53"/>
      <c r="O26" s="1"/>
    </row>
    <row r="27" spans="1:15">
      <c r="A27" s="55">
        <v>24</v>
      </c>
      <c r="B27" s="237">
        <v>45832</v>
      </c>
      <c r="C27" s="27"/>
      <c r="D27" s="27"/>
      <c r="E27" s="379">
        <v>9.8000000000000007</v>
      </c>
      <c r="F27" s="8">
        <v>91.8</v>
      </c>
      <c r="G27" s="8">
        <f t="shared" si="0"/>
        <v>899.64</v>
      </c>
      <c r="H27" s="9">
        <v>5</v>
      </c>
      <c r="I27" s="9">
        <v>103.76</v>
      </c>
      <c r="J27" s="8">
        <f t="shared" si="1"/>
        <v>518.80000000000007</v>
      </c>
      <c r="K27" s="8">
        <f t="shared" si="2"/>
        <v>1418.44</v>
      </c>
      <c r="L27" s="168">
        <f t="shared" si="4"/>
        <v>1418.44</v>
      </c>
      <c r="M27" s="8">
        <f t="shared" si="5"/>
        <v>0</v>
      </c>
      <c r="N27" s="53"/>
      <c r="O27" s="1"/>
    </row>
    <row r="28" spans="1:15">
      <c r="A28" s="55">
        <v>25</v>
      </c>
      <c r="B28" s="237">
        <v>45833</v>
      </c>
      <c r="C28" s="27"/>
      <c r="D28" s="27"/>
      <c r="E28" s="8">
        <v>0</v>
      </c>
      <c r="F28" s="8">
        <v>0</v>
      </c>
      <c r="G28" s="8">
        <f t="shared" si="0"/>
        <v>0</v>
      </c>
      <c r="H28" s="9">
        <v>0</v>
      </c>
      <c r="I28" s="9">
        <v>0</v>
      </c>
      <c r="J28" s="8">
        <f t="shared" si="1"/>
        <v>0</v>
      </c>
      <c r="K28" s="8">
        <f t="shared" si="2"/>
        <v>0</v>
      </c>
      <c r="L28" s="168">
        <f t="shared" si="4"/>
        <v>0</v>
      </c>
      <c r="M28" s="8">
        <f t="shared" si="5"/>
        <v>0</v>
      </c>
      <c r="N28" s="53"/>
      <c r="O28" s="1"/>
    </row>
    <row r="29" spans="1:15">
      <c r="A29" s="55">
        <v>26</v>
      </c>
      <c r="B29" s="237">
        <v>45834</v>
      </c>
      <c r="C29" s="27"/>
      <c r="D29" s="27"/>
      <c r="E29" s="8">
        <v>0</v>
      </c>
      <c r="F29" s="8">
        <v>0</v>
      </c>
      <c r="G29" s="8">
        <f t="shared" si="0"/>
        <v>0</v>
      </c>
      <c r="H29" s="9">
        <v>0</v>
      </c>
      <c r="I29" s="9">
        <v>0</v>
      </c>
      <c r="J29" s="8">
        <f t="shared" si="1"/>
        <v>0</v>
      </c>
      <c r="K29" s="8">
        <f t="shared" si="2"/>
        <v>0</v>
      </c>
      <c r="L29" s="168">
        <f t="shared" si="4"/>
        <v>0</v>
      </c>
      <c r="M29" s="8">
        <f t="shared" si="5"/>
        <v>0</v>
      </c>
      <c r="N29" s="53"/>
      <c r="O29" s="1"/>
    </row>
    <row r="30" spans="1:15">
      <c r="A30" s="55">
        <v>27</v>
      </c>
      <c r="B30" s="237">
        <v>45835</v>
      </c>
      <c r="C30" s="27"/>
      <c r="D30" s="27"/>
      <c r="E30" s="8">
        <v>0</v>
      </c>
      <c r="F30" s="8">
        <v>0</v>
      </c>
      <c r="G30" s="8">
        <f t="shared" si="0"/>
        <v>0</v>
      </c>
      <c r="H30" s="9">
        <v>0</v>
      </c>
      <c r="I30" s="9">
        <v>0</v>
      </c>
      <c r="J30" s="8">
        <f t="shared" si="1"/>
        <v>0</v>
      </c>
      <c r="K30" s="8">
        <f t="shared" si="2"/>
        <v>0</v>
      </c>
      <c r="L30" s="168">
        <f t="shared" si="4"/>
        <v>0</v>
      </c>
      <c r="M30" s="8">
        <f t="shared" si="5"/>
        <v>0</v>
      </c>
      <c r="N30" s="53"/>
      <c r="O30" s="1"/>
    </row>
    <row r="31" spans="1:15">
      <c r="A31" s="55">
        <v>28</v>
      </c>
      <c r="B31" s="237">
        <v>45836</v>
      </c>
      <c r="C31" s="27"/>
      <c r="D31" s="27"/>
      <c r="E31" s="8">
        <v>10</v>
      </c>
      <c r="F31" s="8">
        <v>91.8</v>
      </c>
      <c r="G31" s="8">
        <f t="shared" si="0"/>
        <v>918</v>
      </c>
      <c r="H31" s="9">
        <v>0</v>
      </c>
      <c r="I31" s="9">
        <v>0</v>
      </c>
      <c r="J31" s="8">
        <f t="shared" si="1"/>
        <v>0</v>
      </c>
      <c r="K31" s="8">
        <f t="shared" si="2"/>
        <v>918</v>
      </c>
      <c r="L31" s="168">
        <f t="shared" si="4"/>
        <v>918</v>
      </c>
      <c r="M31" s="8">
        <f t="shared" si="5"/>
        <v>0</v>
      </c>
      <c r="N31" s="53"/>
      <c r="O31" s="1"/>
    </row>
    <row r="32" spans="1:15">
      <c r="A32" s="231">
        <v>29</v>
      </c>
      <c r="B32" s="237">
        <v>45837</v>
      </c>
      <c r="C32" s="27"/>
      <c r="D32" s="27"/>
      <c r="E32" s="8">
        <v>30</v>
      </c>
      <c r="F32" s="8">
        <v>91.8</v>
      </c>
      <c r="G32" s="8">
        <f t="shared" si="0"/>
        <v>2754</v>
      </c>
      <c r="H32" s="9">
        <v>0</v>
      </c>
      <c r="I32" s="9">
        <v>0</v>
      </c>
      <c r="J32" s="8">
        <f t="shared" si="1"/>
        <v>0</v>
      </c>
      <c r="K32" s="8">
        <f t="shared" si="2"/>
        <v>2754</v>
      </c>
      <c r="L32" s="168">
        <f t="shared" si="4"/>
        <v>2754</v>
      </c>
      <c r="M32" s="8">
        <f t="shared" si="5"/>
        <v>0</v>
      </c>
      <c r="N32" s="53"/>
      <c r="O32" s="1"/>
    </row>
    <row r="33" spans="1:15">
      <c r="A33" s="231">
        <v>30</v>
      </c>
      <c r="B33" s="237">
        <v>45838</v>
      </c>
      <c r="C33" s="27"/>
      <c r="D33" s="27"/>
      <c r="E33" s="8">
        <v>90</v>
      </c>
      <c r="F33" s="8">
        <v>91.8</v>
      </c>
      <c r="G33" s="8">
        <f t="shared" si="0"/>
        <v>8262</v>
      </c>
      <c r="H33" s="9">
        <v>5</v>
      </c>
      <c r="I33" s="9">
        <v>103.76</v>
      </c>
      <c r="J33" s="8">
        <f t="shared" si="1"/>
        <v>518.80000000000007</v>
      </c>
      <c r="K33" s="8">
        <f t="shared" si="2"/>
        <v>8780.7999999999993</v>
      </c>
      <c r="L33" s="168">
        <f t="shared" si="4"/>
        <v>8780.7999999999993</v>
      </c>
      <c r="M33" s="8">
        <f t="shared" si="5"/>
        <v>0</v>
      </c>
      <c r="N33" s="53"/>
      <c r="O33" s="1"/>
    </row>
    <row r="34" spans="1:15">
      <c r="A34" s="231">
        <v>31</v>
      </c>
      <c r="B34" s="237"/>
      <c r="C34" s="27"/>
      <c r="D34" s="27"/>
      <c r="E34" s="8">
        <v>0</v>
      </c>
      <c r="F34" s="8">
        <v>0</v>
      </c>
      <c r="G34" s="8">
        <f t="shared" si="0"/>
        <v>0</v>
      </c>
      <c r="H34" s="9">
        <v>0</v>
      </c>
      <c r="I34" s="9">
        <v>0</v>
      </c>
      <c r="J34" s="8">
        <f t="shared" si="1"/>
        <v>0</v>
      </c>
      <c r="K34" s="8">
        <f t="shared" si="2"/>
        <v>0</v>
      </c>
      <c r="L34" s="168">
        <v>0</v>
      </c>
      <c r="M34" s="8"/>
      <c r="N34" s="53"/>
      <c r="O34" s="1"/>
    </row>
    <row r="35" spans="1:15">
      <c r="A35" s="74"/>
      <c r="B35" s="74"/>
      <c r="C35" s="74"/>
      <c r="D35" s="74"/>
      <c r="E35" s="75">
        <f>SUM(E4:E34)</f>
        <v>1316.8999999999999</v>
      </c>
      <c r="F35" s="75"/>
      <c r="G35" s="75">
        <f>SUM(G4:G34)</f>
        <v>120891.42</v>
      </c>
      <c r="H35" s="75">
        <f>SUM(H4:H34)</f>
        <v>41</v>
      </c>
      <c r="I35" s="75"/>
      <c r="J35" s="75">
        <f>SUM(J4:J34)</f>
        <v>4254.1600000000008</v>
      </c>
      <c r="K35" s="75">
        <f>SUM(K4:K34)</f>
        <v>125145.58000000002</v>
      </c>
      <c r="L35" s="75">
        <f>SUM(L4:L34)</f>
        <v>125145.58000000002</v>
      </c>
      <c r="M35" s="75"/>
      <c r="N35" s="75"/>
      <c r="O35" s="71"/>
    </row>
    <row r="36" spans="1:15">
      <c r="A36" s="2"/>
      <c r="B36" s="2"/>
      <c r="C36" s="2"/>
      <c r="D36" s="2"/>
      <c r="E36" s="4"/>
      <c r="F36" s="4"/>
      <c r="G36" s="4"/>
      <c r="H36" s="4"/>
      <c r="I36" s="4"/>
      <c r="J36" s="4"/>
      <c r="K36" s="4"/>
      <c r="L36" s="4"/>
      <c r="M36" s="4"/>
      <c r="N36" s="4"/>
      <c r="O36" s="1"/>
    </row>
    <row r="37" spans="1:15">
      <c r="A37" s="1"/>
      <c r="B37" s="1"/>
      <c r="C37" s="1"/>
      <c r="D37" s="1"/>
      <c r="E37" s="1"/>
      <c r="F37" s="1"/>
      <c r="G37" s="3"/>
      <c r="H37" s="1"/>
      <c r="I37" s="1"/>
      <c r="J37" s="1"/>
      <c r="K37" s="1"/>
      <c r="L37" s="8"/>
      <c r="M37" s="1"/>
      <c r="N37" s="1"/>
      <c r="O37" s="4"/>
    </row>
    <row r="38" spans="1:15">
      <c r="A38" s="1"/>
      <c r="B38" s="453"/>
      <c r="C38" s="453"/>
      <c r="D38" s="453"/>
      <c r="E38" s="453"/>
      <c r="F38" s="1"/>
      <c r="G38" s="1"/>
      <c r="H38" s="1"/>
      <c r="I38" s="470">
        <f>K24+L24</f>
        <v>26861.200000000001</v>
      </c>
      <c r="J38" s="453"/>
      <c r="K38" s="453"/>
      <c r="L38" s="453"/>
      <c r="M38" s="453"/>
      <c r="N38" s="453"/>
      <c r="O38" s="4"/>
    </row>
    <row r="39" spans="1: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4"/>
    </row>
    <row r="40" spans="1:1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</row>
    <row r="41" spans="1:1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</row>
    <row r="42" spans="1:1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</row>
    <row r="43" spans="1:1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</row>
    <row r="44" spans="1:1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</row>
    <row r="45" spans="1:1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</row>
    <row r="46" spans="1:1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</row>
    <row r="47" spans="1:1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</row>
    <row r="48" spans="1:1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</row>
    <row r="49" spans="1:1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</row>
  </sheetData>
  <mergeCells count="3">
    <mergeCell ref="A1:N1"/>
    <mergeCell ref="B38:E38"/>
    <mergeCell ref="I38:N38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99A38-9EED-4627-A7B0-503372172E75}">
  <sheetPr>
    <tabColor rgb="FF7030A0"/>
  </sheetPr>
  <dimension ref="A1:O49"/>
  <sheetViews>
    <sheetView topLeftCell="A18" workbookViewId="0">
      <selection activeCell="S17" sqref="S17"/>
    </sheetView>
  </sheetViews>
  <sheetFormatPr defaultRowHeight="15"/>
  <cols>
    <col min="2" max="2" width="10.42578125" bestFit="1" customWidth="1"/>
    <col min="7" max="7" width="11.85546875" bestFit="1" customWidth="1"/>
    <col min="9" max="9" width="9.7109375" bestFit="1" customWidth="1"/>
    <col min="10" max="10" width="10.85546875" bestFit="1" customWidth="1"/>
    <col min="11" max="12" width="13.5703125" bestFit="1" customWidth="1"/>
    <col min="13" max="13" width="10.85546875" bestFit="1" customWidth="1"/>
    <col min="14" max="14" width="10.42578125" bestFit="1" customWidth="1"/>
  </cols>
  <sheetData>
    <row r="1" spans="1:15" ht="15.75">
      <c r="A1" s="452" t="s">
        <v>68</v>
      </c>
      <c r="B1" s="452"/>
      <c r="C1" s="452"/>
      <c r="D1" s="452"/>
      <c r="E1" s="452"/>
      <c r="F1" s="452"/>
      <c r="G1" s="452"/>
      <c r="H1" s="452"/>
      <c r="I1" s="452"/>
      <c r="J1" s="452"/>
      <c r="K1" s="452"/>
      <c r="L1" s="452"/>
      <c r="M1" s="452"/>
      <c r="N1" s="452"/>
      <c r="O1" s="65"/>
    </row>
    <row r="2" spans="1:15" ht="30.75">
      <c r="A2" s="76" t="s">
        <v>102</v>
      </c>
      <c r="B2" s="96" t="s">
        <v>103</v>
      </c>
      <c r="C2" s="96" t="s">
        <v>104</v>
      </c>
      <c r="D2" s="96" t="s">
        <v>105</v>
      </c>
      <c r="E2" s="96" t="s">
        <v>106</v>
      </c>
      <c r="F2" s="96" t="s">
        <v>107</v>
      </c>
      <c r="G2" s="96" t="s">
        <v>108</v>
      </c>
      <c r="H2" s="96" t="s">
        <v>109</v>
      </c>
      <c r="I2" s="96" t="s">
        <v>107</v>
      </c>
      <c r="J2" s="97" t="s">
        <v>108</v>
      </c>
      <c r="K2" s="76" t="s">
        <v>110</v>
      </c>
      <c r="L2" s="98" t="s">
        <v>111</v>
      </c>
      <c r="M2" s="187" t="s">
        <v>149</v>
      </c>
      <c r="N2" s="96" t="s">
        <v>113</v>
      </c>
      <c r="O2" s="71"/>
    </row>
    <row r="3" spans="1:15">
      <c r="A3" s="165"/>
      <c r="B3" s="166"/>
      <c r="C3" s="166"/>
      <c r="D3" s="147" t="s">
        <v>114</v>
      </c>
      <c r="E3" s="166"/>
      <c r="F3" s="166"/>
      <c r="G3" s="166"/>
      <c r="H3" s="166"/>
      <c r="I3" s="166"/>
      <c r="J3" s="167"/>
      <c r="K3" s="165">
        <v>0</v>
      </c>
      <c r="L3" s="168">
        <v>0</v>
      </c>
      <c r="M3" s="168">
        <f>+K3</f>
        <v>0</v>
      </c>
      <c r="N3" s="166"/>
      <c r="O3" s="71"/>
    </row>
    <row r="4" spans="1:15">
      <c r="A4" s="55">
        <v>1</v>
      </c>
      <c r="B4" s="237">
        <v>45809</v>
      </c>
      <c r="C4" s="27"/>
      <c r="D4" s="27"/>
      <c r="E4" s="8">
        <v>0</v>
      </c>
      <c r="F4" s="8">
        <v>0</v>
      </c>
      <c r="G4" s="8">
        <f>E4*F4</f>
        <v>0</v>
      </c>
      <c r="H4" s="9">
        <v>0</v>
      </c>
      <c r="I4" s="9">
        <v>0</v>
      </c>
      <c r="J4" s="8">
        <f>H4*I4</f>
        <v>0</v>
      </c>
      <c r="K4" s="8">
        <f>G4+J4</f>
        <v>0</v>
      </c>
      <c r="L4" s="168">
        <f>+K4</f>
        <v>0</v>
      </c>
      <c r="M4" s="8">
        <f>M3+K4-L4</f>
        <v>0</v>
      </c>
      <c r="N4" s="53"/>
      <c r="O4" s="1"/>
    </row>
    <row r="5" spans="1:15">
      <c r="A5" s="55">
        <v>2</v>
      </c>
      <c r="B5" s="237">
        <v>45810</v>
      </c>
      <c r="C5" s="27"/>
      <c r="D5" s="27"/>
      <c r="E5" s="8">
        <v>180</v>
      </c>
      <c r="F5" s="8">
        <v>92.04</v>
      </c>
      <c r="G5" s="8">
        <f t="shared" ref="G5:G33" si="0">E5*F5</f>
        <v>16567.2</v>
      </c>
      <c r="H5" s="9">
        <v>0</v>
      </c>
      <c r="I5" s="9">
        <v>0</v>
      </c>
      <c r="J5" s="8">
        <f t="shared" ref="J5:J33" si="1">H5*I5</f>
        <v>0</v>
      </c>
      <c r="K5" s="8">
        <f t="shared" ref="K5:K33" si="2">G5+J5</f>
        <v>16567.2</v>
      </c>
      <c r="L5" s="168">
        <f t="shared" ref="L5:L33" si="3">+K5</f>
        <v>16567.2</v>
      </c>
      <c r="M5" s="8">
        <f t="shared" ref="M5:M33" si="4">M4+K5-L5</f>
        <v>0</v>
      </c>
      <c r="N5" s="53"/>
      <c r="O5" s="1"/>
    </row>
    <row r="6" spans="1:15">
      <c r="A6" s="55">
        <v>3</v>
      </c>
      <c r="B6" s="237">
        <v>45811</v>
      </c>
      <c r="C6" s="27"/>
      <c r="D6" s="27"/>
      <c r="E6" s="8">
        <v>0</v>
      </c>
      <c r="F6" s="8">
        <v>0</v>
      </c>
      <c r="G6" s="8">
        <f t="shared" si="0"/>
        <v>0</v>
      </c>
      <c r="H6" s="9">
        <v>0</v>
      </c>
      <c r="I6" s="9">
        <v>0</v>
      </c>
      <c r="J6" s="8">
        <f t="shared" si="1"/>
        <v>0</v>
      </c>
      <c r="K6" s="8">
        <f t="shared" si="2"/>
        <v>0</v>
      </c>
      <c r="L6" s="168">
        <f t="shared" si="3"/>
        <v>0</v>
      </c>
      <c r="M6" s="8">
        <f t="shared" si="4"/>
        <v>0</v>
      </c>
      <c r="N6" s="53"/>
      <c r="O6" s="1"/>
    </row>
    <row r="7" spans="1:15">
      <c r="A7" s="55">
        <v>4</v>
      </c>
      <c r="B7" s="237">
        <v>45812</v>
      </c>
      <c r="C7" s="27"/>
      <c r="D7" s="27"/>
      <c r="E7" s="8">
        <v>235</v>
      </c>
      <c r="F7" s="8">
        <v>92.04</v>
      </c>
      <c r="G7" s="8">
        <f t="shared" si="0"/>
        <v>21629.4</v>
      </c>
      <c r="H7" s="9">
        <v>0</v>
      </c>
      <c r="I7" s="9">
        <v>0</v>
      </c>
      <c r="J7" s="8">
        <f t="shared" si="1"/>
        <v>0</v>
      </c>
      <c r="K7" s="8">
        <f t="shared" si="2"/>
        <v>21629.4</v>
      </c>
      <c r="L7" s="168">
        <f t="shared" si="3"/>
        <v>21629.4</v>
      </c>
      <c r="M7" s="8">
        <f t="shared" si="4"/>
        <v>0</v>
      </c>
      <c r="N7" s="53"/>
      <c r="O7" s="1"/>
    </row>
    <row r="8" spans="1:15">
      <c r="A8" s="55">
        <v>5</v>
      </c>
      <c r="B8" s="237">
        <v>45813</v>
      </c>
      <c r="C8" s="27"/>
      <c r="D8" s="27"/>
      <c r="E8" s="8">
        <v>180</v>
      </c>
      <c r="F8" s="8">
        <v>92.04</v>
      </c>
      <c r="G8" s="8">
        <f t="shared" si="0"/>
        <v>16567.2</v>
      </c>
      <c r="H8" s="9">
        <v>15</v>
      </c>
      <c r="I8" s="9">
        <v>104.02</v>
      </c>
      <c r="J8" s="8">
        <f t="shared" si="1"/>
        <v>1560.3</v>
      </c>
      <c r="K8" s="8">
        <f t="shared" si="2"/>
        <v>18127.5</v>
      </c>
      <c r="L8" s="168">
        <f t="shared" si="3"/>
        <v>18127.5</v>
      </c>
      <c r="M8" s="8">
        <f t="shared" si="4"/>
        <v>0</v>
      </c>
      <c r="N8" s="53"/>
      <c r="O8" s="1"/>
    </row>
    <row r="9" spans="1:15">
      <c r="A9" s="55">
        <v>6</v>
      </c>
      <c r="B9" s="237">
        <v>45814</v>
      </c>
      <c r="C9" s="27"/>
      <c r="D9" s="27"/>
      <c r="E9" s="8">
        <v>200</v>
      </c>
      <c r="F9" s="8">
        <v>92.04</v>
      </c>
      <c r="G9" s="8">
        <f t="shared" si="0"/>
        <v>18408</v>
      </c>
      <c r="H9" s="9">
        <v>0</v>
      </c>
      <c r="I9" s="9">
        <v>0</v>
      </c>
      <c r="J9" s="8">
        <f t="shared" si="1"/>
        <v>0</v>
      </c>
      <c r="K9" s="8">
        <f t="shared" si="2"/>
        <v>18408</v>
      </c>
      <c r="L9" s="168">
        <f t="shared" si="3"/>
        <v>18408</v>
      </c>
      <c r="M9" s="8">
        <f t="shared" si="4"/>
        <v>0</v>
      </c>
      <c r="N9" s="53"/>
      <c r="O9" s="1"/>
    </row>
    <row r="10" spans="1:15">
      <c r="A10" s="55">
        <v>7</v>
      </c>
      <c r="B10" s="237">
        <v>45815</v>
      </c>
      <c r="C10" s="27"/>
      <c r="D10" s="27"/>
      <c r="E10" s="8">
        <v>0</v>
      </c>
      <c r="F10" s="8">
        <v>0</v>
      </c>
      <c r="G10" s="8">
        <f t="shared" si="0"/>
        <v>0</v>
      </c>
      <c r="H10" s="9">
        <v>0</v>
      </c>
      <c r="I10" s="9">
        <v>0</v>
      </c>
      <c r="J10" s="8">
        <f t="shared" si="1"/>
        <v>0</v>
      </c>
      <c r="K10" s="8">
        <f t="shared" si="2"/>
        <v>0</v>
      </c>
      <c r="L10" s="168">
        <f t="shared" si="3"/>
        <v>0</v>
      </c>
      <c r="M10" s="8">
        <f t="shared" si="4"/>
        <v>0</v>
      </c>
      <c r="N10" s="53"/>
      <c r="O10" s="1"/>
    </row>
    <row r="11" spans="1:15">
      <c r="A11" s="55">
        <v>8</v>
      </c>
      <c r="B11" s="237">
        <v>45816</v>
      </c>
      <c r="C11" s="27"/>
      <c r="D11" s="27"/>
      <c r="E11" s="8">
        <v>145</v>
      </c>
      <c r="F11" s="8">
        <v>92.04</v>
      </c>
      <c r="G11" s="8">
        <f t="shared" si="0"/>
        <v>13345.800000000001</v>
      </c>
      <c r="H11" s="9">
        <v>0</v>
      </c>
      <c r="I11" s="9">
        <v>0</v>
      </c>
      <c r="J11" s="8">
        <f t="shared" si="1"/>
        <v>0</v>
      </c>
      <c r="K11" s="8">
        <f t="shared" si="2"/>
        <v>13345.800000000001</v>
      </c>
      <c r="L11" s="168">
        <f t="shared" si="3"/>
        <v>13345.800000000001</v>
      </c>
      <c r="M11" s="8">
        <f t="shared" si="4"/>
        <v>0</v>
      </c>
      <c r="N11" s="53"/>
      <c r="O11" s="1"/>
    </row>
    <row r="12" spans="1:15">
      <c r="A12" s="55">
        <v>9</v>
      </c>
      <c r="B12" s="237">
        <v>45817</v>
      </c>
      <c r="C12" s="27"/>
      <c r="D12" s="27"/>
      <c r="E12" s="8">
        <v>0</v>
      </c>
      <c r="F12" s="8">
        <v>0</v>
      </c>
      <c r="G12" s="8">
        <f t="shared" si="0"/>
        <v>0</v>
      </c>
      <c r="H12" s="9">
        <v>0</v>
      </c>
      <c r="I12" s="9">
        <v>0</v>
      </c>
      <c r="J12" s="8">
        <f t="shared" si="1"/>
        <v>0</v>
      </c>
      <c r="K12" s="8">
        <f t="shared" si="2"/>
        <v>0</v>
      </c>
      <c r="L12" s="168">
        <f t="shared" si="3"/>
        <v>0</v>
      </c>
      <c r="M12" s="8">
        <f t="shared" si="4"/>
        <v>0</v>
      </c>
      <c r="N12" s="53"/>
      <c r="O12" s="1" t="s">
        <v>115</v>
      </c>
    </row>
    <row r="13" spans="1:15">
      <c r="A13" s="55">
        <v>10</v>
      </c>
      <c r="B13" s="237">
        <v>45818</v>
      </c>
      <c r="C13" s="27"/>
      <c r="D13" s="27"/>
      <c r="E13" s="8">
        <v>180</v>
      </c>
      <c r="F13" s="8">
        <v>92.04</v>
      </c>
      <c r="G13" s="8">
        <f t="shared" si="0"/>
        <v>16567.2</v>
      </c>
      <c r="H13" s="9">
        <v>4</v>
      </c>
      <c r="I13" s="9">
        <v>104.02</v>
      </c>
      <c r="J13" s="8">
        <f t="shared" si="1"/>
        <v>416.08</v>
      </c>
      <c r="K13" s="8">
        <f t="shared" si="2"/>
        <v>16983.280000000002</v>
      </c>
      <c r="L13" s="168">
        <f t="shared" si="3"/>
        <v>16983.280000000002</v>
      </c>
      <c r="M13" s="8">
        <f t="shared" si="4"/>
        <v>0</v>
      </c>
      <c r="N13" s="53"/>
      <c r="O13" s="1"/>
    </row>
    <row r="14" spans="1:15">
      <c r="A14" s="55">
        <v>11</v>
      </c>
      <c r="B14" s="237">
        <v>45819</v>
      </c>
      <c r="C14" s="27"/>
      <c r="D14" s="27"/>
      <c r="E14" s="8">
        <v>0</v>
      </c>
      <c r="F14" s="8">
        <v>0</v>
      </c>
      <c r="G14" s="8">
        <f t="shared" si="0"/>
        <v>0</v>
      </c>
      <c r="H14" s="9">
        <v>0</v>
      </c>
      <c r="I14" s="9">
        <v>0</v>
      </c>
      <c r="J14" s="8">
        <f t="shared" si="1"/>
        <v>0</v>
      </c>
      <c r="K14" s="8">
        <f t="shared" si="2"/>
        <v>0</v>
      </c>
      <c r="L14" s="168">
        <f t="shared" si="3"/>
        <v>0</v>
      </c>
      <c r="M14" s="8">
        <f t="shared" si="4"/>
        <v>0</v>
      </c>
      <c r="N14" s="53"/>
      <c r="O14" s="1"/>
    </row>
    <row r="15" spans="1:15">
      <c r="A15" s="55">
        <v>12</v>
      </c>
      <c r="B15" s="237">
        <v>45820</v>
      </c>
      <c r="C15" s="27"/>
      <c r="D15" s="27"/>
      <c r="E15" s="8">
        <v>0</v>
      </c>
      <c r="F15" s="8">
        <v>0</v>
      </c>
      <c r="G15" s="8">
        <f t="shared" si="0"/>
        <v>0</v>
      </c>
      <c r="H15" s="9">
        <v>0</v>
      </c>
      <c r="I15" s="9">
        <v>0</v>
      </c>
      <c r="J15" s="8">
        <f t="shared" si="1"/>
        <v>0</v>
      </c>
      <c r="K15" s="8">
        <f t="shared" si="2"/>
        <v>0</v>
      </c>
      <c r="L15" s="168">
        <f t="shared" si="3"/>
        <v>0</v>
      </c>
      <c r="M15" s="8">
        <f t="shared" si="4"/>
        <v>0</v>
      </c>
      <c r="N15" s="53"/>
      <c r="O15" s="1"/>
    </row>
    <row r="16" spans="1:15">
      <c r="A16" s="55">
        <v>13</v>
      </c>
      <c r="B16" s="237">
        <v>45821</v>
      </c>
      <c r="C16" s="27"/>
      <c r="D16" s="27"/>
      <c r="E16" s="8">
        <v>0</v>
      </c>
      <c r="F16" s="8">
        <v>0</v>
      </c>
      <c r="G16" s="8">
        <f t="shared" si="0"/>
        <v>0</v>
      </c>
      <c r="H16" s="9">
        <v>0</v>
      </c>
      <c r="I16" s="9">
        <v>0</v>
      </c>
      <c r="J16" s="8">
        <f t="shared" si="1"/>
        <v>0</v>
      </c>
      <c r="K16" s="8">
        <f t="shared" si="2"/>
        <v>0</v>
      </c>
      <c r="L16" s="168">
        <f t="shared" si="3"/>
        <v>0</v>
      </c>
      <c r="M16" s="8">
        <f t="shared" si="4"/>
        <v>0</v>
      </c>
      <c r="N16" s="53"/>
      <c r="O16" s="1"/>
    </row>
    <row r="17" spans="1:15">
      <c r="A17" s="55">
        <v>14</v>
      </c>
      <c r="B17" s="237">
        <v>45822</v>
      </c>
      <c r="C17" s="27"/>
      <c r="D17" s="27"/>
      <c r="E17" s="8">
        <v>0</v>
      </c>
      <c r="F17" s="8">
        <v>0</v>
      </c>
      <c r="G17" s="8">
        <f t="shared" si="0"/>
        <v>0</v>
      </c>
      <c r="H17" s="9">
        <v>0</v>
      </c>
      <c r="I17" s="9">
        <v>0</v>
      </c>
      <c r="J17" s="8">
        <f t="shared" si="1"/>
        <v>0</v>
      </c>
      <c r="K17" s="8">
        <f t="shared" si="2"/>
        <v>0</v>
      </c>
      <c r="L17" s="168">
        <f t="shared" si="3"/>
        <v>0</v>
      </c>
      <c r="M17" s="8">
        <f t="shared" si="4"/>
        <v>0</v>
      </c>
      <c r="N17" s="53"/>
      <c r="O17" s="1"/>
    </row>
    <row r="18" spans="1:15">
      <c r="A18" s="55">
        <v>15</v>
      </c>
      <c r="B18" s="237">
        <v>45823</v>
      </c>
      <c r="C18" s="27"/>
      <c r="D18" s="27"/>
      <c r="E18" s="8">
        <v>0</v>
      </c>
      <c r="F18" s="8">
        <v>0</v>
      </c>
      <c r="G18" s="8">
        <f t="shared" si="0"/>
        <v>0</v>
      </c>
      <c r="H18" s="9">
        <v>0</v>
      </c>
      <c r="I18" s="9">
        <v>0</v>
      </c>
      <c r="J18" s="8">
        <f t="shared" si="1"/>
        <v>0</v>
      </c>
      <c r="K18" s="8">
        <f t="shared" si="2"/>
        <v>0</v>
      </c>
      <c r="L18" s="168">
        <f t="shared" si="3"/>
        <v>0</v>
      </c>
      <c r="M18" s="8">
        <f t="shared" si="4"/>
        <v>0</v>
      </c>
      <c r="N18" s="53"/>
      <c r="O18" s="1"/>
    </row>
    <row r="19" spans="1:15">
      <c r="A19" s="55">
        <v>16</v>
      </c>
      <c r="B19" s="237">
        <v>45824</v>
      </c>
      <c r="C19" s="27"/>
      <c r="D19" s="27"/>
      <c r="E19" s="8">
        <v>180</v>
      </c>
      <c r="F19" s="8">
        <v>92.04</v>
      </c>
      <c r="G19" s="8">
        <f t="shared" si="0"/>
        <v>16567.2</v>
      </c>
      <c r="H19" s="9">
        <v>20</v>
      </c>
      <c r="I19" s="9">
        <v>104.02</v>
      </c>
      <c r="J19" s="8">
        <f t="shared" si="1"/>
        <v>2080.4</v>
      </c>
      <c r="K19" s="8">
        <f t="shared" si="2"/>
        <v>18647.600000000002</v>
      </c>
      <c r="L19" s="168">
        <v>0</v>
      </c>
      <c r="M19" s="8">
        <f t="shared" si="4"/>
        <v>18647.600000000002</v>
      </c>
      <c r="N19" s="53"/>
      <c r="O19" s="1"/>
    </row>
    <row r="20" spans="1:15">
      <c r="A20" s="55">
        <v>17</v>
      </c>
      <c r="B20" s="237">
        <v>45825</v>
      </c>
      <c r="C20" s="27"/>
      <c r="D20" s="27"/>
      <c r="E20" s="8">
        <v>0</v>
      </c>
      <c r="F20" s="8">
        <v>0</v>
      </c>
      <c r="G20" s="8">
        <f t="shared" si="0"/>
        <v>0</v>
      </c>
      <c r="H20" s="9">
        <v>0</v>
      </c>
      <c r="I20" s="9">
        <v>0</v>
      </c>
      <c r="J20" s="8">
        <f t="shared" si="1"/>
        <v>0</v>
      </c>
      <c r="K20" s="8">
        <f t="shared" si="2"/>
        <v>0</v>
      </c>
      <c r="L20" s="168">
        <f t="shared" si="3"/>
        <v>0</v>
      </c>
      <c r="M20" s="8">
        <f t="shared" si="4"/>
        <v>18647.600000000002</v>
      </c>
      <c r="N20" s="53"/>
      <c r="O20" s="1"/>
    </row>
    <row r="21" spans="1:15">
      <c r="A21" s="55">
        <v>18</v>
      </c>
      <c r="B21" s="237">
        <v>45826</v>
      </c>
      <c r="C21" s="27"/>
      <c r="D21" s="27"/>
      <c r="E21" s="8">
        <v>190</v>
      </c>
      <c r="F21" s="8">
        <v>92.04</v>
      </c>
      <c r="G21" s="8">
        <f t="shared" si="0"/>
        <v>17487.600000000002</v>
      </c>
      <c r="H21" s="9">
        <v>0</v>
      </c>
      <c r="I21" s="9">
        <v>0</v>
      </c>
      <c r="J21" s="8">
        <f t="shared" si="1"/>
        <v>0</v>
      </c>
      <c r="K21" s="8">
        <f t="shared" si="2"/>
        <v>17487.600000000002</v>
      </c>
      <c r="L21" s="168">
        <v>0</v>
      </c>
      <c r="M21" s="8">
        <f t="shared" si="4"/>
        <v>36135.200000000004</v>
      </c>
      <c r="N21" s="53"/>
      <c r="O21" s="1"/>
    </row>
    <row r="22" spans="1:15">
      <c r="A22" s="55">
        <v>19</v>
      </c>
      <c r="B22" s="237">
        <v>45827</v>
      </c>
      <c r="C22" s="27"/>
      <c r="D22" s="27"/>
      <c r="E22" s="8">
        <v>0</v>
      </c>
      <c r="F22" s="8">
        <v>0</v>
      </c>
      <c r="G22" s="8">
        <f t="shared" si="0"/>
        <v>0</v>
      </c>
      <c r="H22" s="9">
        <v>0</v>
      </c>
      <c r="I22" s="9">
        <v>0</v>
      </c>
      <c r="J22" s="8">
        <f t="shared" si="1"/>
        <v>0</v>
      </c>
      <c r="K22" s="8">
        <f t="shared" si="2"/>
        <v>0</v>
      </c>
      <c r="L22" s="168">
        <f t="shared" si="3"/>
        <v>0</v>
      </c>
      <c r="M22" s="8">
        <f t="shared" si="4"/>
        <v>36135.200000000004</v>
      </c>
      <c r="N22" s="53"/>
      <c r="O22" s="1"/>
    </row>
    <row r="23" spans="1:15">
      <c r="A23" s="55">
        <v>20</v>
      </c>
      <c r="B23" s="237">
        <v>45828</v>
      </c>
      <c r="C23" s="27"/>
      <c r="D23" s="27"/>
      <c r="E23" s="8">
        <v>0</v>
      </c>
      <c r="F23" s="8">
        <v>0</v>
      </c>
      <c r="G23" s="8">
        <f t="shared" si="0"/>
        <v>0</v>
      </c>
      <c r="H23" s="9">
        <v>0</v>
      </c>
      <c r="I23" s="9">
        <v>0</v>
      </c>
      <c r="J23" s="8">
        <f t="shared" si="1"/>
        <v>0</v>
      </c>
      <c r="K23" s="8">
        <f t="shared" si="2"/>
        <v>0</v>
      </c>
      <c r="L23" s="168">
        <f t="shared" si="3"/>
        <v>0</v>
      </c>
      <c r="M23" s="8">
        <f t="shared" si="4"/>
        <v>36135.200000000004</v>
      </c>
      <c r="N23" s="53"/>
      <c r="O23" s="1"/>
    </row>
    <row r="24" spans="1:15">
      <c r="A24" s="55">
        <v>21</v>
      </c>
      <c r="B24" s="237">
        <v>45829</v>
      </c>
      <c r="C24" s="27"/>
      <c r="D24" s="27"/>
      <c r="E24" s="8">
        <v>145</v>
      </c>
      <c r="F24" s="8">
        <v>92.04</v>
      </c>
      <c r="G24" s="8">
        <f t="shared" si="0"/>
        <v>13345.800000000001</v>
      </c>
      <c r="H24" s="9">
        <v>0</v>
      </c>
      <c r="I24" s="9">
        <v>0</v>
      </c>
      <c r="J24" s="8">
        <f t="shared" si="1"/>
        <v>0</v>
      </c>
      <c r="K24" s="8">
        <f t="shared" si="2"/>
        <v>13345.800000000001</v>
      </c>
      <c r="L24" s="168">
        <v>0</v>
      </c>
      <c r="M24" s="8">
        <f t="shared" si="4"/>
        <v>49481.000000000007</v>
      </c>
      <c r="N24" s="53"/>
      <c r="O24" s="1"/>
    </row>
    <row r="25" spans="1:15">
      <c r="A25" s="55">
        <v>22</v>
      </c>
      <c r="B25" s="237">
        <v>45830</v>
      </c>
      <c r="C25" s="27"/>
      <c r="D25" s="27"/>
      <c r="E25" s="8">
        <v>0</v>
      </c>
      <c r="F25" s="8">
        <v>0</v>
      </c>
      <c r="G25" s="8">
        <f t="shared" si="0"/>
        <v>0</v>
      </c>
      <c r="H25" s="9">
        <v>0</v>
      </c>
      <c r="I25" s="9">
        <v>0</v>
      </c>
      <c r="J25" s="8">
        <f t="shared" si="1"/>
        <v>0</v>
      </c>
      <c r="K25" s="8">
        <f t="shared" si="2"/>
        <v>0</v>
      </c>
      <c r="L25" s="168">
        <f t="shared" si="3"/>
        <v>0</v>
      </c>
      <c r="M25" s="8">
        <f t="shared" si="4"/>
        <v>49481.000000000007</v>
      </c>
      <c r="N25" s="53"/>
      <c r="O25" s="1"/>
    </row>
    <row r="26" spans="1:15">
      <c r="A26" s="55">
        <v>23</v>
      </c>
      <c r="B26" s="237">
        <v>45831</v>
      </c>
      <c r="C26" s="27"/>
      <c r="D26" s="27"/>
      <c r="E26" s="8">
        <v>175</v>
      </c>
      <c r="F26" s="8">
        <v>92.04</v>
      </c>
      <c r="G26" s="8">
        <f t="shared" si="0"/>
        <v>16107.000000000002</v>
      </c>
      <c r="H26" s="9">
        <v>34</v>
      </c>
      <c r="I26" s="9">
        <v>104.02</v>
      </c>
      <c r="J26" s="8">
        <f t="shared" si="1"/>
        <v>3536.68</v>
      </c>
      <c r="K26" s="8">
        <f t="shared" si="2"/>
        <v>19643.68</v>
      </c>
      <c r="L26" s="168">
        <v>0</v>
      </c>
      <c r="M26" s="8">
        <f t="shared" si="4"/>
        <v>69124.680000000008</v>
      </c>
      <c r="N26" s="53"/>
      <c r="O26" s="1"/>
    </row>
    <row r="27" spans="1:15">
      <c r="A27" s="55">
        <v>24</v>
      </c>
      <c r="B27" s="237">
        <v>45832</v>
      </c>
      <c r="C27" s="27"/>
      <c r="D27" s="27"/>
      <c r="E27" s="8">
        <v>0</v>
      </c>
      <c r="F27" s="8">
        <v>0</v>
      </c>
      <c r="G27" s="8">
        <f t="shared" si="0"/>
        <v>0</v>
      </c>
      <c r="H27" s="9">
        <v>0</v>
      </c>
      <c r="I27" s="9">
        <v>0</v>
      </c>
      <c r="J27" s="8">
        <f t="shared" si="1"/>
        <v>0</v>
      </c>
      <c r="K27" s="8">
        <f t="shared" si="2"/>
        <v>0</v>
      </c>
      <c r="L27" s="168">
        <f t="shared" si="3"/>
        <v>0</v>
      </c>
      <c r="M27" s="8">
        <f t="shared" si="4"/>
        <v>69124.680000000008</v>
      </c>
      <c r="N27" s="53"/>
      <c r="O27" s="1"/>
    </row>
    <row r="28" spans="1:15">
      <c r="A28" s="55">
        <v>25</v>
      </c>
      <c r="B28" s="237">
        <v>45833</v>
      </c>
      <c r="C28" s="27"/>
      <c r="D28" s="27"/>
      <c r="E28" s="8">
        <v>505</v>
      </c>
      <c r="F28" s="8">
        <v>92.04</v>
      </c>
      <c r="G28" s="8">
        <f t="shared" si="0"/>
        <v>46480.200000000004</v>
      </c>
      <c r="H28" s="9">
        <v>65</v>
      </c>
      <c r="I28" s="9">
        <v>104.02</v>
      </c>
      <c r="J28" s="8">
        <f t="shared" si="1"/>
        <v>6761.3</v>
      </c>
      <c r="K28" s="8">
        <f t="shared" si="2"/>
        <v>53241.500000000007</v>
      </c>
      <c r="L28" s="168">
        <v>0</v>
      </c>
      <c r="M28" s="8">
        <f t="shared" si="4"/>
        <v>122366.18000000002</v>
      </c>
      <c r="N28" s="53"/>
      <c r="O28" s="1"/>
    </row>
    <row r="29" spans="1:15">
      <c r="A29" s="55">
        <v>26</v>
      </c>
      <c r="B29" s="237">
        <v>45834</v>
      </c>
      <c r="C29" s="27"/>
      <c r="D29" s="27"/>
      <c r="E29" s="8">
        <v>0</v>
      </c>
      <c r="F29" s="8">
        <v>0</v>
      </c>
      <c r="G29" s="8">
        <f t="shared" si="0"/>
        <v>0</v>
      </c>
      <c r="H29" s="9">
        <v>0</v>
      </c>
      <c r="I29" s="9">
        <v>0</v>
      </c>
      <c r="J29" s="8">
        <f t="shared" si="1"/>
        <v>0</v>
      </c>
      <c r="K29" s="8">
        <f t="shared" si="2"/>
        <v>0</v>
      </c>
      <c r="L29" s="168">
        <f t="shared" si="3"/>
        <v>0</v>
      </c>
      <c r="M29" s="8">
        <f t="shared" si="4"/>
        <v>122366.18000000002</v>
      </c>
      <c r="N29" s="53"/>
      <c r="O29" s="1"/>
    </row>
    <row r="30" spans="1:15">
      <c r="A30" s="55">
        <v>27</v>
      </c>
      <c r="B30" s="237">
        <v>45835</v>
      </c>
      <c r="C30" s="27"/>
      <c r="D30" s="27"/>
      <c r="E30" s="8">
        <v>0</v>
      </c>
      <c r="F30" s="8">
        <v>0</v>
      </c>
      <c r="G30" s="8">
        <f t="shared" si="0"/>
        <v>0</v>
      </c>
      <c r="H30" s="9">
        <v>0</v>
      </c>
      <c r="I30" s="9">
        <v>0</v>
      </c>
      <c r="J30" s="8">
        <f t="shared" si="1"/>
        <v>0</v>
      </c>
      <c r="K30" s="8">
        <f t="shared" si="2"/>
        <v>0</v>
      </c>
      <c r="L30" s="168">
        <f t="shared" si="3"/>
        <v>0</v>
      </c>
      <c r="M30" s="8">
        <f t="shared" si="4"/>
        <v>122366.18000000002</v>
      </c>
      <c r="N30" s="53"/>
      <c r="O30" s="1"/>
    </row>
    <row r="31" spans="1:15">
      <c r="A31" s="55">
        <v>28</v>
      </c>
      <c r="B31" s="237">
        <v>45836</v>
      </c>
      <c r="C31" s="27"/>
      <c r="D31" s="27"/>
      <c r="E31" s="8">
        <v>0</v>
      </c>
      <c r="F31" s="8">
        <v>0</v>
      </c>
      <c r="G31" s="8">
        <f t="shared" si="0"/>
        <v>0</v>
      </c>
      <c r="H31" s="9">
        <v>13.28</v>
      </c>
      <c r="I31" s="9">
        <v>104.02</v>
      </c>
      <c r="J31" s="8">
        <f t="shared" si="1"/>
        <v>1381.3855999999998</v>
      </c>
      <c r="K31" s="8">
        <f t="shared" si="2"/>
        <v>1381.3855999999998</v>
      </c>
      <c r="L31" s="168">
        <v>0</v>
      </c>
      <c r="M31" s="8">
        <f t="shared" si="4"/>
        <v>123747.56560000002</v>
      </c>
      <c r="N31" s="53"/>
      <c r="O31" s="1"/>
    </row>
    <row r="32" spans="1:15">
      <c r="A32" s="231">
        <v>29</v>
      </c>
      <c r="B32" s="237">
        <v>45837</v>
      </c>
      <c r="C32" s="27"/>
      <c r="D32" s="27"/>
      <c r="E32" s="8">
        <v>0</v>
      </c>
      <c r="F32" s="8">
        <v>0</v>
      </c>
      <c r="G32" s="8">
        <f t="shared" si="0"/>
        <v>0</v>
      </c>
      <c r="H32" s="9">
        <v>0</v>
      </c>
      <c r="I32" s="9">
        <v>0</v>
      </c>
      <c r="J32" s="8">
        <f t="shared" si="1"/>
        <v>0</v>
      </c>
      <c r="K32" s="8">
        <f t="shared" si="2"/>
        <v>0</v>
      </c>
      <c r="L32" s="168">
        <f t="shared" si="3"/>
        <v>0</v>
      </c>
      <c r="M32" s="8">
        <f t="shared" si="4"/>
        <v>123747.56560000002</v>
      </c>
      <c r="N32" s="53"/>
      <c r="O32" s="1"/>
    </row>
    <row r="33" spans="1:15">
      <c r="A33" s="231">
        <v>30</v>
      </c>
      <c r="B33" s="237">
        <v>45838</v>
      </c>
      <c r="C33" s="27"/>
      <c r="D33" s="27"/>
      <c r="E33" s="8">
        <v>343.06</v>
      </c>
      <c r="F33" s="8">
        <v>92.04</v>
      </c>
      <c r="G33" s="8">
        <f t="shared" si="0"/>
        <v>31575.242400000003</v>
      </c>
      <c r="H33" s="9">
        <v>0</v>
      </c>
      <c r="I33" s="9">
        <v>0</v>
      </c>
      <c r="J33" s="8">
        <f t="shared" si="1"/>
        <v>0</v>
      </c>
      <c r="K33" s="8">
        <f t="shared" si="2"/>
        <v>31575.242400000003</v>
      </c>
      <c r="L33" s="168">
        <v>0</v>
      </c>
      <c r="M33" s="8">
        <f t="shared" si="4"/>
        <v>155322.80800000002</v>
      </c>
      <c r="N33" s="53"/>
      <c r="O33" s="1"/>
    </row>
    <row r="34" spans="1:15">
      <c r="A34" s="231">
        <v>31</v>
      </c>
      <c r="B34" s="237"/>
      <c r="C34" s="27"/>
      <c r="D34" s="27"/>
      <c r="E34" s="8"/>
      <c r="F34" s="8"/>
      <c r="G34" s="8"/>
      <c r="H34" s="9"/>
      <c r="I34" s="9"/>
      <c r="J34" s="8"/>
      <c r="K34" s="8"/>
      <c r="L34" s="168"/>
      <c r="M34" s="8"/>
      <c r="N34" s="53"/>
      <c r="O34" s="1"/>
    </row>
    <row r="35" spans="1:15">
      <c r="A35" s="74"/>
      <c r="B35" s="74"/>
      <c r="C35" s="74"/>
      <c r="D35" s="74"/>
      <c r="E35" s="75">
        <f>SUM(E4:E34)</f>
        <v>2658.06</v>
      </c>
      <c r="F35" s="75"/>
      <c r="G35" s="75">
        <f>SUM(G4:G34)</f>
        <v>244647.84240000002</v>
      </c>
      <c r="H35" s="75">
        <f>SUM(H4:H34)</f>
        <v>151.28</v>
      </c>
      <c r="I35" s="75"/>
      <c r="J35" s="75">
        <f>SUM(J4:J34)</f>
        <v>15736.145599999998</v>
      </c>
      <c r="K35" s="75">
        <f>SUM(K4:K34)</f>
        <v>260383.98800000001</v>
      </c>
      <c r="L35" s="75">
        <f>SUM(L4:L34)</f>
        <v>105061.18000000001</v>
      </c>
      <c r="M35" s="75"/>
      <c r="N35" s="75"/>
      <c r="O35" s="71"/>
    </row>
    <row r="36" spans="1:15">
      <c r="A36" s="2"/>
      <c r="B36" s="2"/>
      <c r="C36" s="2"/>
      <c r="D36" s="2"/>
      <c r="E36" s="4"/>
      <c r="F36" s="4"/>
      <c r="G36" s="4"/>
      <c r="H36" s="4"/>
      <c r="I36" s="4"/>
      <c r="J36" s="4"/>
      <c r="K36" s="4"/>
      <c r="L36" s="4"/>
      <c r="M36" s="4"/>
      <c r="N36" s="4"/>
      <c r="O36" s="1"/>
    </row>
    <row r="37" spans="1:15">
      <c r="A37" s="1"/>
      <c r="B37" s="1"/>
      <c r="C37" s="1"/>
      <c r="D37" s="1"/>
      <c r="E37" s="1"/>
      <c r="F37" s="1"/>
      <c r="G37" s="3"/>
      <c r="H37" s="1"/>
      <c r="I37" s="1"/>
      <c r="J37" s="1"/>
      <c r="K37" s="1"/>
      <c r="L37" s="8"/>
      <c r="M37" s="1"/>
      <c r="N37" s="1"/>
      <c r="O37" s="4"/>
    </row>
    <row r="38" spans="1:15">
      <c r="A38" s="1"/>
      <c r="B38" s="453"/>
      <c r="C38" s="453"/>
      <c r="D38" s="453"/>
      <c r="E38" s="453"/>
      <c r="F38" s="1"/>
      <c r="G38" s="1"/>
      <c r="H38" s="1"/>
      <c r="I38" s="470">
        <f>K24+L24</f>
        <v>13345.800000000001</v>
      </c>
      <c r="J38" s="453"/>
      <c r="K38" s="453"/>
      <c r="L38" s="453"/>
      <c r="M38" s="453"/>
      <c r="N38" s="453"/>
      <c r="O38" s="4"/>
    </row>
    <row r="39" spans="1: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4"/>
    </row>
    <row r="40" spans="1:1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</row>
    <row r="41" spans="1:1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</row>
    <row r="42" spans="1:1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</row>
    <row r="43" spans="1:1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</row>
    <row r="44" spans="1:1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</row>
    <row r="45" spans="1:1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</row>
    <row r="46" spans="1:1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</row>
    <row r="47" spans="1:1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</row>
    <row r="48" spans="1:1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</row>
    <row r="49" spans="1:1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</row>
  </sheetData>
  <mergeCells count="3">
    <mergeCell ref="A1:N1"/>
    <mergeCell ref="B38:E38"/>
    <mergeCell ref="I38:N38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BAC07-664F-47CB-AB94-1FA0A3439A5B}">
  <sheetPr>
    <tabColor rgb="FF7030A0"/>
  </sheetPr>
  <dimension ref="A1:R44"/>
  <sheetViews>
    <sheetView workbookViewId="0">
      <pane ySplit="2" topLeftCell="A21" activePane="bottomLeft" state="frozen"/>
      <selection pane="bottomLeft" activeCell="P34" sqref="P34"/>
    </sheetView>
  </sheetViews>
  <sheetFormatPr defaultRowHeight="15"/>
  <cols>
    <col min="2" max="2" width="11.5703125" bestFit="1" customWidth="1"/>
    <col min="4" max="4" width="16" bestFit="1" customWidth="1"/>
    <col min="5" max="5" width="11.85546875" customWidth="1"/>
    <col min="6" max="6" width="13.7109375" customWidth="1"/>
    <col min="7" max="7" width="10.85546875" bestFit="1" customWidth="1"/>
    <col min="8" max="8" width="11.7109375" customWidth="1"/>
    <col min="10" max="10" width="12" customWidth="1"/>
    <col min="11" max="11" width="11.85546875" customWidth="1"/>
    <col min="12" max="13" width="14" customWidth="1"/>
    <col min="14" max="14" width="14.85546875" customWidth="1"/>
    <col min="15" max="15" width="18.5703125" customWidth="1"/>
    <col min="16" max="16" width="13" customWidth="1"/>
  </cols>
  <sheetData>
    <row r="1" spans="1:16" ht="15.75">
      <c r="A1" s="460" t="s">
        <v>70</v>
      </c>
      <c r="B1" s="460"/>
      <c r="C1" s="460"/>
      <c r="D1" s="460"/>
      <c r="E1" s="460"/>
      <c r="F1" s="460"/>
      <c r="G1" s="460"/>
      <c r="H1" s="460"/>
      <c r="I1" s="460"/>
      <c r="J1" s="460"/>
      <c r="K1" s="460"/>
      <c r="L1" s="460"/>
      <c r="M1" s="460"/>
      <c r="N1" s="460"/>
      <c r="O1" s="95"/>
    </row>
    <row r="2" spans="1:16">
      <c r="A2" s="111" t="s">
        <v>102</v>
      </c>
      <c r="B2" s="112" t="s">
        <v>103</v>
      </c>
      <c r="C2" s="112" t="s">
        <v>104</v>
      </c>
      <c r="D2" s="112" t="s">
        <v>150</v>
      </c>
      <c r="E2" s="112" t="s">
        <v>106</v>
      </c>
      <c r="F2" s="112" t="s">
        <v>107</v>
      </c>
      <c r="G2" s="112" t="s">
        <v>108</v>
      </c>
      <c r="H2" s="112" t="s">
        <v>109</v>
      </c>
      <c r="I2" s="112" t="s">
        <v>107</v>
      </c>
      <c r="J2" s="153" t="s">
        <v>108</v>
      </c>
      <c r="K2" s="113" t="s">
        <v>110</v>
      </c>
      <c r="L2" s="154" t="s">
        <v>111</v>
      </c>
      <c r="M2" s="159" t="s">
        <v>149</v>
      </c>
      <c r="N2" s="114" t="s">
        <v>113</v>
      </c>
      <c r="O2" s="71"/>
    </row>
    <row r="3" spans="1:16">
      <c r="A3" s="445" t="s">
        <v>114</v>
      </c>
      <c r="B3" s="446"/>
      <c r="C3" s="446"/>
      <c r="D3" s="446"/>
      <c r="E3" s="446"/>
      <c r="F3" s="446"/>
      <c r="G3" s="446"/>
      <c r="H3" s="446"/>
      <c r="I3" s="446"/>
      <c r="J3" s="461"/>
      <c r="K3" s="184">
        <v>59460.80000000001</v>
      </c>
      <c r="L3" s="19"/>
      <c r="M3" s="120">
        <f>+K3</f>
        <v>59460.80000000001</v>
      </c>
      <c r="N3" s="19"/>
      <c r="O3" s="71">
        <v>59460.80000000001</v>
      </c>
    </row>
    <row r="4" spans="1:16">
      <c r="A4" s="55">
        <v>1</v>
      </c>
      <c r="B4" s="237">
        <v>45809</v>
      </c>
      <c r="C4" s="172"/>
      <c r="D4" s="173"/>
      <c r="E4" s="174">
        <v>20</v>
      </c>
      <c r="F4" s="174">
        <v>91.83</v>
      </c>
      <c r="G4" s="155">
        <f>E4*F4</f>
        <v>1836.6</v>
      </c>
      <c r="H4" s="174">
        <v>5</v>
      </c>
      <c r="I4" s="175">
        <v>103.8</v>
      </c>
      <c r="J4" s="22">
        <f>H4*I4</f>
        <v>519</v>
      </c>
      <c r="K4" s="22">
        <f>G4+J4</f>
        <v>2355.6</v>
      </c>
      <c r="L4" s="157"/>
      <c r="M4" s="157">
        <f>M3+K4-L4</f>
        <v>61816.400000000009</v>
      </c>
      <c r="N4" s="158"/>
    </row>
    <row r="5" spans="1:16">
      <c r="A5" s="55">
        <v>2</v>
      </c>
      <c r="B5" s="237">
        <v>45810</v>
      </c>
      <c r="C5" s="11"/>
      <c r="D5" s="11"/>
      <c r="E5" s="174">
        <v>250</v>
      </c>
      <c r="F5" s="174">
        <v>91.83</v>
      </c>
      <c r="G5" s="155">
        <f t="shared" ref="G5:G34" si="0">E5*F5</f>
        <v>22957.5</v>
      </c>
      <c r="H5" s="174">
        <v>5</v>
      </c>
      <c r="I5" s="175">
        <v>103.8</v>
      </c>
      <c r="J5" s="22">
        <f t="shared" ref="J5:J34" si="1">H5*I5</f>
        <v>519</v>
      </c>
      <c r="K5" s="22">
        <f t="shared" ref="K5:K34" si="2">G5+J5</f>
        <v>23476.5</v>
      </c>
      <c r="L5" s="157"/>
      <c r="M5" s="16">
        <f>M4+K5-L5</f>
        <v>85292.900000000009</v>
      </c>
      <c r="N5" s="13"/>
    </row>
    <row r="6" spans="1:16">
      <c r="A6" s="55">
        <v>3</v>
      </c>
      <c r="B6" s="237">
        <v>45811</v>
      </c>
      <c r="C6" s="11"/>
      <c r="D6" s="11"/>
      <c r="E6" s="174">
        <v>0</v>
      </c>
      <c r="F6" s="174">
        <v>0</v>
      </c>
      <c r="G6" s="155">
        <f t="shared" si="0"/>
        <v>0</v>
      </c>
      <c r="H6" s="174">
        <v>0</v>
      </c>
      <c r="I6" s="175">
        <v>0</v>
      </c>
      <c r="J6" s="22">
        <f t="shared" si="1"/>
        <v>0</v>
      </c>
      <c r="K6" s="22">
        <f t="shared" si="2"/>
        <v>0</v>
      </c>
      <c r="L6" s="157"/>
      <c r="M6" s="16">
        <f>M5+K6-L6</f>
        <v>85292.900000000009</v>
      </c>
      <c r="N6" s="14"/>
    </row>
    <row r="7" spans="1:16">
      <c r="A7" s="55">
        <v>4</v>
      </c>
      <c r="B7" s="237">
        <v>45812</v>
      </c>
      <c r="C7" s="82"/>
      <c r="D7" s="83"/>
      <c r="E7" s="174">
        <v>30</v>
      </c>
      <c r="F7" s="174">
        <v>91.83</v>
      </c>
      <c r="G7" s="155">
        <f t="shared" si="0"/>
        <v>2754.9</v>
      </c>
      <c r="H7" s="174">
        <v>0</v>
      </c>
      <c r="I7" s="175">
        <v>0</v>
      </c>
      <c r="J7" s="22">
        <f t="shared" si="1"/>
        <v>0</v>
      </c>
      <c r="K7" s="22">
        <f t="shared" si="2"/>
        <v>2754.9</v>
      </c>
      <c r="L7" s="157"/>
      <c r="M7" s="16">
        <f>M6+K7-L7</f>
        <v>88047.8</v>
      </c>
      <c r="N7" s="47"/>
    </row>
    <row r="8" spans="1:16">
      <c r="A8" s="55">
        <v>5</v>
      </c>
      <c r="B8" s="237">
        <v>45813</v>
      </c>
      <c r="C8" s="82"/>
      <c r="D8" s="83"/>
      <c r="E8" s="174">
        <v>20</v>
      </c>
      <c r="F8" s="174">
        <v>91.83</v>
      </c>
      <c r="G8" s="155">
        <f t="shared" si="0"/>
        <v>1836.6</v>
      </c>
      <c r="H8" s="174">
        <v>5</v>
      </c>
      <c r="I8" s="175">
        <v>103.8</v>
      </c>
      <c r="J8" s="22">
        <f t="shared" si="1"/>
        <v>519</v>
      </c>
      <c r="K8" s="22">
        <f t="shared" si="2"/>
        <v>2355.6</v>
      </c>
      <c r="L8" s="157">
        <v>88047.8</v>
      </c>
      <c r="M8" s="16">
        <f>M7+K8-L8</f>
        <v>2355.6000000000058</v>
      </c>
      <c r="N8" s="47"/>
      <c r="O8" s="301">
        <v>8497892194</v>
      </c>
      <c r="P8" s="302" t="s">
        <v>158</v>
      </c>
    </row>
    <row r="9" spans="1:16">
      <c r="A9" s="55">
        <v>6</v>
      </c>
      <c r="B9" s="237">
        <v>45814</v>
      </c>
      <c r="C9" s="82"/>
      <c r="D9" s="83"/>
      <c r="E9" s="174">
        <v>25</v>
      </c>
      <c r="F9" s="174">
        <v>91.83</v>
      </c>
      <c r="G9" s="155">
        <f t="shared" si="0"/>
        <v>2295.75</v>
      </c>
      <c r="H9" s="174">
        <v>0</v>
      </c>
      <c r="I9" s="175">
        <v>0</v>
      </c>
      <c r="J9" s="22">
        <f t="shared" si="1"/>
        <v>0</v>
      </c>
      <c r="K9" s="22">
        <f t="shared" si="2"/>
        <v>2295.75</v>
      </c>
      <c r="L9" s="157"/>
      <c r="M9" s="16">
        <f>M8+K9-L9</f>
        <v>4651.3500000000058</v>
      </c>
      <c r="N9" s="47"/>
      <c r="O9" s="81">
        <v>1280.1714999999986</v>
      </c>
    </row>
    <row r="10" spans="1:16">
      <c r="A10" s="55">
        <v>7</v>
      </c>
      <c r="B10" s="237">
        <v>45815</v>
      </c>
      <c r="C10" s="82"/>
      <c r="D10" s="83"/>
      <c r="E10" s="174">
        <v>0</v>
      </c>
      <c r="F10" s="174">
        <v>0</v>
      </c>
      <c r="G10" s="155">
        <f t="shared" si="0"/>
        <v>0</v>
      </c>
      <c r="H10" s="174">
        <v>0</v>
      </c>
      <c r="I10" s="175">
        <v>0</v>
      </c>
      <c r="J10" s="22">
        <f t="shared" si="1"/>
        <v>0</v>
      </c>
      <c r="K10" s="22">
        <f t="shared" si="2"/>
        <v>0</v>
      </c>
      <c r="L10" s="157"/>
      <c r="M10" s="16">
        <f>M9+K10-L10</f>
        <v>4651.3500000000058</v>
      </c>
      <c r="N10" s="47"/>
      <c r="O10" s="81"/>
    </row>
    <row r="11" spans="1:16">
      <c r="A11" s="55">
        <v>8</v>
      </c>
      <c r="B11" s="237">
        <v>45816</v>
      </c>
      <c r="C11" s="82"/>
      <c r="D11" s="83"/>
      <c r="E11" s="174">
        <v>20</v>
      </c>
      <c r="F11" s="174">
        <v>91.83</v>
      </c>
      <c r="G11" s="155">
        <f t="shared" si="0"/>
        <v>1836.6</v>
      </c>
      <c r="H11" s="174">
        <v>0</v>
      </c>
      <c r="I11" s="175">
        <v>0</v>
      </c>
      <c r="J11" s="22">
        <f t="shared" si="1"/>
        <v>0</v>
      </c>
      <c r="K11" s="22">
        <f t="shared" si="2"/>
        <v>1836.6</v>
      </c>
      <c r="L11" s="157"/>
      <c r="M11" s="16">
        <f>M10+K11-L11</f>
        <v>6487.9500000000062</v>
      </c>
      <c r="N11" s="47"/>
      <c r="O11" s="81"/>
    </row>
    <row r="12" spans="1:16">
      <c r="A12" s="55">
        <v>9</v>
      </c>
      <c r="B12" s="237">
        <v>45817</v>
      </c>
      <c r="C12" s="82"/>
      <c r="D12" s="83"/>
      <c r="E12" s="174">
        <v>25</v>
      </c>
      <c r="F12" s="174">
        <v>91.83</v>
      </c>
      <c r="G12" s="155">
        <f t="shared" si="0"/>
        <v>2295.75</v>
      </c>
      <c r="H12" s="174">
        <v>0</v>
      </c>
      <c r="I12" s="175">
        <v>0</v>
      </c>
      <c r="J12" s="22">
        <f t="shared" si="1"/>
        <v>0</v>
      </c>
      <c r="K12" s="22">
        <f t="shared" si="2"/>
        <v>2295.75</v>
      </c>
      <c r="L12" s="157"/>
      <c r="M12" s="16">
        <f>M11+K12-L12</f>
        <v>8783.7000000000062</v>
      </c>
      <c r="N12" s="47"/>
      <c r="O12" s="81"/>
    </row>
    <row r="13" spans="1:16">
      <c r="A13" s="55">
        <v>10</v>
      </c>
      <c r="B13" s="237">
        <v>45818</v>
      </c>
      <c r="C13" s="82"/>
      <c r="D13" s="83"/>
      <c r="E13" s="174">
        <v>25</v>
      </c>
      <c r="F13" s="174">
        <v>91.83</v>
      </c>
      <c r="G13" s="155">
        <f t="shared" si="0"/>
        <v>2295.75</v>
      </c>
      <c r="H13" s="174">
        <v>5</v>
      </c>
      <c r="I13" s="175">
        <v>103.8</v>
      </c>
      <c r="J13" s="22">
        <f t="shared" si="1"/>
        <v>519</v>
      </c>
      <c r="K13" s="22">
        <f t="shared" si="2"/>
        <v>2814.75</v>
      </c>
      <c r="L13" s="157"/>
      <c r="M13" s="16">
        <f>M12+K13-L13</f>
        <v>11598.450000000006</v>
      </c>
      <c r="N13" s="47"/>
      <c r="O13" s="81"/>
    </row>
    <row r="14" spans="1:16">
      <c r="A14" s="55">
        <v>11</v>
      </c>
      <c r="B14" s="237">
        <v>45819</v>
      </c>
      <c r="C14" s="82"/>
      <c r="D14" s="83"/>
      <c r="E14" s="174"/>
      <c r="F14" s="174">
        <v>91.83</v>
      </c>
      <c r="G14" s="155">
        <f t="shared" si="0"/>
        <v>0</v>
      </c>
      <c r="H14" s="174">
        <v>0</v>
      </c>
      <c r="I14" s="175">
        <v>0</v>
      </c>
      <c r="J14" s="22">
        <f t="shared" si="1"/>
        <v>0</v>
      </c>
      <c r="K14" s="22">
        <f t="shared" si="2"/>
        <v>0</v>
      </c>
      <c r="L14" s="157"/>
      <c r="M14" s="16">
        <f>M13+K14-L14</f>
        <v>11598.450000000006</v>
      </c>
      <c r="N14" s="47"/>
      <c r="O14" s="81"/>
    </row>
    <row r="15" spans="1:16">
      <c r="A15" s="55">
        <v>12</v>
      </c>
      <c r="B15" s="237">
        <v>45820</v>
      </c>
      <c r="C15" s="82"/>
      <c r="D15" s="83"/>
      <c r="E15" s="174">
        <v>25</v>
      </c>
      <c r="F15" s="174">
        <v>91.83</v>
      </c>
      <c r="G15" s="155">
        <f t="shared" si="0"/>
        <v>2295.75</v>
      </c>
      <c r="H15" s="174">
        <v>0</v>
      </c>
      <c r="I15" s="175">
        <v>0</v>
      </c>
      <c r="J15" s="22">
        <f t="shared" si="1"/>
        <v>0</v>
      </c>
      <c r="K15" s="22">
        <f t="shared" si="2"/>
        <v>2295.75</v>
      </c>
      <c r="L15" s="157"/>
      <c r="M15" s="16">
        <f>M14+K15-L15</f>
        <v>13894.200000000006</v>
      </c>
      <c r="N15" s="47"/>
      <c r="O15" s="81"/>
    </row>
    <row r="16" spans="1:16">
      <c r="A16" s="55">
        <v>13</v>
      </c>
      <c r="B16" s="237">
        <v>45821</v>
      </c>
      <c r="C16" s="82"/>
      <c r="D16" s="83"/>
      <c r="E16" s="174">
        <v>50</v>
      </c>
      <c r="F16" s="174">
        <v>91.83</v>
      </c>
      <c r="G16" s="155">
        <f t="shared" si="0"/>
        <v>4591.5</v>
      </c>
      <c r="H16" s="174">
        <v>5</v>
      </c>
      <c r="I16" s="175">
        <v>103.8</v>
      </c>
      <c r="J16" s="22">
        <f t="shared" si="1"/>
        <v>519</v>
      </c>
      <c r="K16" s="22">
        <f>G16+J16</f>
        <v>5110.5</v>
      </c>
      <c r="L16" s="157"/>
      <c r="M16" s="300">
        <f>M15+K16-L16</f>
        <v>19004.700000000004</v>
      </c>
      <c r="N16" s="47"/>
      <c r="O16" s="81"/>
    </row>
    <row r="17" spans="1:18">
      <c r="A17" s="55">
        <v>14</v>
      </c>
      <c r="B17" s="237">
        <v>45822</v>
      </c>
      <c r="C17" s="82"/>
      <c r="D17" s="83"/>
      <c r="E17" s="174">
        <v>30</v>
      </c>
      <c r="F17" s="174">
        <v>91.83</v>
      </c>
      <c r="G17" s="155">
        <f t="shared" si="0"/>
        <v>2754.9</v>
      </c>
      <c r="H17" s="174">
        <v>5</v>
      </c>
      <c r="I17" s="175">
        <v>103.8</v>
      </c>
      <c r="J17" s="22">
        <f t="shared" si="1"/>
        <v>519</v>
      </c>
      <c r="K17" s="22">
        <f t="shared" si="2"/>
        <v>3273.9</v>
      </c>
      <c r="L17" s="157"/>
      <c r="M17" s="16">
        <f>M16+K17-L17</f>
        <v>22278.600000000006</v>
      </c>
      <c r="N17" s="47"/>
      <c r="O17" s="81"/>
    </row>
    <row r="18" spans="1:18">
      <c r="A18" s="55">
        <v>15</v>
      </c>
      <c r="B18" s="237">
        <v>45823</v>
      </c>
      <c r="C18" s="82"/>
      <c r="D18" s="83"/>
      <c r="E18" s="174">
        <v>0</v>
      </c>
      <c r="F18" s="174">
        <v>0</v>
      </c>
      <c r="G18" s="155">
        <f t="shared" si="0"/>
        <v>0</v>
      </c>
      <c r="H18" s="174">
        <v>0</v>
      </c>
      <c r="I18" s="175">
        <v>0</v>
      </c>
      <c r="J18" s="22">
        <f t="shared" si="1"/>
        <v>0</v>
      </c>
      <c r="K18" s="22">
        <f t="shared" si="2"/>
        <v>0</v>
      </c>
      <c r="L18" s="157"/>
      <c r="M18" s="16">
        <f>M17+K18-L18</f>
        <v>22278.600000000006</v>
      </c>
      <c r="N18" s="47"/>
      <c r="O18" s="81"/>
    </row>
    <row r="19" spans="1:18">
      <c r="A19" s="55">
        <v>16</v>
      </c>
      <c r="B19" s="237">
        <v>45824</v>
      </c>
      <c r="C19" s="222"/>
      <c r="D19" s="223"/>
      <c r="E19" s="174">
        <v>25</v>
      </c>
      <c r="F19" s="174">
        <v>91.83</v>
      </c>
      <c r="G19" s="155">
        <f t="shared" si="0"/>
        <v>2295.75</v>
      </c>
      <c r="H19" s="174">
        <v>10</v>
      </c>
      <c r="I19" s="175">
        <v>103.8</v>
      </c>
      <c r="J19" s="22">
        <f t="shared" si="1"/>
        <v>1038</v>
      </c>
      <c r="K19" s="22">
        <f t="shared" si="2"/>
        <v>3333.75</v>
      </c>
      <c r="L19" s="157"/>
      <c r="M19" s="17">
        <f>M18+K19-L19</f>
        <v>25612.350000000006</v>
      </c>
      <c r="N19" s="225"/>
      <c r="O19" s="81"/>
    </row>
    <row r="20" spans="1:18">
      <c r="A20" s="55">
        <v>17</v>
      </c>
      <c r="B20" s="237">
        <v>45825</v>
      </c>
      <c r="C20" s="79"/>
      <c r="D20" s="83"/>
      <c r="E20" s="174">
        <v>29</v>
      </c>
      <c r="F20" s="174">
        <v>91.83</v>
      </c>
      <c r="G20" s="155">
        <f t="shared" si="0"/>
        <v>2663.07</v>
      </c>
      <c r="H20" s="174">
        <v>0</v>
      </c>
      <c r="I20" s="175">
        <v>0</v>
      </c>
      <c r="J20" s="22">
        <f t="shared" si="1"/>
        <v>0</v>
      </c>
      <c r="K20" s="22">
        <f t="shared" si="2"/>
        <v>2663.07</v>
      </c>
      <c r="L20" s="157"/>
      <c r="M20" s="17">
        <f>M19+K20-L20</f>
        <v>28275.420000000006</v>
      </c>
      <c r="N20" s="47"/>
      <c r="O20" s="81"/>
    </row>
    <row r="21" spans="1:18">
      <c r="A21" s="55">
        <v>18</v>
      </c>
      <c r="B21" s="237">
        <v>45826</v>
      </c>
      <c r="C21" s="79"/>
      <c r="D21" s="83"/>
      <c r="E21" s="174">
        <v>25</v>
      </c>
      <c r="F21" s="174">
        <v>91.83</v>
      </c>
      <c r="G21" s="155">
        <f t="shared" si="0"/>
        <v>2295.75</v>
      </c>
      <c r="H21" s="174">
        <v>0</v>
      </c>
      <c r="I21" s="175">
        <v>0</v>
      </c>
      <c r="J21" s="22">
        <f t="shared" si="1"/>
        <v>0</v>
      </c>
      <c r="K21" s="22">
        <f t="shared" si="2"/>
        <v>2295.75</v>
      </c>
      <c r="L21" s="157"/>
      <c r="M21" s="17">
        <f>M20+K21-L21</f>
        <v>30571.170000000006</v>
      </c>
      <c r="N21" s="47"/>
      <c r="O21" s="81"/>
    </row>
    <row r="22" spans="1:18">
      <c r="A22" s="55">
        <v>19</v>
      </c>
      <c r="B22" s="237">
        <v>45827</v>
      </c>
      <c r="C22" s="79"/>
      <c r="D22" s="83"/>
      <c r="E22" s="174">
        <v>30</v>
      </c>
      <c r="F22" s="174">
        <v>91.83</v>
      </c>
      <c r="G22" s="155">
        <f t="shared" si="0"/>
        <v>2754.9</v>
      </c>
      <c r="H22" s="174">
        <v>5</v>
      </c>
      <c r="I22" s="175">
        <v>103.8</v>
      </c>
      <c r="J22" s="22">
        <f t="shared" si="1"/>
        <v>519</v>
      </c>
      <c r="K22" s="22">
        <f t="shared" si="2"/>
        <v>3273.9</v>
      </c>
      <c r="L22" s="157"/>
      <c r="M22" s="17">
        <f t="shared" ref="M22:M30" si="3">M21+K22-L22</f>
        <v>33845.070000000007</v>
      </c>
      <c r="N22" s="47"/>
      <c r="O22" s="81"/>
    </row>
    <row r="23" spans="1:18">
      <c r="A23" s="55">
        <v>20</v>
      </c>
      <c r="B23" s="237">
        <v>45828</v>
      </c>
      <c r="C23" s="79"/>
      <c r="D23" s="83"/>
      <c r="E23" s="174">
        <v>207.89</v>
      </c>
      <c r="F23" s="174">
        <v>91.83</v>
      </c>
      <c r="G23" s="155">
        <f t="shared" si="0"/>
        <v>19090.538699999997</v>
      </c>
      <c r="H23" s="174">
        <v>5</v>
      </c>
      <c r="I23" s="175">
        <v>103.8</v>
      </c>
      <c r="J23" s="22">
        <f t="shared" si="1"/>
        <v>519</v>
      </c>
      <c r="K23" s="22">
        <f t="shared" si="2"/>
        <v>19609.538699999997</v>
      </c>
      <c r="L23" s="157"/>
      <c r="M23" s="17">
        <f t="shared" si="3"/>
        <v>53454.608700000004</v>
      </c>
      <c r="N23" s="47"/>
      <c r="O23" s="81"/>
    </row>
    <row r="24" spans="1:18">
      <c r="A24" s="55">
        <v>21</v>
      </c>
      <c r="B24" s="237">
        <v>45829</v>
      </c>
      <c r="C24" s="79"/>
      <c r="D24" s="83"/>
      <c r="E24" s="174">
        <v>92</v>
      </c>
      <c r="F24" s="174">
        <v>91.83</v>
      </c>
      <c r="G24" s="155">
        <f t="shared" si="0"/>
        <v>8448.36</v>
      </c>
      <c r="H24" s="174">
        <v>0</v>
      </c>
      <c r="I24" s="175">
        <v>0</v>
      </c>
      <c r="J24" s="22">
        <f t="shared" si="1"/>
        <v>0</v>
      </c>
      <c r="K24" s="22">
        <f t="shared" si="2"/>
        <v>8448.36</v>
      </c>
      <c r="L24" s="157"/>
      <c r="M24" s="17">
        <f t="shared" si="3"/>
        <v>61902.968700000005</v>
      </c>
      <c r="N24" s="47"/>
      <c r="O24" s="81"/>
    </row>
    <row r="25" spans="1:18">
      <c r="A25" s="55">
        <v>22</v>
      </c>
      <c r="B25" s="237">
        <v>45830</v>
      </c>
      <c r="C25" s="79"/>
      <c r="D25" s="83"/>
      <c r="E25" s="174">
        <v>0</v>
      </c>
      <c r="F25" s="174">
        <v>0</v>
      </c>
      <c r="G25" s="155">
        <f t="shared" si="0"/>
        <v>0</v>
      </c>
      <c r="H25" s="174">
        <v>5</v>
      </c>
      <c r="I25" s="175">
        <v>103.83</v>
      </c>
      <c r="J25" s="22">
        <f t="shared" si="1"/>
        <v>519.15</v>
      </c>
      <c r="K25" s="22">
        <f t="shared" si="2"/>
        <v>519.15</v>
      </c>
      <c r="L25" s="157"/>
      <c r="M25" s="17">
        <f t="shared" si="3"/>
        <v>62422.118700000006</v>
      </c>
      <c r="N25" s="47"/>
      <c r="O25" s="81"/>
    </row>
    <row r="26" spans="1:18">
      <c r="A26" s="55">
        <v>23</v>
      </c>
      <c r="B26" s="237">
        <v>45831</v>
      </c>
      <c r="C26" s="79"/>
      <c r="D26" s="83"/>
      <c r="E26" s="174">
        <v>25</v>
      </c>
      <c r="F26" s="174">
        <v>91.83</v>
      </c>
      <c r="G26" s="155">
        <f t="shared" si="0"/>
        <v>2295.75</v>
      </c>
      <c r="H26" s="174">
        <v>0</v>
      </c>
      <c r="I26" s="175">
        <v>0</v>
      </c>
      <c r="J26" s="22">
        <f t="shared" si="1"/>
        <v>0</v>
      </c>
      <c r="K26" s="22">
        <f t="shared" si="2"/>
        <v>2295.75</v>
      </c>
      <c r="L26" s="157"/>
      <c r="M26" s="17">
        <f t="shared" si="3"/>
        <v>64717.868700000006</v>
      </c>
      <c r="N26" s="47"/>
      <c r="O26" s="81"/>
    </row>
    <row r="27" spans="1:18">
      <c r="A27" s="55">
        <v>24</v>
      </c>
      <c r="B27" s="237">
        <v>45832</v>
      </c>
      <c r="C27" s="79"/>
      <c r="D27" s="83"/>
      <c r="E27" s="174">
        <v>0</v>
      </c>
      <c r="F27" s="174">
        <v>0</v>
      </c>
      <c r="G27" s="155">
        <f t="shared" si="0"/>
        <v>0</v>
      </c>
      <c r="H27" s="174">
        <v>0</v>
      </c>
      <c r="I27" s="175">
        <v>0</v>
      </c>
      <c r="J27" s="22">
        <f t="shared" si="1"/>
        <v>0</v>
      </c>
      <c r="K27" s="22">
        <f t="shared" si="2"/>
        <v>0</v>
      </c>
      <c r="L27" s="157"/>
      <c r="M27" s="17">
        <f t="shared" si="3"/>
        <v>64717.868700000006</v>
      </c>
      <c r="N27" s="47"/>
      <c r="O27" s="81"/>
      <c r="R27">
        <v>66742</v>
      </c>
    </row>
    <row r="28" spans="1:18">
      <c r="A28" s="264">
        <v>25</v>
      </c>
      <c r="B28" s="237">
        <v>45833</v>
      </c>
      <c r="C28" s="230"/>
      <c r="D28" s="223"/>
      <c r="E28" s="174">
        <v>0</v>
      </c>
      <c r="F28" s="174">
        <v>0</v>
      </c>
      <c r="G28" s="155">
        <f t="shared" si="0"/>
        <v>0</v>
      </c>
      <c r="H28" s="174">
        <v>0</v>
      </c>
      <c r="I28" s="175">
        <v>0</v>
      </c>
      <c r="J28" s="22">
        <f t="shared" si="1"/>
        <v>0</v>
      </c>
      <c r="K28" s="22">
        <f t="shared" si="2"/>
        <v>0</v>
      </c>
      <c r="L28" s="157"/>
      <c r="M28" s="17">
        <f t="shared" si="3"/>
        <v>64717.868700000006</v>
      </c>
      <c r="N28" s="225"/>
      <c r="O28" s="81"/>
    </row>
    <row r="29" spans="1:18">
      <c r="A29" s="55">
        <v>26</v>
      </c>
      <c r="B29" s="237">
        <v>45834</v>
      </c>
      <c r="C29" s="79"/>
      <c r="D29" s="83"/>
      <c r="E29" s="174">
        <v>0</v>
      </c>
      <c r="F29" s="174">
        <v>0</v>
      </c>
      <c r="G29" s="155">
        <f t="shared" si="0"/>
        <v>0</v>
      </c>
      <c r="H29" s="174">
        <v>10</v>
      </c>
      <c r="I29" s="175">
        <v>103.83</v>
      </c>
      <c r="J29" s="22">
        <f t="shared" si="1"/>
        <v>1038.3</v>
      </c>
      <c r="K29" s="22">
        <f t="shared" si="2"/>
        <v>1038.3</v>
      </c>
      <c r="L29" s="157"/>
      <c r="M29" s="17">
        <f t="shared" si="3"/>
        <v>65756.168700000009</v>
      </c>
      <c r="N29" s="47"/>
      <c r="O29" s="81"/>
    </row>
    <row r="30" spans="1:18">
      <c r="A30" s="55">
        <v>27</v>
      </c>
      <c r="B30" s="237">
        <v>45835</v>
      </c>
      <c r="C30" s="79"/>
      <c r="D30" s="83"/>
      <c r="E30" s="174">
        <v>20</v>
      </c>
      <c r="F30" s="174">
        <v>91.83</v>
      </c>
      <c r="G30" s="155">
        <f t="shared" si="0"/>
        <v>1836.6</v>
      </c>
      <c r="H30" s="174">
        <v>0</v>
      </c>
      <c r="I30" s="175">
        <v>0</v>
      </c>
      <c r="J30" s="22">
        <f t="shared" si="1"/>
        <v>0</v>
      </c>
      <c r="K30" s="22">
        <f t="shared" si="2"/>
        <v>1836.6</v>
      </c>
      <c r="L30" s="157"/>
      <c r="M30" s="17">
        <f t="shared" si="3"/>
        <v>67592.768700000015</v>
      </c>
      <c r="N30" s="47"/>
      <c r="O30" s="81"/>
    </row>
    <row r="31" spans="1:18">
      <c r="A31" s="55">
        <v>28</v>
      </c>
      <c r="B31" s="237">
        <v>45836</v>
      </c>
      <c r="C31" s="79"/>
      <c r="D31" s="83"/>
      <c r="E31" s="174">
        <v>29</v>
      </c>
      <c r="F31" s="174">
        <v>91.83</v>
      </c>
      <c r="G31" s="155">
        <f t="shared" si="0"/>
        <v>2663.07</v>
      </c>
      <c r="H31" s="174">
        <v>10</v>
      </c>
      <c r="I31" s="175">
        <v>103.83</v>
      </c>
      <c r="J31" s="22">
        <f t="shared" si="1"/>
        <v>1038.3</v>
      </c>
      <c r="K31" s="22">
        <f t="shared" si="2"/>
        <v>3701.37</v>
      </c>
      <c r="L31" s="157"/>
      <c r="M31" s="17">
        <f>M30+K31-L31</f>
        <v>71294.13870000001</v>
      </c>
      <c r="N31" s="47"/>
      <c r="O31" s="81"/>
    </row>
    <row r="32" spans="1:18">
      <c r="A32" s="55">
        <v>29</v>
      </c>
      <c r="B32" s="237">
        <v>45837</v>
      </c>
      <c r="C32" s="79"/>
      <c r="D32" s="83"/>
      <c r="E32" s="174">
        <v>0</v>
      </c>
      <c r="F32" s="174">
        <v>0</v>
      </c>
      <c r="G32" s="155">
        <f t="shared" si="0"/>
        <v>0</v>
      </c>
      <c r="H32" s="174">
        <v>0</v>
      </c>
      <c r="I32" s="175">
        <v>0</v>
      </c>
      <c r="J32" s="22">
        <f t="shared" si="1"/>
        <v>0</v>
      </c>
      <c r="K32" s="22">
        <f t="shared" si="2"/>
        <v>0</v>
      </c>
      <c r="L32" s="157"/>
      <c r="M32" s="17">
        <f>M31+K32-L32</f>
        <v>71294.13870000001</v>
      </c>
      <c r="N32" s="47"/>
      <c r="O32" s="81"/>
    </row>
    <row r="33" spans="1:16">
      <c r="A33" s="55">
        <v>30</v>
      </c>
      <c r="B33" s="237">
        <v>45838</v>
      </c>
      <c r="C33" s="79"/>
      <c r="D33" s="83"/>
      <c r="E33" s="174">
        <v>30</v>
      </c>
      <c r="F33" s="174">
        <v>91.83</v>
      </c>
      <c r="G33" s="155">
        <f t="shared" si="0"/>
        <v>2754.9</v>
      </c>
      <c r="H33" s="174">
        <v>0</v>
      </c>
      <c r="I33" s="175">
        <v>0</v>
      </c>
      <c r="J33" s="22">
        <f t="shared" si="1"/>
        <v>0</v>
      </c>
      <c r="K33" s="22">
        <f t="shared" si="2"/>
        <v>2754.9</v>
      </c>
      <c r="L33" s="157"/>
      <c r="M33" s="17">
        <f>M32+K33-L33</f>
        <v>74049.038700000005</v>
      </c>
      <c r="N33" s="47"/>
      <c r="O33" s="81"/>
    </row>
    <row r="34" spans="1:16">
      <c r="A34" s="55">
        <v>31</v>
      </c>
      <c r="B34" s="237"/>
      <c r="C34" s="79"/>
      <c r="D34" s="83"/>
      <c r="E34" s="174">
        <v>0</v>
      </c>
      <c r="F34" s="174">
        <v>0</v>
      </c>
      <c r="G34" s="155">
        <f t="shared" si="0"/>
        <v>0</v>
      </c>
      <c r="H34" s="174">
        <v>0</v>
      </c>
      <c r="I34" s="175">
        <v>0</v>
      </c>
      <c r="J34" s="22">
        <f t="shared" si="1"/>
        <v>0</v>
      </c>
      <c r="K34" s="22">
        <f t="shared" si="2"/>
        <v>0</v>
      </c>
      <c r="L34" s="157"/>
      <c r="M34" s="17">
        <f>M33+K34-L34</f>
        <v>74049.038700000005</v>
      </c>
      <c r="N34" s="47"/>
      <c r="O34" s="81">
        <v>77593.59</v>
      </c>
      <c r="P34" s="198">
        <f>O34-M34</f>
        <v>3544.5512999999919</v>
      </c>
    </row>
    <row r="35" spans="1:16">
      <c r="A35" s="181"/>
      <c r="B35" s="181"/>
      <c r="C35" s="181"/>
      <c r="D35" s="181"/>
      <c r="E35" s="182">
        <f>SUM(E4:E34)</f>
        <v>1032.8899999999999</v>
      </c>
      <c r="F35" s="182"/>
      <c r="G35" s="182">
        <f>SUM(G4:G34)</f>
        <v>94850.288700000005</v>
      </c>
      <c r="H35" s="182">
        <f>SUM(H4:H34)</f>
        <v>75</v>
      </c>
      <c r="I35" s="182"/>
      <c r="J35" s="182">
        <f>SUM(J4:J34)</f>
        <v>7785.75</v>
      </c>
      <c r="K35" s="182">
        <f>SUM(K4:K34)</f>
        <v>102636.03869999999</v>
      </c>
      <c r="L35" s="182">
        <f>SUM(L4:L34)</f>
        <v>88047.8</v>
      </c>
      <c r="M35" s="182"/>
      <c r="N35" s="182"/>
      <c r="O35" s="71"/>
    </row>
    <row r="36" spans="1:16">
      <c r="A36" s="85"/>
      <c r="B36" s="86"/>
      <c r="C36" s="85"/>
      <c r="D36" s="85"/>
      <c r="E36" s="87"/>
      <c r="F36" s="87"/>
      <c r="G36" s="87"/>
      <c r="H36" s="87"/>
      <c r="I36" s="87"/>
      <c r="J36" s="88"/>
      <c r="K36" s="88"/>
      <c r="L36" s="88"/>
      <c r="M36" s="88"/>
      <c r="N36" s="87"/>
      <c r="O36" s="81"/>
    </row>
    <row r="37" spans="1:16">
      <c r="O37" s="81"/>
    </row>
    <row r="38" spans="1:16">
      <c r="O38" s="81"/>
    </row>
    <row r="39" spans="1:16">
      <c r="O39" s="81"/>
    </row>
    <row r="40" spans="1:16">
      <c r="O40" s="81"/>
    </row>
    <row r="41" spans="1:16">
      <c r="O41" s="81"/>
    </row>
    <row r="42" spans="1:16">
      <c r="A42" s="81"/>
      <c r="B42" s="71"/>
      <c r="C42" s="81"/>
      <c r="D42" s="81"/>
      <c r="E42" s="81"/>
      <c r="F42" s="81"/>
      <c r="G42" s="89"/>
      <c r="H42" s="81"/>
      <c r="I42" s="81"/>
      <c r="J42" s="71"/>
      <c r="K42" s="71"/>
      <c r="L42" s="71"/>
      <c r="M42" s="71"/>
      <c r="N42" s="81"/>
      <c r="O42" s="87"/>
    </row>
    <row r="43" spans="1:16">
      <c r="A43" s="81"/>
      <c r="B43" s="462"/>
      <c r="C43" s="462"/>
      <c r="D43" s="462"/>
      <c r="E43" s="462"/>
      <c r="F43" s="81"/>
      <c r="G43" s="81"/>
      <c r="H43" s="81"/>
      <c r="I43" s="462"/>
      <c r="J43" s="462"/>
      <c r="K43" s="462"/>
      <c r="L43" s="462"/>
      <c r="M43" s="462"/>
      <c r="N43" s="462"/>
      <c r="O43" s="87"/>
    </row>
    <row r="44" spans="1:16">
      <c r="A44" s="81"/>
      <c r="B44" s="71"/>
      <c r="C44" s="81"/>
      <c r="D44" s="81"/>
      <c r="E44" s="81"/>
      <c r="F44" s="81"/>
      <c r="G44" s="81"/>
      <c r="H44" s="81"/>
      <c r="I44" s="81"/>
      <c r="J44" s="71"/>
      <c r="K44" s="71"/>
      <c r="L44" s="71"/>
      <c r="M44" s="71"/>
      <c r="N44" s="81"/>
      <c r="O44" s="87"/>
    </row>
  </sheetData>
  <mergeCells count="4">
    <mergeCell ref="A1:N1"/>
    <mergeCell ref="B43:E43"/>
    <mergeCell ref="I43:N43"/>
    <mergeCell ref="A3:J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A786B-C2B4-4667-9DF4-66A04CD3EC97}">
  <sheetPr>
    <tabColor rgb="FF92D050"/>
  </sheetPr>
  <dimension ref="A1:O45"/>
  <sheetViews>
    <sheetView workbookViewId="0">
      <pane ySplit="2" topLeftCell="A27" activePane="bottomLeft" state="frozen"/>
      <selection pane="bottomLeft" activeCell="M27" sqref="M27"/>
    </sheetView>
  </sheetViews>
  <sheetFormatPr defaultRowHeight="15"/>
  <cols>
    <col min="1" max="1" width="9.140625" style="5"/>
    <col min="2" max="2" width="11.5703125" style="5" bestFit="1" customWidth="1"/>
    <col min="3" max="3" width="9.140625" style="5"/>
    <col min="4" max="4" width="13.140625" style="5" customWidth="1"/>
    <col min="5" max="5" width="10.140625" style="5" customWidth="1"/>
    <col min="6" max="6" width="9.140625" style="5"/>
    <col min="7" max="7" width="10.85546875" style="115" bestFit="1" customWidth="1"/>
    <col min="8" max="8" width="11.140625" style="5" customWidth="1"/>
    <col min="9" max="9" width="9.140625" style="5"/>
    <col min="10" max="10" width="10.85546875" style="115" bestFit="1" customWidth="1"/>
    <col min="11" max="11" width="12.85546875" style="5" customWidth="1"/>
    <col min="12" max="12" width="13.5703125" style="115" bestFit="1" customWidth="1"/>
    <col min="13" max="13" width="13.5703125" style="115" customWidth="1"/>
    <col min="14" max="14" width="13.5703125" style="5" bestFit="1" customWidth="1"/>
    <col min="15" max="16384" width="9.140625" style="5"/>
  </cols>
  <sheetData>
    <row r="1" spans="1:14" ht="15.75">
      <c r="A1" s="458" t="s">
        <v>159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</row>
    <row r="2" spans="1:14" ht="18" customHeight="1">
      <c r="A2" s="76" t="s">
        <v>102</v>
      </c>
      <c r="B2" s="96" t="s">
        <v>103</v>
      </c>
      <c r="C2" s="96" t="s">
        <v>104</v>
      </c>
      <c r="D2" s="96" t="s">
        <v>150</v>
      </c>
      <c r="E2" s="96" t="s">
        <v>106</v>
      </c>
      <c r="F2" s="96" t="s">
        <v>107</v>
      </c>
      <c r="G2" s="103" t="s">
        <v>108</v>
      </c>
      <c r="H2" s="96" t="s">
        <v>109</v>
      </c>
      <c r="I2" s="96" t="s">
        <v>107</v>
      </c>
      <c r="J2" s="103" t="s">
        <v>108</v>
      </c>
      <c r="K2" s="76" t="s">
        <v>110</v>
      </c>
      <c r="L2" s="104" t="s">
        <v>111</v>
      </c>
      <c r="M2" s="98" t="s">
        <v>149</v>
      </c>
      <c r="N2" s="96" t="s">
        <v>113</v>
      </c>
    </row>
    <row r="3" spans="1:14" ht="18" customHeight="1">
      <c r="A3" s="471" t="s">
        <v>114</v>
      </c>
      <c r="B3" s="472"/>
      <c r="C3" s="472"/>
      <c r="D3" s="472"/>
      <c r="E3" s="472"/>
      <c r="F3" s="472"/>
      <c r="G3" s="472"/>
      <c r="H3" s="472"/>
      <c r="I3" s="472"/>
      <c r="J3" s="472"/>
      <c r="K3" s="472"/>
      <c r="L3" s="473"/>
      <c r="M3" s="474">
        <v>2488</v>
      </c>
      <c r="N3" s="475"/>
    </row>
    <row r="4" spans="1:14">
      <c r="A4" s="6">
        <v>1</v>
      </c>
      <c r="B4" s="91" t="s">
        <v>160</v>
      </c>
      <c r="C4" s="6"/>
      <c r="D4" s="6"/>
      <c r="E4" s="77">
        <v>0</v>
      </c>
      <c r="F4" s="6">
        <v>0</v>
      </c>
      <c r="G4" s="78">
        <f>E4*F4</f>
        <v>0</v>
      </c>
      <c r="H4" s="77">
        <v>4.3499999999999996</v>
      </c>
      <c r="I4" s="6">
        <v>103.44</v>
      </c>
      <c r="J4" s="78">
        <f>H4*I4</f>
        <v>449.96399999999994</v>
      </c>
      <c r="K4" s="78">
        <f>G4+J4</f>
        <v>449.96399999999994</v>
      </c>
      <c r="L4" s="78">
        <v>2937.96</v>
      </c>
      <c r="M4" s="169">
        <f>M3+K4-L4</f>
        <v>3.9999999999054126E-3</v>
      </c>
      <c r="N4" s="55" t="s">
        <v>161</v>
      </c>
    </row>
    <row r="5" spans="1:14">
      <c r="A5" s="6">
        <v>3</v>
      </c>
      <c r="B5" s="91" t="s">
        <v>162</v>
      </c>
      <c r="C5" s="6"/>
      <c r="D5" s="6"/>
      <c r="E5" s="77">
        <v>39.880000000000003</v>
      </c>
      <c r="F5" s="6">
        <v>91.5</v>
      </c>
      <c r="G5" s="78">
        <f t="shared" ref="G5:G37" si="0">E5*F5</f>
        <v>3649.0200000000004</v>
      </c>
      <c r="H5" s="77">
        <v>9.66</v>
      </c>
      <c r="I5" s="6">
        <v>103.44</v>
      </c>
      <c r="J5" s="78">
        <f t="shared" ref="J5:J37" si="1">H5*I5</f>
        <v>999.23040000000003</v>
      </c>
      <c r="K5" s="78">
        <f t="shared" ref="K5:K37" si="2">G5+J5</f>
        <v>4648.2504000000008</v>
      </c>
      <c r="L5" s="78">
        <v>4648</v>
      </c>
      <c r="M5" s="169">
        <f t="shared" ref="M5:M20" si="3">M4+K5-L5</f>
        <v>0.2544000000007145</v>
      </c>
      <c r="N5" s="55" t="s">
        <v>161</v>
      </c>
    </row>
    <row r="6" spans="1:14">
      <c r="A6" s="6">
        <v>4</v>
      </c>
      <c r="B6" s="91" t="s">
        <v>163</v>
      </c>
      <c r="C6" s="6"/>
      <c r="D6" s="6"/>
      <c r="E6" s="77">
        <v>120</v>
      </c>
      <c r="F6" s="6">
        <v>91.5</v>
      </c>
      <c r="G6" s="78">
        <f t="shared" si="0"/>
        <v>10980</v>
      </c>
      <c r="H6" s="77">
        <v>0</v>
      </c>
      <c r="I6" s="6">
        <v>0</v>
      </c>
      <c r="J6" s="78">
        <f t="shared" si="1"/>
        <v>0</v>
      </c>
      <c r="K6" s="78">
        <f t="shared" si="2"/>
        <v>10980</v>
      </c>
      <c r="L6" s="78">
        <v>10980</v>
      </c>
      <c r="M6" s="169">
        <f t="shared" si="3"/>
        <v>0.25440000000162399</v>
      </c>
      <c r="N6" s="55" t="s">
        <v>161</v>
      </c>
    </row>
    <row r="7" spans="1:14">
      <c r="A7" s="6">
        <v>5</v>
      </c>
      <c r="B7" s="91" t="s">
        <v>164</v>
      </c>
      <c r="C7" s="6"/>
      <c r="D7" s="6"/>
      <c r="E7" s="77">
        <v>123.19</v>
      </c>
      <c r="F7" s="6">
        <v>91.5</v>
      </c>
      <c r="G7" s="78">
        <f t="shared" si="0"/>
        <v>11271.885</v>
      </c>
      <c r="H7" s="77">
        <v>6.67</v>
      </c>
      <c r="I7" s="6">
        <v>103.44</v>
      </c>
      <c r="J7" s="78">
        <f t="shared" si="1"/>
        <v>689.94479999999999</v>
      </c>
      <c r="K7" s="78">
        <f t="shared" si="2"/>
        <v>11961.8298</v>
      </c>
      <c r="L7" s="78">
        <v>3840</v>
      </c>
      <c r="M7" s="169">
        <f t="shared" si="3"/>
        <v>8122.0842000000011</v>
      </c>
      <c r="N7" s="55" t="s">
        <v>161</v>
      </c>
    </row>
    <row r="8" spans="1:14">
      <c r="A8" s="6">
        <v>7</v>
      </c>
      <c r="B8" s="91" t="s">
        <v>165</v>
      </c>
      <c r="C8" s="6"/>
      <c r="D8" s="6"/>
      <c r="E8" s="77">
        <v>0</v>
      </c>
      <c r="F8" s="6">
        <v>0</v>
      </c>
      <c r="G8" s="78">
        <f t="shared" si="0"/>
        <v>0</v>
      </c>
      <c r="H8" s="77">
        <v>0</v>
      </c>
      <c r="I8" s="6">
        <v>0</v>
      </c>
      <c r="J8" s="78">
        <f t="shared" si="1"/>
        <v>0</v>
      </c>
      <c r="K8" s="78">
        <f t="shared" si="2"/>
        <v>0</v>
      </c>
      <c r="L8" s="78">
        <v>8131</v>
      </c>
      <c r="M8" s="169">
        <f t="shared" si="3"/>
        <v>-8.9157999999988533</v>
      </c>
      <c r="N8" s="55" t="s">
        <v>161</v>
      </c>
    </row>
    <row r="9" spans="1:14">
      <c r="A9" s="6">
        <v>8</v>
      </c>
      <c r="B9" s="91" t="s">
        <v>166</v>
      </c>
      <c r="C9" s="6"/>
      <c r="D9" s="6"/>
      <c r="E9" s="77">
        <v>30</v>
      </c>
      <c r="F9" s="6">
        <v>91.5</v>
      </c>
      <c r="G9" s="78">
        <f t="shared" si="0"/>
        <v>2745</v>
      </c>
      <c r="H9" s="77">
        <v>0</v>
      </c>
      <c r="I9" s="6">
        <v>0</v>
      </c>
      <c r="J9" s="78">
        <f t="shared" si="1"/>
        <v>0</v>
      </c>
      <c r="K9" s="78">
        <f t="shared" si="2"/>
        <v>2745</v>
      </c>
      <c r="L9" s="78">
        <v>2745</v>
      </c>
      <c r="M9" s="169">
        <f t="shared" si="3"/>
        <v>-8.9157999999988533</v>
      </c>
      <c r="N9" s="55" t="s">
        <v>161</v>
      </c>
    </row>
    <row r="10" spans="1:14">
      <c r="A10" s="6">
        <v>9</v>
      </c>
      <c r="B10" s="91" t="s">
        <v>167</v>
      </c>
      <c r="C10" s="6"/>
      <c r="D10" s="6"/>
      <c r="E10" s="77">
        <v>71.27</v>
      </c>
      <c r="F10" s="6">
        <v>91.5</v>
      </c>
      <c r="G10" s="78">
        <f t="shared" si="0"/>
        <v>6521.2049999999999</v>
      </c>
      <c r="H10" s="77">
        <v>0</v>
      </c>
      <c r="I10" s="6">
        <v>0</v>
      </c>
      <c r="J10" s="78">
        <f t="shared" si="1"/>
        <v>0</v>
      </c>
      <c r="K10" s="78">
        <f t="shared" si="2"/>
        <v>6521.2049999999999</v>
      </c>
      <c r="L10" s="78">
        <v>6521.21</v>
      </c>
      <c r="M10" s="169">
        <f t="shared" si="3"/>
        <v>-8.9207999999989624</v>
      </c>
      <c r="N10" s="55" t="s">
        <v>161</v>
      </c>
    </row>
    <row r="11" spans="1:14">
      <c r="A11" s="6">
        <v>10</v>
      </c>
      <c r="B11" s="91" t="s">
        <v>168</v>
      </c>
      <c r="C11" s="6"/>
      <c r="D11" s="6"/>
      <c r="E11" s="77">
        <v>0</v>
      </c>
      <c r="F11" s="6">
        <v>0</v>
      </c>
      <c r="G11" s="78">
        <f t="shared" si="0"/>
        <v>0</v>
      </c>
      <c r="H11" s="77">
        <v>4.83</v>
      </c>
      <c r="I11" s="6">
        <v>103.44</v>
      </c>
      <c r="J11" s="78">
        <f t="shared" si="1"/>
        <v>499.61520000000002</v>
      </c>
      <c r="K11" s="78">
        <f t="shared" si="2"/>
        <v>499.61520000000002</v>
      </c>
      <c r="L11" s="78">
        <v>499.62</v>
      </c>
      <c r="M11" s="169">
        <f t="shared" si="3"/>
        <v>-8.9255999999989513</v>
      </c>
      <c r="N11" s="55" t="s">
        <v>161</v>
      </c>
    </row>
    <row r="12" spans="1:14">
      <c r="A12" s="6">
        <v>11</v>
      </c>
      <c r="B12" s="91" t="s">
        <v>169</v>
      </c>
      <c r="C12" s="6"/>
      <c r="D12" s="6"/>
      <c r="E12" s="77">
        <v>36.9</v>
      </c>
      <c r="F12" s="6">
        <v>91.5</v>
      </c>
      <c r="G12" s="78">
        <f t="shared" si="0"/>
        <v>3376.35</v>
      </c>
      <c r="H12" s="77">
        <v>0</v>
      </c>
      <c r="I12" s="6">
        <v>0</v>
      </c>
      <c r="J12" s="78">
        <f t="shared" si="1"/>
        <v>0</v>
      </c>
      <c r="K12" s="78">
        <f t="shared" si="2"/>
        <v>3376.35</v>
      </c>
      <c r="L12" s="78">
        <v>3376.35</v>
      </c>
      <c r="M12" s="169">
        <f t="shared" si="3"/>
        <v>-8.9255999999991218</v>
      </c>
      <c r="N12" s="55" t="s">
        <v>161</v>
      </c>
    </row>
    <row r="13" spans="1:14">
      <c r="A13" s="6">
        <v>12</v>
      </c>
      <c r="B13" s="91" t="s">
        <v>170</v>
      </c>
      <c r="C13" s="6"/>
      <c r="D13" s="6"/>
      <c r="E13" s="77">
        <v>31.6</v>
      </c>
      <c r="F13" s="6">
        <v>91.5</v>
      </c>
      <c r="G13" s="78">
        <f t="shared" si="0"/>
        <v>2891.4</v>
      </c>
      <c r="H13" s="77">
        <v>0</v>
      </c>
      <c r="I13" s="6">
        <v>0</v>
      </c>
      <c r="J13" s="78">
        <f t="shared" si="1"/>
        <v>0</v>
      </c>
      <c r="K13" s="78">
        <f t="shared" si="2"/>
        <v>2891.4</v>
      </c>
      <c r="L13" s="78">
        <v>2891.4</v>
      </c>
      <c r="M13" s="169">
        <f t="shared" si="3"/>
        <v>-8.9255999999991218</v>
      </c>
      <c r="N13" s="55" t="s">
        <v>161</v>
      </c>
    </row>
    <row r="14" spans="1:14">
      <c r="A14" s="6">
        <v>13</v>
      </c>
      <c r="B14" s="91" t="s">
        <v>171</v>
      </c>
      <c r="C14" s="6"/>
      <c r="D14" s="6"/>
      <c r="E14" s="77">
        <v>83.43</v>
      </c>
      <c r="F14" s="6">
        <v>91.5</v>
      </c>
      <c r="G14" s="78">
        <f t="shared" si="0"/>
        <v>7633.8450000000003</v>
      </c>
      <c r="H14" s="77">
        <v>6.86</v>
      </c>
      <c r="I14" s="6">
        <v>103.44</v>
      </c>
      <c r="J14" s="78">
        <f t="shared" si="1"/>
        <v>709.59839999999997</v>
      </c>
      <c r="K14" s="78">
        <f t="shared" si="2"/>
        <v>8343.4434000000001</v>
      </c>
      <c r="L14" s="78">
        <v>4647</v>
      </c>
      <c r="M14" s="169">
        <f t="shared" si="3"/>
        <v>3687.5178000000014</v>
      </c>
      <c r="N14" s="55" t="s">
        <v>161</v>
      </c>
    </row>
    <row r="15" spans="1:14">
      <c r="A15" s="6">
        <v>14</v>
      </c>
      <c r="B15" s="91" t="s">
        <v>172</v>
      </c>
      <c r="C15" s="6"/>
      <c r="D15" s="6"/>
      <c r="E15" s="77">
        <v>251.58</v>
      </c>
      <c r="F15" s="6">
        <v>91.5</v>
      </c>
      <c r="G15" s="78">
        <f t="shared" si="0"/>
        <v>23019.57</v>
      </c>
      <c r="H15" s="77">
        <v>0</v>
      </c>
      <c r="I15" s="6">
        <v>0</v>
      </c>
      <c r="J15" s="78">
        <f t="shared" si="1"/>
        <v>0</v>
      </c>
      <c r="K15" s="78">
        <f t="shared" si="2"/>
        <v>23019.57</v>
      </c>
      <c r="L15" s="78">
        <v>0</v>
      </c>
      <c r="M15" s="169">
        <f t="shared" si="3"/>
        <v>26707.087800000001</v>
      </c>
      <c r="N15" s="55" t="s">
        <v>161</v>
      </c>
    </row>
    <row r="16" spans="1:14">
      <c r="A16" s="6">
        <v>15</v>
      </c>
      <c r="B16" s="91" t="s">
        <v>173</v>
      </c>
      <c r="C16" s="6"/>
      <c r="D16" s="6"/>
      <c r="E16" s="77">
        <v>57.93</v>
      </c>
      <c r="F16" s="6">
        <v>91.5</v>
      </c>
      <c r="G16" s="78">
        <f t="shared" si="0"/>
        <v>5300.5950000000003</v>
      </c>
      <c r="H16" s="77">
        <v>10</v>
      </c>
      <c r="I16" s="6">
        <v>103.44</v>
      </c>
      <c r="J16" s="78">
        <f t="shared" si="1"/>
        <v>1034.4000000000001</v>
      </c>
      <c r="K16" s="78">
        <f t="shared" si="2"/>
        <v>6334.9950000000008</v>
      </c>
      <c r="L16" s="78">
        <v>33042.800000000003</v>
      </c>
      <c r="M16" s="169">
        <f t="shared" si="3"/>
        <v>-0.71719999999913853</v>
      </c>
      <c r="N16" s="55" t="s">
        <v>161</v>
      </c>
    </row>
    <row r="17" spans="1:14">
      <c r="A17" s="6">
        <v>16</v>
      </c>
      <c r="B17" s="91" t="s">
        <v>174</v>
      </c>
      <c r="C17" s="6"/>
      <c r="D17" s="6"/>
      <c r="E17" s="77">
        <v>218.58</v>
      </c>
      <c r="F17" s="6">
        <v>91.5</v>
      </c>
      <c r="G17" s="78">
        <f t="shared" si="0"/>
        <v>20000.07</v>
      </c>
      <c r="H17" s="77">
        <v>5.99</v>
      </c>
      <c r="I17" s="6">
        <v>103.44</v>
      </c>
      <c r="J17" s="78">
        <f t="shared" si="1"/>
        <v>619.60559999999998</v>
      </c>
      <c r="K17" s="78">
        <f t="shared" si="2"/>
        <v>20619.675599999999</v>
      </c>
      <c r="L17" s="78">
        <v>0</v>
      </c>
      <c r="M17" s="169">
        <f t="shared" si="3"/>
        <v>20618.9584</v>
      </c>
      <c r="N17" s="55" t="s">
        <v>161</v>
      </c>
    </row>
    <row r="18" spans="1:14">
      <c r="A18" s="6">
        <v>17</v>
      </c>
      <c r="B18" s="91" t="s">
        <v>175</v>
      </c>
      <c r="C18" s="6"/>
      <c r="D18" s="6"/>
      <c r="E18" s="77">
        <v>0</v>
      </c>
      <c r="F18" s="6">
        <v>0</v>
      </c>
      <c r="G18" s="78">
        <f t="shared" si="0"/>
        <v>0</v>
      </c>
      <c r="H18" s="77">
        <v>5</v>
      </c>
      <c r="I18" s="6">
        <v>103.44</v>
      </c>
      <c r="J18" s="78">
        <f t="shared" si="1"/>
        <v>517.20000000000005</v>
      </c>
      <c r="K18" s="78">
        <f t="shared" si="2"/>
        <v>517.20000000000005</v>
      </c>
      <c r="L18" s="78">
        <v>0</v>
      </c>
      <c r="M18" s="169">
        <f t="shared" si="3"/>
        <v>21136.1584</v>
      </c>
      <c r="N18" s="55" t="s">
        <v>161</v>
      </c>
    </row>
    <row r="19" spans="1:14">
      <c r="A19" s="6">
        <v>18</v>
      </c>
      <c r="B19" s="91" t="s">
        <v>176</v>
      </c>
      <c r="C19" s="6"/>
      <c r="D19" s="6"/>
      <c r="E19" s="77">
        <v>141.22999999999999</v>
      </c>
      <c r="F19" s="6">
        <v>91.5</v>
      </c>
      <c r="G19" s="78">
        <f t="shared" si="0"/>
        <v>12922.544999999998</v>
      </c>
      <c r="H19" s="77">
        <v>0</v>
      </c>
      <c r="I19" s="6">
        <v>0</v>
      </c>
      <c r="J19" s="78">
        <f t="shared" si="1"/>
        <v>0</v>
      </c>
      <c r="K19" s="78">
        <f t="shared" si="2"/>
        <v>12922.544999999998</v>
      </c>
      <c r="L19" s="78">
        <v>0</v>
      </c>
      <c r="M19" s="169">
        <f t="shared" si="3"/>
        <v>34058.703399999999</v>
      </c>
      <c r="N19" s="55" t="s">
        <v>161</v>
      </c>
    </row>
    <row r="20" spans="1:14">
      <c r="A20" s="6">
        <v>19</v>
      </c>
      <c r="B20" s="91" t="s">
        <v>177</v>
      </c>
      <c r="C20" s="6"/>
      <c r="D20" s="6"/>
      <c r="E20" s="77">
        <v>80.14</v>
      </c>
      <c r="F20" s="6">
        <v>91.5</v>
      </c>
      <c r="G20" s="78">
        <f t="shared" si="0"/>
        <v>7332.81</v>
      </c>
      <c r="H20" s="77">
        <v>0</v>
      </c>
      <c r="I20" s="6">
        <v>0</v>
      </c>
      <c r="J20" s="78">
        <f t="shared" si="1"/>
        <v>0</v>
      </c>
      <c r="K20" s="78">
        <f t="shared" si="2"/>
        <v>7332.81</v>
      </c>
      <c r="L20" s="78">
        <v>0</v>
      </c>
      <c r="M20" s="169">
        <f t="shared" si="3"/>
        <v>41391.513399999996</v>
      </c>
      <c r="N20" s="55" t="s">
        <v>161</v>
      </c>
    </row>
    <row r="21" spans="1:14">
      <c r="A21" s="6">
        <v>20</v>
      </c>
      <c r="B21" s="91" t="s">
        <v>178</v>
      </c>
      <c r="C21" s="6"/>
      <c r="D21" s="6"/>
      <c r="E21" s="77">
        <v>40.44</v>
      </c>
      <c r="F21" s="6">
        <v>91.5</v>
      </c>
      <c r="G21" s="78">
        <f t="shared" si="0"/>
        <v>3700.2599999999998</v>
      </c>
      <c r="H21" s="77">
        <v>0</v>
      </c>
      <c r="I21" s="6">
        <v>103.44</v>
      </c>
      <c r="J21" s="78">
        <f t="shared" si="1"/>
        <v>0</v>
      </c>
      <c r="K21" s="78">
        <f t="shared" si="2"/>
        <v>3700.2599999999998</v>
      </c>
      <c r="L21" s="78">
        <v>38245.43</v>
      </c>
      <c r="M21" s="169">
        <f>M20+K21-L21</f>
        <v>6846.3433999999979</v>
      </c>
      <c r="N21" s="55" t="s">
        <v>161</v>
      </c>
    </row>
    <row r="22" spans="1:14">
      <c r="A22" s="6"/>
      <c r="B22" s="91" t="s">
        <v>179</v>
      </c>
      <c r="C22" s="6"/>
      <c r="D22" s="6"/>
      <c r="E22" s="77">
        <v>0</v>
      </c>
      <c r="F22" s="6">
        <v>0</v>
      </c>
      <c r="G22" s="78">
        <v>0</v>
      </c>
      <c r="H22" s="77">
        <v>9.66</v>
      </c>
      <c r="I22" s="6">
        <v>103.44</v>
      </c>
      <c r="J22" s="78">
        <f t="shared" ref="J22" si="4">H22*I22</f>
        <v>999.23040000000003</v>
      </c>
      <c r="K22" s="78">
        <f t="shared" ref="K22" si="5">G22+J22</f>
        <v>999.23040000000003</v>
      </c>
      <c r="L22" s="78">
        <v>999.23</v>
      </c>
      <c r="M22" s="169">
        <f t="shared" ref="M22:M31" si="6">M21+K22-L22</f>
        <v>6846.3437999999987</v>
      </c>
      <c r="N22" s="55" t="s">
        <v>161</v>
      </c>
    </row>
    <row r="23" spans="1:14">
      <c r="A23" s="6">
        <v>21</v>
      </c>
      <c r="B23" s="91" t="s">
        <v>180</v>
      </c>
      <c r="C23" s="6"/>
      <c r="D23" s="6"/>
      <c r="E23" s="77">
        <v>88.79</v>
      </c>
      <c r="F23" s="6">
        <v>91.5</v>
      </c>
      <c r="G23" s="78">
        <f t="shared" si="0"/>
        <v>8124.2850000000008</v>
      </c>
      <c r="H23" s="77">
        <v>4.83</v>
      </c>
      <c r="I23" s="6">
        <v>103.44</v>
      </c>
      <c r="J23" s="78">
        <f t="shared" si="1"/>
        <v>499.61520000000002</v>
      </c>
      <c r="K23" s="78">
        <f t="shared" si="2"/>
        <v>8623.9002</v>
      </c>
      <c r="L23" s="78">
        <v>499.62</v>
      </c>
      <c r="M23" s="169">
        <f t="shared" si="6"/>
        <v>14970.623999999998</v>
      </c>
      <c r="N23" s="55" t="s">
        <v>161</v>
      </c>
    </row>
    <row r="24" spans="1:14">
      <c r="A24" s="6">
        <v>22</v>
      </c>
      <c r="B24" s="91" t="s">
        <v>181</v>
      </c>
      <c r="C24" s="6"/>
      <c r="D24" s="6"/>
      <c r="E24" s="77">
        <v>0</v>
      </c>
      <c r="F24" s="6">
        <v>0</v>
      </c>
      <c r="G24" s="78">
        <f t="shared" si="0"/>
        <v>0</v>
      </c>
      <c r="H24" s="77">
        <v>0</v>
      </c>
      <c r="I24" s="6">
        <v>0</v>
      </c>
      <c r="J24" s="78">
        <f t="shared" si="1"/>
        <v>0</v>
      </c>
      <c r="K24" s="78">
        <f t="shared" si="2"/>
        <v>0</v>
      </c>
      <c r="L24" s="78">
        <v>0</v>
      </c>
      <c r="M24" s="169">
        <f>M23+K24-L24</f>
        <v>14970.623999999998</v>
      </c>
      <c r="N24" s="55" t="s">
        <v>161</v>
      </c>
    </row>
    <row r="25" spans="1:14">
      <c r="A25" s="6">
        <v>23</v>
      </c>
      <c r="B25" s="91" t="s">
        <v>182</v>
      </c>
      <c r="C25" s="6"/>
      <c r="D25" s="6"/>
      <c r="E25" s="77">
        <v>65.58</v>
      </c>
      <c r="F25" s="6">
        <v>91.5</v>
      </c>
      <c r="G25" s="78">
        <f t="shared" si="0"/>
        <v>6000.57</v>
      </c>
      <c r="H25" s="77">
        <v>4.83</v>
      </c>
      <c r="I25" s="6">
        <v>103.44</v>
      </c>
      <c r="J25" s="78">
        <f t="shared" si="1"/>
        <v>499.61520000000002</v>
      </c>
      <c r="K25" s="78">
        <f t="shared" si="2"/>
        <v>6500.1851999999999</v>
      </c>
      <c r="L25" s="78">
        <v>0</v>
      </c>
      <c r="M25" s="169">
        <f t="shared" si="6"/>
        <v>21470.809199999996</v>
      </c>
      <c r="N25" s="55" t="s">
        <v>161</v>
      </c>
    </row>
    <row r="26" spans="1:14">
      <c r="A26" s="6">
        <v>24</v>
      </c>
      <c r="B26" s="91" t="s">
        <v>183</v>
      </c>
      <c r="C26" s="6"/>
      <c r="D26" s="6"/>
      <c r="E26" s="77">
        <v>77.72</v>
      </c>
      <c r="F26" s="6">
        <v>91.5</v>
      </c>
      <c r="G26" s="78">
        <f t="shared" si="0"/>
        <v>7111.38</v>
      </c>
      <c r="H26" s="77">
        <v>0</v>
      </c>
      <c r="I26" s="6">
        <v>0</v>
      </c>
      <c r="J26" s="78">
        <f t="shared" si="1"/>
        <v>0</v>
      </c>
      <c r="K26" s="78">
        <f t="shared" si="2"/>
        <v>7111.38</v>
      </c>
      <c r="L26" s="78"/>
      <c r="M26" s="169">
        <f t="shared" si="6"/>
        <v>28582.189199999997</v>
      </c>
      <c r="N26" s="55" t="s">
        <v>161</v>
      </c>
    </row>
    <row r="27" spans="1:14">
      <c r="A27" s="6">
        <v>25</v>
      </c>
      <c r="B27" s="91"/>
      <c r="C27" s="6"/>
      <c r="D27" s="6"/>
      <c r="E27" s="77">
        <v>0</v>
      </c>
      <c r="F27" s="6">
        <v>0</v>
      </c>
      <c r="G27" s="78">
        <f t="shared" si="0"/>
        <v>0</v>
      </c>
      <c r="H27" s="77">
        <v>0</v>
      </c>
      <c r="I27" s="6">
        <v>0</v>
      </c>
      <c r="J27" s="78">
        <f t="shared" si="1"/>
        <v>0</v>
      </c>
      <c r="K27" s="78">
        <f t="shared" si="2"/>
        <v>0</v>
      </c>
      <c r="L27" s="78">
        <v>0</v>
      </c>
      <c r="M27" s="169">
        <f t="shared" si="6"/>
        <v>28582.189199999997</v>
      </c>
      <c r="N27" s="55" t="s">
        <v>161</v>
      </c>
    </row>
    <row r="28" spans="1:14">
      <c r="A28" s="6">
        <v>26</v>
      </c>
      <c r="B28" s="91"/>
      <c r="C28" s="6"/>
      <c r="D28" s="6"/>
      <c r="E28" s="77">
        <v>0</v>
      </c>
      <c r="F28" s="6">
        <v>0</v>
      </c>
      <c r="G28" s="78">
        <f t="shared" si="0"/>
        <v>0</v>
      </c>
      <c r="H28" s="77">
        <v>0</v>
      </c>
      <c r="I28" s="6">
        <v>0</v>
      </c>
      <c r="J28" s="78">
        <f t="shared" si="1"/>
        <v>0</v>
      </c>
      <c r="K28" s="78">
        <f t="shared" si="2"/>
        <v>0</v>
      </c>
      <c r="L28" s="78">
        <v>0</v>
      </c>
      <c r="M28" s="169">
        <f t="shared" si="6"/>
        <v>28582.189199999997</v>
      </c>
      <c r="N28" s="55" t="s">
        <v>161</v>
      </c>
    </row>
    <row r="29" spans="1:14">
      <c r="A29" s="6">
        <v>27</v>
      </c>
      <c r="B29" s="91"/>
      <c r="C29" s="6"/>
      <c r="D29" s="6"/>
      <c r="E29" s="77">
        <v>0</v>
      </c>
      <c r="F29" s="6">
        <v>0</v>
      </c>
      <c r="G29" s="78">
        <f t="shared" si="0"/>
        <v>0</v>
      </c>
      <c r="H29" s="77">
        <v>0</v>
      </c>
      <c r="I29" s="6">
        <v>0</v>
      </c>
      <c r="J29" s="78">
        <f t="shared" si="1"/>
        <v>0</v>
      </c>
      <c r="K29" s="78">
        <f t="shared" si="2"/>
        <v>0</v>
      </c>
      <c r="L29" s="78">
        <v>0</v>
      </c>
      <c r="M29" s="169">
        <f t="shared" si="6"/>
        <v>28582.189199999997</v>
      </c>
      <c r="N29" s="55" t="s">
        <v>161</v>
      </c>
    </row>
    <row r="30" spans="1:14">
      <c r="A30" s="6">
        <v>28</v>
      </c>
      <c r="B30" s="91"/>
      <c r="C30" s="6"/>
      <c r="D30" s="6"/>
      <c r="E30" s="77">
        <v>0</v>
      </c>
      <c r="F30" s="6">
        <v>0</v>
      </c>
      <c r="G30" s="78">
        <f t="shared" si="0"/>
        <v>0</v>
      </c>
      <c r="H30" s="77">
        <v>0</v>
      </c>
      <c r="I30" s="6">
        <v>0</v>
      </c>
      <c r="J30" s="78">
        <f t="shared" si="1"/>
        <v>0</v>
      </c>
      <c r="K30" s="78">
        <f t="shared" si="2"/>
        <v>0</v>
      </c>
      <c r="L30" s="78">
        <v>0</v>
      </c>
      <c r="M30" s="169">
        <f t="shared" si="6"/>
        <v>28582.189199999997</v>
      </c>
      <c r="N30" s="55" t="s">
        <v>161</v>
      </c>
    </row>
    <row r="31" spans="1:14">
      <c r="A31" s="6">
        <v>29</v>
      </c>
      <c r="B31" s="91"/>
      <c r="C31" s="6"/>
      <c r="D31" s="6"/>
      <c r="E31" s="77">
        <v>0</v>
      </c>
      <c r="F31" s="6">
        <v>0</v>
      </c>
      <c r="G31" s="78">
        <f t="shared" si="0"/>
        <v>0</v>
      </c>
      <c r="H31" s="77">
        <v>0</v>
      </c>
      <c r="I31" s="6">
        <v>0</v>
      </c>
      <c r="J31" s="78">
        <f t="shared" si="1"/>
        <v>0</v>
      </c>
      <c r="K31" s="78">
        <f t="shared" si="2"/>
        <v>0</v>
      </c>
      <c r="L31" s="78">
        <v>0</v>
      </c>
      <c r="M31" s="169">
        <f t="shared" si="6"/>
        <v>28582.189199999997</v>
      </c>
      <c r="N31" s="55" t="s">
        <v>161</v>
      </c>
    </row>
    <row r="32" spans="1:14">
      <c r="A32" s="6">
        <v>30</v>
      </c>
      <c r="B32" s="91"/>
      <c r="C32" s="6"/>
      <c r="D32" s="6"/>
      <c r="E32" s="77">
        <v>0</v>
      </c>
      <c r="F32" s="6">
        <v>0</v>
      </c>
      <c r="G32" s="78">
        <f t="shared" si="0"/>
        <v>0</v>
      </c>
      <c r="H32" s="77">
        <v>0</v>
      </c>
      <c r="I32" s="6">
        <v>0</v>
      </c>
      <c r="J32" s="78">
        <f t="shared" si="1"/>
        <v>0</v>
      </c>
      <c r="K32" s="78">
        <f t="shared" si="2"/>
        <v>0</v>
      </c>
      <c r="L32" s="78">
        <v>0</v>
      </c>
      <c r="M32" s="169">
        <v>0</v>
      </c>
      <c r="N32" s="55" t="s">
        <v>161</v>
      </c>
    </row>
    <row r="33" spans="1:15">
      <c r="A33" s="6">
        <v>31</v>
      </c>
      <c r="B33" s="91"/>
      <c r="C33" s="6"/>
      <c r="D33" s="6"/>
      <c r="E33" s="77">
        <v>0</v>
      </c>
      <c r="F33" s="6">
        <v>0</v>
      </c>
      <c r="G33" s="78">
        <f t="shared" si="0"/>
        <v>0</v>
      </c>
      <c r="H33" s="77">
        <v>0</v>
      </c>
      <c r="I33" s="6">
        <v>0</v>
      </c>
      <c r="J33" s="78">
        <f t="shared" si="1"/>
        <v>0</v>
      </c>
      <c r="K33" s="78">
        <f t="shared" si="2"/>
        <v>0</v>
      </c>
      <c r="L33" s="78">
        <v>0</v>
      </c>
      <c r="M33" s="169">
        <v>0</v>
      </c>
      <c r="N33" s="55" t="s">
        <v>161</v>
      </c>
    </row>
    <row r="34" spans="1:15">
      <c r="A34" s="6">
        <v>32</v>
      </c>
      <c r="B34" s="91"/>
      <c r="C34" s="6"/>
      <c r="D34" s="6"/>
      <c r="E34" s="77">
        <v>0</v>
      </c>
      <c r="F34" s="6">
        <v>0</v>
      </c>
      <c r="G34" s="78">
        <f t="shared" si="0"/>
        <v>0</v>
      </c>
      <c r="H34" s="77">
        <v>0</v>
      </c>
      <c r="I34" s="6">
        <v>0</v>
      </c>
      <c r="J34" s="78">
        <f t="shared" si="1"/>
        <v>0</v>
      </c>
      <c r="K34" s="78">
        <f t="shared" si="2"/>
        <v>0</v>
      </c>
      <c r="L34" s="78">
        <v>0</v>
      </c>
      <c r="M34" s="169">
        <v>0</v>
      </c>
      <c r="N34" s="55" t="s">
        <v>161</v>
      </c>
    </row>
    <row r="35" spans="1:15">
      <c r="A35" s="6">
        <v>33</v>
      </c>
      <c r="B35" s="91"/>
      <c r="C35" s="6"/>
      <c r="D35" s="6"/>
      <c r="E35" s="77">
        <v>0</v>
      </c>
      <c r="F35" s="6">
        <v>0</v>
      </c>
      <c r="G35" s="78">
        <f t="shared" si="0"/>
        <v>0</v>
      </c>
      <c r="H35" s="77">
        <v>0</v>
      </c>
      <c r="I35" s="6">
        <v>0</v>
      </c>
      <c r="J35" s="78">
        <f t="shared" si="1"/>
        <v>0</v>
      </c>
      <c r="K35" s="78">
        <f t="shared" si="2"/>
        <v>0</v>
      </c>
      <c r="L35" s="78">
        <v>0</v>
      </c>
      <c r="M35" s="169">
        <v>0</v>
      </c>
      <c r="N35" s="55" t="s">
        <v>161</v>
      </c>
    </row>
    <row r="36" spans="1:15">
      <c r="A36" s="6">
        <v>34</v>
      </c>
      <c r="B36" s="91"/>
      <c r="C36" s="6"/>
      <c r="D36" s="6"/>
      <c r="E36" s="77">
        <v>0</v>
      </c>
      <c r="F36" s="6">
        <v>0</v>
      </c>
      <c r="G36" s="78">
        <f t="shared" si="0"/>
        <v>0</v>
      </c>
      <c r="H36" s="77">
        <v>0</v>
      </c>
      <c r="I36" s="6">
        <v>0</v>
      </c>
      <c r="J36" s="78">
        <f t="shared" si="1"/>
        <v>0</v>
      </c>
      <c r="K36" s="78">
        <f t="shared" si="2"/>
        <v>0</v>
      </c>
      <c r="L36" s="78">
        <v>0</v>
      </c>
      <c r="M36" s="169">
        <v>0</v>
      </c>
      <c r="N36" s="55" t="s">
        <v>161</v>
      </c>
    </row>
    <row r="37" spans="1:15">
      <c r="A37" s="6">
        <v>35</v>
      </c>
      <c r="B37" s="91"/>
      <c r="C37" s="6"/>
      <c r="D37" s="6"/>
      <c r="E37" s="77">
        <v>0</v>
      </c>
      <c r="F37" s="6">
        <v>0</v>
      </c>
      <c r="G37" s="78">
        <f t="shared" si="0"/>
        <v>0</v>
      </c>
      <c r="H37" s="77">
        <v>0</v>
      </c>
      <c r="I37" s="6">
        <v>0</v>
      </c>
      <c r="J37" s="78">
        <f t="shared" si="1"/>
        <v>0</v>
      </c>
      <c r="K37" s="78">
        <f t="shared" si="2"/>
        <v>0</v>
      </c>
      <c r="L37" s="78">
        <v>0</v>
      </c>
      <c r="M37" s="169">
        <v>0</v>
      </c>
      <c r="N37" s="55" t="s">
        <v>161</v>
      </c>
    </row>
    <row r="38" spans="1:15">
      <c r="A38" s="6">
        <v>36</v>
      </c>
      <c r="B38" s="91"/>
      <c r="C38" s="6"/>
      <c r="D38" s="6"/>
      <c r="E38" s="77">
        <v>0</v>
      </c>
      <c r="F38" s="6">
        <v>0</v>
      </c>
      <c r="G38" s="78">
        <f t="shared" ref="G38:G44" si="7">E38*F38</f>
        <v>0</v>
      </c>
      <c r="H38" s="77">
        <v>0</v>
      </c>
      <c r="I38" s="6">
        <v>0</v>
      </c>
      <c r="J38" s="78">
        <f>H38*I38</f>
        <v>0</v>
      </c>
      <c r="K38" s="78">
        <f t="shared" ref="K38:K44" si="8">G38+J38</f>
        <v>0</v>
      </c>
      <c r="L38" s="78">
        <v>0</v>
      </c>
      <c r="M38" s="169">
        <v>0</v>
      </c>
      <c r="N38" s="55" t="s">
        <v>161</v>
      </c>
    </row>
    <row r="39" spans="1:15">
      <c r="A39" s="6">
        <v>37</v>
      </c>
      <c r="B39" s="91"/>
      <c r="C39" s="6"/>
      <c r="D39" s="6"/>
      <c r="E39" s="77">
        <v>0</v>
      </c>
      <c r="F39" s="6">
        <v>0</v>
      </c>
      <c r="G39" s="78">
        <f t="shared" si="7"/>
        <v>0</v>
      </c>
      <c r="H39" s="77">
        <v>0</v>
      </c>
      <c r="I39" s="6">
        <v>0</v>
      </c>
      <c r="J39" s="78">
        <f>H39*I39</f>
        <v>0</v>
      </c>
      <c r="K39" s="78">
        <f t="shared" si="8"/>
        <v>0</v>
      </c>
      <c r="L39" s="78">
        <v>0</v>
      </c>
      <c r="M39" s="169">
        <v>0</v>
      </c>
      <c r="N39" s="55" t="s">
        <v>161</v>
      </c>
    </row>
    <row r="40" spans="1:15">
      <c r="A40" s="6">
        <v>38</v>
      </c>
      <c r="B40" s="91"/>
      <c r="C40" s="6"/>
      <c r="D40" s="6"/>
      <c r="E40" s="77">
        <v>0</v>
      </c>
      <c r="F40" s="6">
        <v>0</v>
      </c>
      <c r="G40" s="78">
        <f t="shared" si="7"/>
        <v>0</v>
      </c>
      <c r="H40" s="77">
        <v>0</v>
      </c>
      <c r="I40" s="6">
        <v>0</v>
      </c>
      <c r="J40" s="78">
        <f>H40*I40</f>
        <v>0</v>
      </c>
      <c r="K40" s="78">
        <f t="shared" si="8"/>
        <v>0</v>
      </c>
      <c r="L40" s="183">
        <f t="shared" ref="L40:L44" si="9">+K40</f>
        <v>0</v>
      </c>
      <c r="M40" s="169">
        <v>0</v>
      </c>
      <c r="N40" s="55" t="s">
        <v>161</v>
      </c>
    </row>
    <row r="41" spans="1:15">
      <c r="A41" s="193">
        <v>39</v>
      </c>
      <c r="B41" s="194"/>
      <c r="C41" s="193"/>
      <c r="D41" s="6"/>
      <c r="E41" s="77">
        <v>0</v>
      </c>
      <c r="F41" s="6">
        <v>0</v>
      </c>
      <c r="G41" s="78">
        <f t="shared" si="7"/>
        <v>0</v>
      </c>
      <c r="H41" s="77">
        <v>0</v>
      </c>
      <c r="I41" s="6">
        <v>0</v>
      </c>
      <c r="J41" s="78">
        <f>H41*I41</f>
        <v>0</v>
      </c>
      <c r="K41" s="78">
        <f t="shared" si="8"/>
        <v>0</v>
      </c>
      <c r="L41" s="183">
        <f t="shared" si="9"/>
        <v>0</v>
      </c>
      <c r="M41" s="169">
        <v>0</v>
      </c>
      <c r="N41" s="55" t="s">
        <v>161</v>
      </c>
    </row>
    <row r="42" spans="1:15">
      <c r="A42" s="6">
        <v>40</v>
      </c>
      <c r="B42" s="6"/>
      <c r="C42" s="6"/>
      <c r="D42" s="6"/>
      <c r="E42" s="77">
        <v>0</v>
      </c>
      <c r="F42" s="6">
        <v>0</v>
      </c>
      <c r="G42" s="78">
        <f t="shared" si="7"/>
        <v>0</v>
      </c>
      <c r="H42" s="77">
        <v>0</v>
      </c>
      <c r="I42" s="6">
        <v>0</v>
      </c>
      <c r="J42" s="78">
        <f>H42*I42</f>
        <v>0</v>
      </c>
      <c r="K42" s="78">
        <f t="shared" si="8"/>
        <v>0</v>
      </c>
      <c r="L42" s="183">
        <f t="shared" si="9"/>
        <v>0</v>
      </c>
      <c r="M42" s="169">
        <v>0</v>
      </c>
      <c r="N42" s="55" t="s">
        <v>161</v>
      </c>
    </row>
    <row r="43" spans="1:15">
      <c r="A43" s="193">
        <v>41</v>
      </c>
      <c r="B43" s="193"/>
      <c r="C43" s="193"/>
      <c r="D43" s="6"/>
      <c r="E43" s="77">
        <v>0</v>
      </c>
      <c r="F43" s="6">
        <v>0</v>
      </c>
      <c r="G43" s="78">
        <f t="shared" si="7"/>
        <v>0</v>
      </c>
      <c r="H43" s="77">
        <v>0</v>
      </c>
      <c r="I43" s="6">
        <v>0</v>
      </c>
      <c r="J43" s="78">
        <f>H43*I43</f>
        <v>0</v>
      </c>
      <c r="K43" s="78">
        <f t="shared" si="8"/>
        <v>0</v>
      </c>
      <c r="L43" s="183">
        <f t="shared" si="9"/>
        <v>0</v>
      </c>
      <c r="M43" s="169">
        <v>0</v>
      </c>
      <c r="N43" s="55" t="s">
        <v>161</v>
      </c>
    </row>
    <row r="44" spans="1:15">
      <c r="A44" s="193">
        <v>42</v>
      </c>
      <c r="B44" s="193"/>
      <c r="C44" s="193"/>
      <c r="D44" s="6"/>
      <c r="E44" s="77">
        <v>0</v>
      </c>
      <c r="F44" s="6">
        <v>0</v>
      </c>
      <c r="G44" s="78">
        <f t="shared" si="7"/>
        <v>0</v>
      </c>
      <c r="H44" s="77">
        <v>0</v>
      </c>
      <c r="I44" s="6">
        <v>0</v>
      </c>
      <c r="J44" s="78">
        <f>H44*I44</f>
        <v>0</v>
      </c>
      <c r="K44" s="78">
        <f t="shared" si="8"/>
        <v>0</v>
      </c>
      <c r="L44" s="183">
        <f t="shared" si="9"/>
        <v>0</v>
      </c>
      <c r="M44" s="169">
        <v>0</v>
      </c>
      <c r="N44" s="55" t="s">
        <v>161</v>
      </c>
    </row>
    <row r="45" spans="1:15">
      <c r="A45" s="74"/>
      <c r="B45" s="74"/>
      <c r="C45" s="74"/>
      <c r="D45" s="74"/>
      <c r="E45" s="75">
        <f>SUM(E4:E44)</f>
        <v>1558.26</v>
      </c>
      <c r="F45" s="75"/>
      <c r="G45" s="75">
        <f>SUM(G4:G44)</f>
        <v>142580.79</v>
      </c>
      <c r="H45" s="75">
        <f>SUM(H4:H44)</f>
        <v>72.679999999999993</v>
      </c>
      <c r="I45" s="75"/>
      <c r="J45" s="75">
        <f>SUM(J4:J44)</f>
        <v>7518.0192000000006</v>
      </c>
      <c r="K45" s="75">
        <f>SUM(K4:K44)</f>
        <v>150098.80919999999</v>
      </c>
      <c r="L45" s="75">
        <f>SUM(L4:L44)</f>
        <v>124004.61999999998</v>
      </c>
      <c r="M45" s="75"/>
      <c r="N45" s="75"/>
      <c r="O45" s="71"/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1640F-B265-4AE1-820B-14F38CA64D84}">
  <sheetPr>
    <tabColor rgb="FF92D050"/>
  </sheetPr>
  <dimension ref="A1:O36"/>
  <sheetViews>
    <sheetView workbookViewId="0">
      <pane ySplit="2" topLeftCell="A21" activePane="bottomLeft" state="frozen"/>
      <selection pane="bottomLeft" activeCell="I41" sqref="I41"/>
    </sheetView>
  </sheetViews>
  <sheetFormatPr defaultRowHeight="15"/>
  <cols>
    <col min="1" max="1" width="5.28515625" style="5" bestFit="1" customWidth="1"/>
    <col min="2" max="2" width="16" style="5" bestFit="1" customWidth="1"/>
    <col min="3" max="3" width="8.140625" style="5" bestFit="1" customWidth="1"/>
    <col min="4" max="4" width="13.7109375" style="5" bestFit="1" customWidth="1"/>
    <col min="5" max="5" width="10.85546875" style="5" bestFit="1" customWidth="1"/>
    <col min="6" max="6" width="12.28515625" style="5" bestFit="1" customWidth="1"/>
    <col min="7" max="7" width="14.42578125" style="5" customWidth="1"/>
    <col min="8" max="8" width="10.85546875" style="5" bestFit="1" customWidth="1"/>
    <col min="9" max="9" width="8" style="5" bestFit="1" customWidth="1"/>
    <col min="10" max="10" width="9.7109375" style="5" bestFit="1" customWidth="1"/>
    <col min="11" max="11" width="13.5703125" style="5" bestFit="1" customWidth="1"/>
    <col min="12" max="12" width="12.7109375" style="5" bestFit="1" customWidth="1"/>
    <col min="13" max="13" width="14.42578125" style="5" customWidth="1"/>
    <col min="14" max="14" width="17.28515625" style="5" customWidth="1"/>
    <col min="15" max="16384" width="9.140625" style="5"/>
  </cols>
  <sheetData>
    <row r="1" spans="1:15" ht="15.75">
      <c r="A1" s="464" t="s">
        <v>82</v>
      </c>
      <c r="B1" s="464"/>
      <c r="C1" s="464"/>
      <c r="D1" s="464"/>
      <c r="E1" s="464"/>
      <c r="F1" s="464"/>
      <c r="G1" s="464"/>
      <c r="H1" s="464"/>
      <c r="I1" s="464"/>
      <c r="J1" s="464"/>
      <c r="K1" s="464"/>
      <c r="L1" s="464"/>
      <c r="M1" s="464"/>
      <c r="N1" s="464"/>
      <c r="O1" s="65"/>
    </row>
    <row r="2" spans="1:15">
      <c r="A2" s="111" t="s">
        <v>102</v>
      </c>
      <c r="B2" s="112" t="s">
        <v>103</v>
      </c>
      <c r="C2" s="112" t="s">
        <v>104</v>
      </c>
      <c r="D2" s="112" t="s">
        <v>150</v>
      </c>
      <c r="E2" s="112" t="s">
        <v>106</v>
      </c>
      <c r="F2" s="112" t="s">
        <v>107</v>
      </c>
      <c r="G2" s="112" t="s">
        <v>108</v>
      </c>
      <c r="H2" s="112" t="s">
        <v>109</v>
      </c>
      <c r="I2" s="112" t="s">
        <v>107</v>
      </c>
      <c r="J2" s="153" t="s">
        <v>108</v>
      </c>
      <c r="K2" s="113" t="s">
        <v>110</v>
      </c>
      <c r="L2" s="154" t="s">
        <v>111</v>
      </c>
      <c r="M2" s="159" t="s">
        <v>149</v>
      </c>
      <c r="N2" s="114" t="s">
        <v>113</v>
      </c>
      <c r="O2" s="71"/>
    </row>
    <row r="3" spans="1:15">
      <c r="A3" s="176"/>
      <c r="B3" s="19" t="s">
        <v>114</v>
      </c>
      <c r="C3" s="177"/>
      <c r="D3" s="177"/>
      <c r="E3" s="177"/>
      <c r="F3" s="177"/>
      <c r="G3" s="177"/>
      <c r="H3" s="177"/>
      <c r="I3" s="177"/>
      <c r="J3" s="178"/>
      <c r="K3" s="249">
        <v>77981.336900000009</v>
      </c>
      <c r="L3" s="179"/>
      <c r="M3" s="93">
        <f>+K3</f>
        <v>77981.336900000009</v>
      </c>
      <c r="N3" s="177"/>
      <c r="O3" s="71">
        <v>237866.59349999996</v>
      </c>
    </row>
    <row r="4" spans="1:15">
      <c r="A4" s="231">
        <v>1</v>
      </c>
      <c r="B4" s="266">
        <v>45809</v>
      </c>
      <c r="C4" s="79"/>
      <c r="D4" s="180"/>
      <c r="E4" s="77">
        <v>72.069999999999993</v>
      </c>
      <c r="F4" s="6">
        <v>90.23</v>
      </c>
      <c r="G4" s="8">
        <f>E4*F4</f>
        <v>6502.8760999999995</v>
      </c>
      <c r="H4" s="77">
        <v>1.19</v>
      </c>
      <c r="I4" s="6">
        <v>102.16</v>
      </c>
      <c r="J4" s="8">
        <f>H4*I4</f>
        <v>121.57039999999999</v>
      </c>
      <c r="K4" s="8">
        <f>G4+J4</f>
        <v>6624.4464999999991</v>
      </c>
      <c r="L4" s="80"/>
      <c r="M4" s="80">
        <f>M3+K4-L4</f>
        <v>84605.783400000015</v>
      </c>
      <c r="N4" s="47"/>
      <c r="O4" s="81"/>
    </row>
    <row r="5" spans="1:15">
      <c r="A5" s="55">
        <v>2</v>
      </c>
      <c r="B5" s="266">
        <v>45810</v>
      </c>
      <c r="C5" s="79"/>
      <c r="D5" s="83"/>
      <c r="E5" s="77">
        <v>5</v>
      </c>
      <c r="F5" s="6">
        <v>90.23</v>
      </c>
      <c r="G5" s="8">
        <f>E5*F5</f>
        <v>451.15000000000003</v>
      </c>
      <c r="H5" s="77">
        <v>0</v>
      </c>
      <c r="I5" s="6">
        <v>0</v>
      </c>
      <c r="J5" s="8">
        <f t="shared" ref="J5:J34" si="0">H5*I5</f>
        <v>0</v>
      </c>
      <c r="K5" s="8">
        <f t="shared" ref="K5:K34" si="1">G5+J5</f>
        <v>451.15000000000003</v>
      </c>
      <c r="L5" s="80"/>
      <c r="M5" s="80">
        <f t="shared" ref="M5:M19" si="2">M4+K5-L5</f>
        <v>85056.933400000009</v>
      </c>
      <c r="N5" s="47"/>
      <c r="O5" s="81"/>
    </row>
    <row r="6" spans="1:15">
      <c r="A6" s="55">
        <v>3</v>
      </c>
      <c r="B6" s="266">
        <v>45811</v>
      </c>
      <c r="C6" s="79"/>
      <c r="D6" s="83"/>
      <c r="E6" s="77">
        <v>0</v>
      </c>
      <c r="F6" s="6">
        <v>0</v>
      </c>
      <c r="G6" s="8">
        <f t="shared" ref="G6:G34" si="3">E6*F6</f>
        <v>0</v>
      </c>
      <c r="H6" s="77">
        <v>8.66</v>
      </c>
      <c r="I6" s="6">
        <v>102.16</v>
      </c>
      <c r="J6" s="8">
        <f t="shared" si="0"/>
        <v>884.7056</v>
      </c>
      <c r="K6" s="8">
        <f t="shared" si="1"/>
        <v>884.7056</v>
      </c>
      <c r="L6" s="80"/>
      <c r="M6" s="80">
        <f t="shared" si="2"/>
        <v>85941.63900000001</v>
      </c>
      <c r="N6" s="47"/>
      <c r="O6" s="81"/>
    </row>
    <row r="7" spans="1:15">
      <c r="A7" s="55">
        <v>4</v>
      </c>
      <c r="B7" s="266">
        <v>45812</v>
      </c>
      <c r="C7" s="79"/>
      <c r="D7" s="83"/>
      <c r="E7" s="77">
        <v>150</v>
      </c>
      <c r="F7" s="6">
        <v>90.23</v>
      </c>
      <c r="G7" s="8">
        <f t="shared" si="3"/>
        <v>13534.5</v>
      </c>
      <c r="H7" s="77">
        <v>0</v>
      </c>
      <c r="I7" s="6">
        <v>0</v>
      </c>
      <c r="J7" s="8">
        <f t="shared" si="0"/>
        <v>0</v>
      </c>
      <c r="K7" s="8">
        <f t="shared" si="1"/>
        <v>13534.5</v>
      </c>
      <c r="L7" s="80"/>
      <c r="M7" s="80">
        <f t="shared" si="2"/>
        <v>99476.13900000001</v>
      </c>
      <c r="N7" s="47"/>
      <c r="O7" s="81"/>
    </row>
    <row r="8" spans="1:15">
      <c r="A8" s="55">
        <v>5</v>
      </c>
      <c r="B8" s="266">
        <v>45813</v>
      </c>
      <c r="C8" s="79"/>
      <c r="D8" s="83"/>
      <c r="E8" s="77">
        <v>66.599999999999994</v>
      </c>
      <c r="F8" s="6">
        <v>90.23</v>
      </c>
      <c r="G8" s="8">
        <f t="shared" si="3"/>
        <v>6009.3179999999993</v>
      </c>
      <c r="H8" s="77">
        <v>2</v>
      </c>
      <c r="I8" s="6">
        <v>102.16</v>
      </c>
      <c r="J8" s="8">
        <f t="shared" si="0"/>
        <v>204.32</v>
      </c>
      <c r="K8" s="8">
        <f t="shared" si="1"/>
        <v>6213.637999999999</v>
      </c>
      <c r="L8" s="80">
        <v>102795</v>
      </c>
      <c r="M8" s="80">
        <f t="shared" si="2"/>
        <v>2894.7770000000019</v>
      </c>
      <c r="N8" s="47"/>
      <c r="O8" s="81"/>
    </row>
    <row r="9" spans="1:15">
      <c r="A9" s="55">
        <v>6</v>
      </c>
      <c r="B9" s="266">
        <v>45814</v>
      </c>
      <c r="C9" s="79"/>
      <c r="D9" s="83"/>
      <c r="E9" s="77">
        <v>0</v>
      </c>
      <c r="F9" s="6">
        <v>0</v>
      </c>
      <c r="G9" s="8">
        <f t="shared" si="3"/>
        <v>0</v>
      </c>
      <c r="H9" s="77">
        <v>0</v>
      </c>
      <c r="I9" s="6">
        <v>0</v>
      </c>
      <c r="J9" s="8">
        <f t="shared" si="0"/>
        <v>0</v>
      </c>
      <c r="K9" s="8">
        <f t="shared" si="1"/>
        <v>0</v>
      </c>
      <c r="L9" s="80"/>
      <c r="M9" s="80">
        <f t="shared" si="2"/>
        <v>2894.7770000000019</v>
      </c>
      <c r="N9" s="47"/>
      <c r="O9" s="81"/>
    </row>
    <row r="10" spans="1:15">
      <c r="A10" s="55">
        <v>7</v>
      </c>
      <c r="B10" s="266">
        <v>45815</v>
      </c>
      <c r="C10" s="79"/>
      <c r="D10" s="83"/>
      <c r="E10" s="77">
        <v>0</v>
      </c>
      <c r="F10" s="6">
        <v>0</v>
      </c>
      <c r="G10" s="8">
        <f t="shared" si="3"/>
        <v>0</v>
      </c>
      <c r="H10" s="77">
        <v>0</v>
      </c>
      <c r="I10" s="6">
        <v>0</v>
      </c>
      <c r="J10" s="8">
        <f t="shared" si="0"/>
        <v>0</v>
      </c>
      <c r="K10" s="8">
        <f t="shared" si="1"/>
        <v>0</v>
      </c>
      <c r="L10" s="80"/>
      <c r="M10" s="80">
        <f t="shared" si="2"/>
        <v>2894.7770000000019</v>
      </c>
      <c r="N10" s="47"/>
      <c r="O10" s="81"/>
    </row>
    <row r="11" spans="1:15">
      <c r="A11" s="55">
        <v>8</v>
      </c>
      <c r="B11" s="266">
        <v>45816</v>
      </c>
      <c r="C11" s="79"/>
      <c r="D11" s="83"/>
      <c r="E11" s="77">
        <v>0</v>
      </c>
      <c r="F11" s="6">
        <v>0</v>
      </c>
      <c r="G11" s="8">
        <f t="shared" si="3"/>
        <v>0</v>
      </c>
      <c r="H11" s="77">
        <v>0</v>
      </c>
      <c r="I11" s="6">
        <v>0</v>
      </c>
      <c r="J11" s="8">
        <f t="shared" si="0"/>
        <v>0</v>
      </c>
      <c r="K11" s="8">
        <f t="shared" si="1"/>
        <v>0</v>
      </c>
      <c r="L11" s="80"/>
      <c r="M11" s="80">
        <f t="shared" si="2"/>
        <v>2894.7770000000019</v>
      </c>
      <c r="N11" s="47"/>
      <c r="O11" s="81"/>
    </row>
    <row r="12" spans="1:15">
      <c r="A12" s="55">
        <v>9</v>
      </c>
      <c r="B12" s="266">
        <v>45817</v>
      </c>
      <c r="C12" s="79"/>
      <c r="D12" s="83"/>
      <c r="E12" s="77">
        <v>0</v>
      </c>
      <c r="F12" s="6">
        <v>0</v>
      </c>
      <c r="G12" s="8">
        <f t="shared" si="3"/>
        <v>0</v>
      </c>
      <c r="H12" s="77">
        <v>0</v>
      </c>
      <c r="I12" s="6">
        <v>0</v>
      </c>
      <c r="J12" s="8">
        <f t="shared" si="0"/>
        <v>0</v>
      </c>
      <c r="K12" s="8">
        <f t="shared" si="1"/>
        <v>0</v>
      </c>
      <c r="L12" s="80"/>
      <c r="M12" s="80">
        <f t="shared" si="2"/>
        <v>2894.7770000000019</v>
      </c>
      <c r="N12" s="47"/>
      <c r="O12" s="81"/>
    </row>
    <row r="13" spans="1:15">
      <c r="A13" s="55">
        <v>10</v>
      </c>
      <c r="B13" s="266">
        <v>45818</v>
      </c>
      <c r="C13" s="219"/>
      <c r="D13" s="220"/>
      <c r="E13" s="77">
        <v>0</v>
      </c>
      <c r="F13" s="6">
        <v>0</v>
      </c>
      <c r="G13" s="8">
        <f t="shared" si="3"/>
        <v>0</v>
      </c>
      <c r="H13" s="77">
        <v>7.62</v>
      </c>
      <c r="I13" s="6">
        <v>102.16</v>
      </c>
      <c r="J13" s="8">
        <f t="shared" si="0"/>
        <v>778.45920000000001</v>
      </c>
      <c r="K13" s="8">
        <f t="shared" si="1"/>
        <v>778.45920000000001</v>
      </c>
      <c r="L13" s="80"/>
      <c r="M13" s="80">
        <f>M12+K13-L13</f>
        <v>3673.2362000000021</v>
      </c>
      <c r="N13" s="47"/>
      <c r="O13" s="81"/>
    </row>
    <row r="14" spans="1:15">
      <c r="A14" s="55">
        <v>11</v>
      </c>
      <c r="B14" s="266">
        <v>45819</v>
      </c>
      <c r="C14" s="200"/>
      <c r="D14" s="200"/>
      <c r="E14" s="77">
        <v>34.06</v>
      </c>
      <c r="F14" s="6">
        <v>90.23</v>
      </c>
      <c r="G14" s="8">
        <f t="shared" si="3"/>
        <v>3073.2338000000004</v>
      </c>
      <c r="H14" s="77">
        <v>0</v>
      </c>
      <c r="I14" s="6">
        <v>0</v>
      </c>
      <c r="J14" s="8">
        <f t="shared" si="0"/>
        <v>0</v>
      </c>
      <c r="K14" s="8">
        <f t="shared" si="1"/>
        <v>3073.2338000000004</v>
      </c>
      <c r="L14" s="80"/>
      <c r="M14" s="80">
        <f t="shared" si="2"/>
        <v>6746.470000000003</v>
      </c>
      <c r="N14" s="47"/>
      <c r="O14" s="81"/>
    </row>
    <row r="15" spans="1:15">
      <c r="A15" s="55">
        <v>12</v>
      </c>
      <c r="B15" s="266">
        <v>45820</v>
      </c>
      <c r="C15" s="200"/>
      <c r="D15" s="200"/>
      <c r="E15" s="77">
        <v>44</v>
      </c>
      <c r="F15" s="6">
        <v>90.23</v>
      </c>
      <c r="G15" s="8">
        <f t="shared" si="3"/>
        <v>3970.1200000000003</v>
      </c>
      <c r="H15" s="77">
        <v>0</v>
      </c>
      <c r="I15" s="6">
        <v>0</v>
      </c>
      <c r="J15" s="8">
        <f t="shared" si="0"/>
        <v>0</v>
      </c>
      <c r="K15" s="8">
        <f t="shared" si="1"/>
        <v>3970.1200000000003</v>
      </c>
      <c r="L15" s="80"/>
      <c r="M15" s="80">
        <f t="shared" si="2"/>
        <v>10716.590000000004</v>
      </c>
      <c r="N15" s="47"/>
      <c r="O15" s="81"/>
    </row>
    <row r="16" spans="1:15">
      <c r="A16" s="55">
        <v>13</v>
      </c>
      <c r="B16" s="266">
        <v>45821</v>
      </c>
      <c r="C16" s="200"/>
      <c r="D16" s="200"/>
      <c r="E16" s="77">
        <v>80</v>
      </c>
      <c r="F16" s="6">
        <v>90.23</v>
      </c>
      <c r="G16" s="8">
        <f t="shared" si="3"/>
        <v>7218.4000000000005</v>
      </c>
      <c r="H16" s="77">
        <v>15.15</v>
      </c>
      <c r="I16" s="6">
        <v>102.16</v>
      </c>
      <c r="J16" s="8">
        <f t="shared" si="0"/>
        <v>1547.7239999999999</v>
      </c>
      <c r="K16" s="8">
        <f t="shared" si="1"/>
        <v>8766.1239999999998</v>
      </c>
      <c r="L16" s="80"/>
      <c r="M16" s="80">
        <f t="shared" si="2"/>
        <v>19482.714000000004</v>
      </c>
      <c r="N16" s="47"/>
      <c r="O16" s="81"/>
    </row>
    <row r="17" spans="1:15">
      <c r="A17" s="55">
        <v>14</v>
      </c>
      <c r="B17" s="266">
        <v>45822</v>
      </c>
      <c r="C17" s="200"/>
      <c r="D17" s="200"/>
      <c r="E17" s="77">
        <v>0</v>
      </c>
      <c r="F17" s="6">
        <v>0</v>
      </c>
      <c r="G17" s="8">
        <f t="shared" si="3"/>
        <v>0</v>
      </c>
      <c r="H17" s="77">
        <v>0</v>
      </c>
      <c r="I17" s="6">
        <v>0</v>
      </c>
      <c r="J17" s="8">
        <f t="shared" si="0"/>
        <v>0</v>
      </c>
      <c r="K17" s="8">
        <f t="shared" si="1"/>
        <v>0</v>
      </c>
      <c r="L17" s="80"/>
      <c r="M17" s="80">
        <f t="shared" si="2"/>
        <v>19482.714000000004</v>
      </c>
      <c r="N17" s="47"/>
      <c r="O17" s="81"/>
    </row>
    <row r="18" spans="1:15">
      <c r="A18" s="55">
        <v>15</v>
      </c>
      <c r="B18" s="266">
        <v>45823</v>
      </c>
      <c r="C18" s="200"/>
      <c r="D18" s="200"/>
      <c r="E18" s="77">
        <v>0</v>
      </c>
      <c r="F18" s="6">
        <v>0</v>
      </c>
      <c r="G18" s="8">
        <f t="shared" si="3"/>
        <v>0</v>
      </c>
      <c r="H18" s="77">
        <v>0</v>
      </c>
      <c r="I18" s="6">
        <v>0</v>
      </c>
      <c r="J18" s="8">
        <f t="shared" si="0"/>
        <v>0</v>
      </c>
      <c r="K18" s="8">
        <f t="shared" si="1"/>
        <v>0</v>
      </c>
      <c r="L18" s="80"/>
      <c r="M18" s="80">
        <f t="shared" si="2"/>
        <v>19482.714000000004</v>
      </c>
      <c r="N18" s="47"/>
      <c r="O18" s="81"/>
    </row>
    <row r="19" spans="1:15">
      <c r="A19" s="55">
        <v>16</v>
      </c>
      <c r="B19" s="266">
        <v>45824</v>
      </c>
      <c r="C19" s="200"/>
      <c r="D19" s="200"/>
      <c r="E19" s="77">
        <v>0</v>
      </c>
      <c r="F19" s="6">
        <v>0</v>
      </c>
      <c r="G19" s="8">
        <f t="shared" si="3"/>
        <v>0</v>
      </c>
      <c r="H19" s="77">
        <v>0</v>
      </c>
      <c r="I19" s="6">
        <v>0</v>
      </c>
      <c r="J19" s="8">
        <f t="shared" si="0"/>
        <v>0</v>
      </c>
      <c r="K19" s="8">
        <f t="shared" si="1"/>
        <v>0</v>
      </c>
      <c r="L19" s="80"/>
      <c r="M19" s="80">
        <f t="shared" si="2"/>
        <v>19482.714000000004</v>
      </c>
      <c r="N19" s="47"/>
      <c r="O19" s="81"/>
    </row>
    <row r="20" spans="1:15">
      <c r="A20" s="55">
        <v>17</v>
      </c>
      <c r="B20" s="266">
        <v>45825</v>
      </c>
      <c r="C20" s="200"/>
      <c r="D20" s="200"/>
      <c r="E20" s="77">
        <v>0</v>
      </c>
      <c r="F20" s="6">
        <v>0</v>
      </c>
      <c r="G20" s="8">
        <f t="shared" si="3"/>
        <v>0</v>
      </c>
      <c r="H20" s="77">
        <v>0</v>
      </c>
      <c r="I20" s="6">
        <v>0</v>
      </c>
      <c r="J20" s="8">
        <f t="shared" si="0"/>
        <v>0</v>
      </c>
      <c r="K20" s="8">
        <f t="shared" si="1"/>
        <v>0</v>
      </c>
      <c r="L20" s="80"/>
      <c r="M20" s="80">
        <f t="shared" ref="M20:M34" si="4">M19+K20-L20</f>
        <v>19482.714000000004</v>
      </c>
      <c r="N20" s="47"/>
      <c r="O20" s="81"/>
    </row>
    <row r="21" spans="1:15">
      <c r="A21" s="55">
        <v>18</v>
      </c>
      <c r="B21" s="266">
        <v>45826</v>
      </c>
      <c r="C21" s="200"/>
      <c r="D21" s="200"/>
      <c r="E21" s="77">
        <v>0</v>
      </c>
      <c r="F21" s="6">
        <v>0</v>
      </c>
      <c r="G21" s="8">
        <f t="shared" si="3"/>
        <v>0</v>
      </c>
      <c r="H21" s="77">
        <v>2.29</v>
      </c>
      <c r="I21" s="6">
        <v>102.16</v>
      </c>
      <c r="J21" s="8">
        <f t="shared" si="0"/>
        <v>233.94639999999998</v>
      </c>
      <c r="K21" s="8">
        <f t="shared" si="1"/>
        <v>233.94639999999998</v>
      </c>
      <c r="L21" s="80"/>
      <c r="M21" s="80">
        <f t="shared" si="4"/>
        <v>19716.660400000004</v>
      </c>
      <c r="N21" s="47"/>
      <c r="O21" s="81"/>
    </row>
    <row r="22" spans="1:15">
      <c r="A22" s="55">
        <v>19</v>
      </c>
      <c r="B22" s="266">
        <v>45827</v>
      </c>
      <c r="C22" s="200"/>
      <c r="D22" s="200"/>
      <c r="E22" s="77">
        <v>149.68</v>
      </c>
      <c r="F22" s="6">
        <v>91.23</v>
      </c>
      <c r="G22" s="8">
        <f t="shared" si="3"/>
        <v>13655.306400000001</v>
      </c>
      <c r="H22" s="77">
        <v>0</v>
      </c>
      <c r="I22" s="6">
        <v>0</v>
      </c>
      <c r="J22" s="8">
        <f t="shared" si="0"/>
        <v>0</v>
      </c>
      <c r="K22" s="8">
        <f t="shared" si="1"/>
        <v>13655.306400000001</v>
      </c>
      <c r="L22" s="80"/>
      <c r="M22" s="80">
        <f t="shared" si="4"/>
        <v>33371.966800000009</v>
      </c>
      <c r="N22" s="47"/>
      <c r="O22" s="81"/>
    </row>
    <row r="23" spans="1:15">
      <c r="A23" s="55">
        <v>20</v>
      </c>
      <c r="B23" s="266">
        <v>45828</v>
      </c>
      <c r="C23" s="200"/>
      <c r="D23" s="200"/>
      <c r="E23" s="77">
        <v>35.22</v>
      </c>
      <c r="F23" s="6">
        <v>91.23</v>
      </c>
      <c r="G23" s="8">
        <f t="shared" si="3"/>
        <v>3213.1206000000002</v>
      </c>
      <c r="H23" s="77">
        <v>10.07</v>
      </c>
      <c r="I23" s="6">
        <v>103.16</v>
      </c>
      <c r="J23" s="8">
        <f t="shared" si="0"/>
        <v>1038.8212000000001</v>
      </c>
      <c r="K23" s="8">
        <f t="shared" si="1"/>
        <v>4251.9418000000005</v>
      </c>
      <c r="L23" s="80"/>
      <c r="M23" s="80">
        <f t="shared" si="4"/>
        <v>37623.90860000001</v>
      </c>
      <c r="N23" s="47"/>
      <c r="O23" s="81"/>
    </row>
    <row r="24" spans="1:15">
      <c r="A24" s="55">
        <v>21</v>
      </c>
      <c r="B24" s="266">
        <v>45829</v>
      </c>
      <c r="C24" s="200"/>
      <c r="D24" s="200"/>
      <c r="E24" s="77">
        <v>61.83</v>
      </c>
      <c r="F24" s="6">
        <v>91.23</v>
      </c>
      <c r="G24" s="8">
        <f t="shared" si="3"/>
        <v>5640.7509</v>
      </c>
      <c r="H24" s="77">
        <v>0</v>
      </c>
      <c r="I24" s="6">
        <v>0</v>
      </c>
      <c r="J24" s="8">
        <f t="shared" si="0"/>
        <v>0</v>
      </c>
      <c r="K24" s="8">
        <f t="shared" si="1"/>
        <v>5640.7509</v>
      </c>
      <c r="L24" s="80"/>
      <c r="M24" s="80">
        <f t="shared" si="4"/>
        <v>43264.659500000009</v>
      </c>
      <c r="N24" s="47"/>
      <c r="O24" s="81"/>
    </row>
    <row r="25" spans="1:15">
      <c r="A25" s="55">
        <v>22</v>
      </c>
      <c r="B25" s="266">
        <v>45830</v>
      </c>
      <c r="C25" s="200"/>
      <c r="D25" s="200"/>
      <c r="E25" s="77">
        <v>0</v>
      </c>
      <c r="F25" s="6">
        <v>0</v>
      </c>
      <c r="G25" s="8">
        <f t="shared" si="3"/>
        <v>0</v>
      </c>
      <c r="H25" s="77">
        <v>5.81</v>
      </c>
      <c r="I25" s="6">
        <v>103.16</v>
      </c>
      <c r="J25" s="8">
        <f t="shared" si="0"/>
        <v>599.35959999999989</v>
      </c>
      <c r="K25" s="8">
        <f t="shared" si="1"/>
        <v>599.35959999999989</v>
      </c>
      <c r="L25" s="80"/>
      <c r="M25" s="80">
        <f t="shared" si="4"/>
        <v>43864.019100000012</v>
      </c>
      <c r="N25" s="47"/>
      <c r="O25" s="81"/>
    </row>
    <row r="26" spans="1:15">
      <c r="A26" s="55">
        <v>23</v>
      </c>
      <c r="B26" s="266">
        <v>45831</v>
      </c>
      <c r="C26" s="247"/>
      <c r="D26" s="247"/>
      <c r="E26" s="77">
        <v>260.48</v>
      </c>
      <c r="F26" s="6">
        <v>91.23</v>
      </c>
      <c r="G26" s="8">
        <f t="shared" si="3"/>
        <v>23763.590400000001</v>
      </c>
      <c r="H26" s="77">
        <v>2.31</v>
      </c>
      <c r="I26" s="6">
        <v>103.16</v>
      </c>
      <c r="J26" s="8">
        <f t="shared" si="0"/>
        <v>238.2996</v>
      </c>
      <c r="K26" s="8">
        <f t="shared" si="1"/>
        <v>24001.89</v>
      </c>
      <c r="L26" s="80"/>
      <c r="M26" s="80">
        <f t="shared" si="4"/>
        <v>67865.909100000019</v>
      </c>
      <c r="N26" s="248"/>
      <c r="O26" s="81"/>
    </row>
    <row r="27" spans="1:15">
      <c r="A27" s="55">
        <v>24</v>
      </c>
      <c r="B27" s="266">
        <v>45832</v>
      </c>
      <c r="C27" s="247"/>
      <c r="D27" s="247"/>
      <c r="E27" s="77">
        <v>0</v>
      </c>
      <c r="F27" s="6">
        <v>0</v>
      </c>
      <c r="G27" s="8">
        <f t="shared" si="3"/>
        <v>0</v>
      </c>
      <c r="H27" s="77">
        <v>0</v>
      </c>
      <c r="I27" s="6">
        <v>0</v>
      </c>
      <c r="J27" s="8">
        <f t="shared" si="0"/>
        <v>0</v>
      </c>
      <c r="K27" s="8">
        <f t="shared" si="1"/>
        <v>0</v>
      </c>
      <c r="L27" s="80"/>
      <c r="M27" s="80">
        <f t="shared" si="4"/>
        <v>67865.909100000019</v>
      </c>
      <c r="N27" s="248"/>
      <c r="O27" s="81"/>
    </row>
    <row r="28" spans="1:15">
      <c r="A28" s="268">
        <v>25</v>
      </c>
      <c r="B28" s="266">
        <v>45833</v>
      </c>
      <c r="C28" s="247"/>
      <c r="D28" s="247"/>
      <c r="E28" s="77">
        <v>0</v>
      </c>
      <c r="F28" s="6">
        <v>0</v>
      </c>
      <c r="G28" s="8">
        <f t="shared" si="3"/>
        <v>0</v>
      </c>
      <c r="H28" s="77">
        <v>0</v>
      </c>
      <c r="I28" s="6">
        <v>0</v>
      </c>
      <c r="J28" s="8">
        <f t="shared" si="0"/>
        <v>0</v>
      </c>
      <c r="K28" s="8">
        <f t="shared" si="1"/>
        <v>0</v>
      </c>
      <c r="L28" s="80"/>
      <c r="M28" s="80">
        <f t="shared" si="4"/>
        <v>67865.909100000019</v>
      </c>
      <c r="N28" s="248"/>
      <c r="O28" s="81"/>
    </row>
    <row r="29" spans="1:15">
      <c r="A29" s="268">
        <v>26</v>
      </c>
      <c r="B29" s="266">
        <v>45834</v>
      </c>
      <c r="C29" s="247"/>
      <c r="D29" s="247"/>
      <c r="E29" s="77">
        <v>100.75</v>
      </c>
      <c r="F29" s="6">
        <v>91.23</v>
      </c>
      <c r="G29" s="8">
        <f t="shared" si="3"/>
        <v>9191.4225000000006</v>
      </c>
      <c r="H29" s="77">
        <v>12.05</v>
      </c>
      <c r="I29" s="6">
        <v>103.16</v>
      </c>
      <c r="J29" s="8">
        <f t="shared" si="0"/>
        <v>1243.078</v>
      </c>
      <c r="K29" s="8">
        <f t="shared" si="1"/>
        <v>10434.5005</v>
      </c>
      <c r="L29" s="80"/>
      <c r="M29" s="80">
        <f t="shared" si="4"/>
        <v>78300.409600000014</v>
      </c>
      <c r="N29" s="248"/>
      <c r="O29" s="81"/>
    </row>
    <row r="30" spans="1:15">
      <c r="A30" s="268">
        <v>27</v>
      </c>
      <c r="B30" s="266">
        <v>45835</v>
      </c>
      <c r="C30" s="247"/>
      <c r="D30" s="247"/>
      <c r="E30" s="77">
        <v>113.92</v>
      </c>
      <c r="F30" s="6">
        <v>91.23</v>
      </c>
      <c r="G30" s="8">
        <f t="shared" si="3"/>
        <v>10392.921600000001</v>
      </c>
      <c r="H30" s="77">
        <v>1.94</v>
      </c>
      <c r="I30" s="6">
        <v>103.16</v>
      </c>
      <c r="J30" s="8">
        <f t="shared" si="0"/>
        <v>200.13039999999998</v>
      </c>
      <c r="K30" s="8">
        <f t="shared" si="1"/>
        <v>10593.052000000001</v>
      </c>
      <c r="L30" s="80"/>
      <c r="M30" s="80">
        <f t="shared" si="4"/>
        <v>88893.46160000001</v>
      </c>
      <c r="N30" s="248"/>
      <c r="O30" s="81"/>
    </row>
    <row r="31" spans="1:15">
      <c r="A31" s="268">
        <v>28</v>
      </c>
      <c r="B31" s="266">
        <v>45836</v>
      </c>
      <c r="C31" s="247"/>
      <c r="D31" s="247"/>
      <c r="E31" s="77">
        <v>0</v>
      </c>
      <c r="F31" s="6">
        <v>0</v>
      </c>
      <c r="G31" s="8">
        <f t="shared" si="3"/>
        <v>0</v>
      </c>
      <c r="H31" s="77">
        <v>0</v>
      </c>
      <c r="I31" s="6">
        <v>0</v>
      </c>
      <c r="J31" s="8">
        <f t="shared" si="0"/>
        <v>0</v>
      </c>
      <c r="K31" s="8">
        <f t="shared" si="1"/>
        <v>0</v>
      </c>
      <c r="L31" s="80"/>
      <c r="M31" s="80">
        <f t="shared" si="4"/>
        <v>88893.46160000001</v>
      </c>
      <c r="N31" s="248"/>
      <c r="O31" s="81"/>
    </row>
    <row r="32" spans="1:15">
      <c r="A32" s="269">
        <v>29</v>
      </c>
      <c r="B32" s="266">
        <v>45837</v>
      </c>
      <c r="C32" s="247"/>
      <c r="D32" s="247"/>
      <c r="E32" s="77">
        <v>0</v>
      </c>
      <c r="F32" s="6">
        <v>0</v>
      </c>
      <c r="G32" s="8">
        <f t="shared" si="3"/>
        <v>0</v>
      </c>
      <c r="H32" s="77">
        <v>0</v>
      </c>
      <c r="I32" s="6">
        <v>0</v>
      </c>
      <c r="J32" s="8">
        <f t="shared" si="0"/>
        <v>0</v>
      </c>
      <c r="K32" s="8">
        <f t="shared" si="1"/>
        <v>0</v>
      </c>
      <c r="L32" s="80"/>
      <c r="M32" s="80">
        <f t="shared" si="4"/>
        <v>88893.46160000001</v>
      </c>
      <c r="N32" s="248"/>
      <c r="O32" s="81"/>
    </row>
    <row r="33" spans="1:15">
      <c r="A33" s="269">
        <v>30</v>
      </c>
      <c r="B33" s="266">
        <v>45838</v>
      </c>
      <c r="C33" s="247"/>
      <c r="D33" s="247"/>
      <c r="E33" s="77">
        <v>42.7</v>
      </c>
      <c r="F33" s="6">
        <v>91.23</v>
      </c>
      <c r="G33" s="8">
        <f t="shared" si="3"/>
        <v>3895.5210000000006</v>
      </c>
      <c r="H33" s="77">
        <v>2</v>
      </c>
      <c r="I33" s="6">
        <v>103.16</v>
      </c>
      <c r="J33" s="8">
        <f t="shared" si="0"/>
        <v>206.32</v>
      </c>
      <c r="K33" s="8">
        <f t="shared" si="1"/>
        <v>4101.8410000000003</v>
      </c>
      <c r="L33" s="80"/>
      <c r="M33" s="80">
        <f t="shared" si="4"/>
        <v>92995.30260000001</v>
      </c>
      <c r="N33" s="248"/>
      <c r="O33" s="81"/>
    </row>
    <row r="34" spans="1:15">
      <c r="A34" s="269">
        <v>31</v>
      </c>
      <c r="B34" s="266"/>
      <c r="C34" s="247"/>
      <c r="D34" s="247"/>
      <c r="E34" s="77">
        <v>0</v>
      </c>
      <c r="F34" s="6">
        <v>0</v>
      </c>
      <c r="G34" s="8">
        <f t="shared" si="3"/>
        <v>0</v>
      </c>
      <c r="H34" s="77">
        <v>0</v>
      </c>
      <c r="I34" s="6">
        <v>0</v>
      </c>
      <c r="J34" s="8">
        <f t="shared" si="0"/>
        <v>0</v>
      </c>
      <c r="K34" s="8">
        <f t="shared" si="1"/>
        <v>0</v>
      </c>
      <c r="L34" s="80"/>
      <c r="M34" s="80">
        <f t="shared" si="4"/>
        <v>92995.30260000001</v>
      </c>
      <c r="N34" s="248"/>
      <c r="O34" s="81"/>
    </row>
    <row r="35" spans="1:15">
      <c r="A35" s="181"/>
      <c r="B35" s="181"/>
      <c r="C35" s="181"/>
      <c r="D35" s="181"/>
      <c r="E35" s="182">
        <f>SUM(E4:E34)</f>
        <v>1216.3100000000002</v>
      </c>
      <c r="F35" s="182"/>
      <c r="G35" s="182">
        <f>SUM(G4:G34)</f>
        <v>110512.23130000001</v>
      </c>
      <c r="H35" s="182">
        <f>SUM(H4:H34)</f>
        <v>71.09</v>
      </c>
      <c r="I35" s="182"/>
      <c r="J35" s="182">
        <f>SUM(J4:J34)</f>
        <v>7296.7343999999994</v>
      </c>
      <c r="K35" s="182">
        <f>SUM(K4:K34)</f>
        <v>117808.96569999999</v>
      </c>
      <c r="L35" s="182">
        <f>SUM(L4:L31)</f>
        <v>102795</v>
      </c>
      <c r="M35" s="182"/>
      <c r="N35" s="182"/>
      <c r="O35" s="71"/>
    </row>
    <row r="36" spans="1:15">
      <c r="A36" s="85"/>
      <c r="B36" s="86"/>
      <c r="C36" s="85"/>
      <c r="D36" s="85"/>
      <c r="E36" s="87"/>
      <c r="F36" s="87"/>
      <c r="G36" s="87"/>
      <c r="H36" s="87"/>
      <c r="I36" s="87"/>
      <c r="J36" s="88"/>
      <c r="K36" s="88"/>
      <c r="L36" s="88"/>
      <c r="M36" s="88"/>
      <c r="N36" s="87"/>
      <c r="O36" s="81"/>
    </row>
  </sheetData>
  <mergeCells count="1">
    <mergeCell ref="A1:N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5CC4A-1C0D-4BA5-8193-DD34ED85649F}">
  <sheetPr>
    <tabColor rgb="FF92D050"/>
  </sheetPr>
  <dimension ref="A1:Q46"/>
  <sheetViews>
    <sheetView topLeftCell="A24" workbookViewId="0">
      <selection activeCell="Q26" sqref="Q26"/>
    </sheetView>
  </sheetViews>
  <sheetFormatPr defaultRowHeight="15"/>
  <cols>
    <col min="2" max="2" width="10.85546875" bestFit="1" customWidth="1"/>
    <col min="4" max="4" width="11.5703125" customWidth="1"/>
    <col min="7" max="7" width="13.5703125" customWidth="1"/>
    <col min="9" max="9" width="9.28515625" bestFit="1" customWidth="1"/>
    <col min="11" max="11" width="14.85546875" customWidth="1"/>
    <col min="12" max="12" width="15.5703125" customWidth="1"/>
    <col min="13" max="13" width="12.28515625" customWidth="1"/>
    <col min="14" max="14" width="14.7109375" bestFit="1" customWidth="1"/>
  </cols>
  <sheetData>
    <row r="1" spans="1:16" ht="15.75">
      <c r="A1" s="458" t="s">
        <v>84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5"/>
    </row>
    <row r="2" spans="1:16" ht="30.75">
      <c r="A2" s="76" t="s">
        <v>102</v>
      </c>
      <c r="B2" s="96" t="s">
        <v>103</v>
      </c>
      <c r="C2" s="96" t="s">
        <v>104</v>
      </c>
      <c r="D2" s="96" t="s">
        <v>150</v>
      </c>
      <c r="E2" s="96" t="s">
        <v>106</v>
      </c>
      <c r="F2" s="96" t="s">
        <v>107</v>
      </c>
      <c r="G2" s="103" t="s">
        <v>108</v>
      </c>
      <c r="H2" s="96" t="s">
        <v>109</v>
      </c>
      <c r="I2" s="96" t="s">
        <v>107</v>
      </c>
      <c r="J2" s="103" t="s">
        <v>108</v>
      </c>
      <c r="K2" s="76" t="s">
        <v>110</v>
      </c>
      <c r="L2" s="104" t="s">
        <v>111</v>
      </c>
      <c r="M2" s="98" t="s">
        <v>149</v>
      </c>
      <c r="N2" s="96" t="s">
        <v>113</v>
      </c>
      <c r="O2" s="5"/>
    </row>
    <row r="3" spans="1:16">
      <c r="A3" s="471" t="s">
        <v>114</v>
      </c>
      <c r="B3" s="472"/>
      <c r="C3" s="472"/>
      <c r="D3" s="472"/>
      <c r="E3" s="472"/>
      <c r="F3" s="472"/>
      <c r="G3" s="472"/>
      <c r="H3" s="472"/>
      <c r="I3" s="472"/>
      <c r="J3" s="472"/>
      <c r="K3" s="472"/>
      <c r="L3" s="473"/>
      <c r="M3" s="474">
        <v>0</v>
      </c>
      <c r="N3" s="475"/>
      <c r="O3" s="5"/>
    </row>
    <row r="4" spans="1:16">
      <c r="A4" s="231">
        <v>1</v>
      </c>
      <c r="B4" s="266">
        <v>45809</v>
      </c>
      <c r="C4" s="6"/>
      <c r="D4" s="6"/>
      <c r="E4" s="77">
        <v>105</v>
      </c>
      <c r="F4" s="6">
        <v>91.23</v>
      </c>
      <c r="G4" s="78">
        <f>E4*F4</f>
        <v>9579.15</v>
      </c>
      <c r="H4" s="77">
        <v>0</v>
      </c>
      <c r="I4" s="6">
        <v>0</v>
      </c>
      <c r="J4" s="78">
        <f>H4*I4</f>
        <v>0</v>
      </c>
      <c r="K4" s="78">
        <f>G4+J4</f>
        <v>9579.15</v>
      </c>
      <c r="L4" s="183">
        <f>+K4</f>
        <v>9579.15</v>
      </c>
      <c r="M4" s="169">
        <f>M3+K4-L4</f>
        <v>0</v>
      </c>
      <c r="N4" s="55"/>
      <c r="O4" s="5"/>
    </row>
    <row r="5" spans="1:16">
      <c r="A5" s="55">
        <v>2</v>
      </c>
      <c r="B5" s="266">
        <v>45810</v>
      </c>
      <c r="C5" s="6"/>
      <c r="D5" s="6"/>
      <c r="E5" s="77">
        <v>80</v>
      </c>
      <c r="F5" s="6">
        <v>91.23</v>
      </c>
      <c r="G5" s="78">
        <f t="shared" ref="G5:G42" si="0">E5*F5</f>
        <v>7298.4000000000005</v>
      </c>
      <c r="H5" s="77">
        <v>0</v>
      </c>
      <c r="I5" s="6">
        <v>0</v>
      </c>
      <c r="J5" s="78">
        <f t="shared" ref="J5:J42" si="1">H5*I5</f>
        <v>0</v>
      </c>
      <c r="K5" s="78">
        <f t="shared" ref="K5:K42" si="2">G5+J5</f>
        <v>7298.4000000000005</v>
      </c>
      <c r="L5" s="183">
        <f t="shared" ref="L5:L42" si="3">+K5</f>
        <v>7298.4000000000005</v>
      </c>
      <c r="M5" s="169">
        <f t="shared" ref="M5:M43" si="4">M4+K5-L5</f>
        <v>0</v>
      </c>
      <c r="N5" s="55"/>
      <c r="O5" s="5"/>
    </row>
    <row r="6" spans="1:16">
      <c r="A6" s="55">
        <v>3</v>
      </c>
      <c r="B6" s="266">
        <v>45811</v>
      </c>
      <c r="C6" s="6"/>
      <c r="D6" s="6"/>
      <c r="E6" s="77">
        <v>0</v>
      </c>
      <c r="F6" s="6">
        <v>0</v>
      </c>
      <c r="G6" s="78">
        <f t="shared" si="0"/>
        <v>0</v>
      </c>
      <c r="H6" s="77">
        <v>0</v>
      </c>
      <c r="I6" s="6">
        <v>0</v>
      </c>
      <c r="J6" s="78">
        <f t="shared" si="1"/>
        <v>0</v>
      </c>
      <c r="K6" s="78">
        <f t="shared" si="2"/>
        <v>0</v>
      </c>
      <c r="L6" s="183">
        <f t="shared" si="3"/>
        <v>0</v>
      </c>
      <c r="M6" s="169">
        <f t="shared" si="4"/>
        <v>0</v>
      </c>
      <c r="N6" s="55"/>
      <c r="O6" s="5"/>
    </row>
    <row r="7" spans="1:16">
      <c r="A7" s="55">
        <v>4</v>
      </c>
      <c r="B7" s="266">
        <v>45812</v>
      </c>
      <c r="C7" s="6"/>
      <c r="D7" s="6"/>
      <c r="E7" s="77">
        <v>199</v>
      </c>
      <c r="F7" s="6">
        <v>91.23</v>
      </c>
      <c r="G7" s="78">
        <f t="shared" si="0"/>
        <v>18154.77</v>
      </c>
      <c r="H7" s="77">
        <v>0</v>
      </c>
      <c r="I7" s="6">
        <v>0</v>
      </c>
      <c r="J7" s="78">
        <f t="shared" si="1"/>
        <v>0</v>
      </c>
      <c r="K7" s="78">
        <f t="shared" si="2"/>
        <v>18154.77</v>
      </c>
      <c r="L7" s="183">
        <f t="shared" si="3"/>
        <v>18154.77</v>
      </c>
      <c r="M7" s="169">
        <f t="shared" si="4"/>
        <v>0</v>
      </c>
      <c r="N7" s="55"/>
      <c r="O7" s="5"/>
    </row>
    <row r="8" spans="1:16">
      <c r="A8" s="55">
        <v>5</v>
      </c>
      <c r="B8" s="266">
        <v>45813</v>
      </c>
      <c r="C8" s="6"/>
      <c r="D8" s="6"/>
      <c r="E8" s="77">
        <v>0</v>
      </c>
      <c r="F8" s="6">
        <v>0</v>
      </c>
      <c r="G8" s="78">
        <f t="shared" si="0"/>
        <v>0</v>
      </c>
      <c r="H8" s="77">
        <v>0</v>
      </c>
      <c r="I8" s="6">
        <v>0</v>
      </c>
      <c r="J8" s="78">
        <f t="shared" si="1"/>
        <v>0</v>
      </c>
      <c r="K8" s="78">
        <f t="shared" si="2"/>
        <v>0</v>
      </c>
      <c r="L8" s="183">
        <f t="shared" si="3"/>
        <v>0</v>
      </c>
      <c r="M8" s="169">
        <f t="shared" si="4"/>
        <v>0</v>
      </c>
      <c r="N8" s="55"/>
      <c r="O8" s="5"/>
    </row>
    <row r="9" spans="1:16">
      <c r="A9" s="55">
        <v>6</v>
      </c>
      <c r="B9" s="266">
        <v>45814</v>
      </c>
      <c r="C9" s="6"/>
      <c r="D9" s="6"/>
      <c r="E9" s="77">
        <v>15</v>
      </c>
      <c r="F9" s="6">
        <v>91.23</v>
      </c>
      <c r="G9" s="78">
        <f t="shared" si="0"/>
        <v>1368.45</v>
      </c>
      <c r="H9" s="77">
        <v>0</v>
      </c>
      <c r="I9" s="6">
        <v>0</v>
      </c>
      <c r="J9" s="78">
        <f t="shared" si="1"/>
        <v>0</v>
      </c>
      <c r="K9" s="78">
        <f t="shared" si="2"/>
        <v>1368.45</v>
      </c>
      <c r="L9" s="183">
        <f t="shared" si="3"/>
        <v>1368.45</v>
      </c>
      <c r="M9" s="169">
        <f t="shared" si="4"/>
        <v>0</v>
      </c>
      <c r="N9" s="55"/>
      <c r="O9" s="5"/>
    </row>
    <row r="10" spans="1:16">
      <c r="A10" s="55">
        <v>7</v>
      </c>
      <c r="B10" s="266">
        <v>45815</v>
      </c>
      <c r="C10" s="6"/>
      <c r="D10" s="6"/>
      <c r="E10" s="77">
        <v>0</v>
      </c>
      <c r="F10" s="6">
        <v>91.23</v>
      </c>
      <c r="G10" s="78">
        <f t="shared" si="0"/>
        <v>0</v>
      </c>
      <c r="H10" s="77">
        <v>0</v>
      </c>
      <c r="I10" s="6">
        <v>0</v>
      </c>
      <c r="J10" s="78">
        <f t="shared" si="1"/>
        <v>0</v>
      </c>
      <c r="K10" s="78">
        <f t="shared" si="2"/>
        <v>0</v>
      </c>
      <c r="L10" s="183">
        <f t="shared" si="3"/>
        <v>0</v>
      </c>
      <c r="M10" s="169">
        <f t="shared" si="4"/>
        <v>0</v>
      </c>
      <c r="N10" s="55"/>
      <c r="O10" s="5"/>
    </row>
    <row r="11" spans="1:16">
      <c r="A11" s="55">
        <v>8</v>
      </c>
      <c r="B11" s="266">
        <v>45816</v>
      </c>
      <c r="C11" s="6"/>
      <c r="D11" s="6"/>
      <c r="E11" s="77">
        <v>0</v>
      </c>
      <c r="F11" s="6">
        <v>0</v>
      </c>
      <c r="G11" s="78">
        <f t="shared" si="0"/>
        <v>0</v>
      </c>
      <c r="H11" s="77">
        <v>0</v>
      </c>
      <c r="I11" s="6">
        <v>0</v>
      </c>
      <c r="J11" s="78">
        <f t="shared" si="1"/>
        <v>0</v>
      </c>
      <c r="K11" s="78">
        <f t="shared" si="2"/>
        <v>0</v>
      </c>
      <c r="L11" s="183">
        <f t="shared" si="3"/>
        <v>0</v>
      </c>
      <c r="M11" s="169">
        <f t="shared" si="4"/>
        <v>0</v>
      </c>
      <c r="N11" s="55"/>
      <c r="O11" s="5"/>
      <c r="P11" s="80">
        <f>P10+N11-O11</f>
        <v>0</v>
      </c>
    </row>
    <row r="12" spans="1:16">
      <c r="A12" s="55">
        <v>9</v>
      </c>
      <c r="B12" s="266">
        <v>45817</v>
      </c>
      <c r="C12" s="6"/>
      <c r="D12" s="6"/>
      <c r="E12" s="77">
        <v>264</v>
      </c>
      <c r="F12" s="6">
        <v>91.23</v>
      </c>
      <c r="G12" s="78">
        <f t="shared" si="0"/>
        <v>24084.720000000001</v>
      </c>
      <c r="H12" s="77">
        <v>0</v>
      </c>
      <c r="I12" s="6">
        <v>0</v>
      </c>
      <c r="J12" s="78">
        <f t="shared" si="1"/>
        <v>0</v>
      </c>
      <c r="K12" s="78">
        <f t="shared" si="2"/>
        <v>24084.720000000001</v>
      </c>
      <c r="L12" s="183">
        <f t="shared" si="3"/>
        <v>24084.720000000001</v>
      </c>
      <c r="M12" s="169">
        <f t="shared" si="4"/>
        <v>0</v>
      </c>
      <c r="N12" s="55"/>
      <c r="O12" s="5"/>
    </row>
    <row r="13" spans="1:16">
      <c r="A13" s="55">
        <v>10</v>
      </c>
      <c r="B13" s="266">
        <v>45818</v>
      </c>
      <c r="C13" s="6"/>
      <c r="D13" s="6"/>
      <c r="E13" s="77">
        <v>96.01</v>
      </c>
      <c r="F13" s="6">
        <v>91.23</v>
      </c>
      <c r="G13" s="78">
        <f t="shared" si="0"/>
        <v>8758.9923000000017</v>
      </c>
      <c r="H13" s="77">
        <v>0</v>
      </c>
      <c r="I13" s="6">
        <v>0</v>
      </c>
      <c r="J13" s="78">
        <f t="shared" si="1"/>
        <v>0</v>
      </c>
      <c r="K13" s="78">
        <f t="shared" si="2"/>
        <v>8758.9923000000017</v>
      </c>
      <c r="L13" s="183">
        <f t="shared" si="3"/>
        <v>8758.9923000000017</v>
      </c>
      <c r="M13" s="169">
        <f t="shared" si="4"/>
        <v>0</v>
      </c>
      <c r="N13" s="55"/>
      <c r="O13" s="5"/>
    </row>
    <row r="14" spans="1:16">
      <c r="A14" s="55">
        <v>11</v>
      </c>
      <c r="B14" s="266">
        <v>45819</v>
      </c>
      <c r="C14" s="6"/>
      <c r="D14" s="6"/>
      <c r="E14" s="77">
        <v>0</v>
      </c>
      <c r="F14" s="6">
        <v>0</v>
      </c>
      <c r="G14" s="78">
        <f t="shared" si="0"/>
        <v>0</v>
      </c>
      <c r="H14" s="77">
        <v>0</v>
      </c>
      <c r="I14" s="6">
        <v>0</v>
      </c>
      <c r="J14" s="78">
        <f t="shared" si="1"/>
        <v>0</v>
      </c>
      <c r="K14" s="78">
        <f t="shared" si="2"/>
        <v>0</v>
      </c>
      <c r="L14" s="183">
        <f t="shared" si="3"/>
        <v>0</v>
      </c>
      <c r="M14" s="169">
        <f t="shared" si="4"/>
        <v>0</v>
      </c>
      <c r="N14" s="55"/>
      <c r="O14" s="5"/>
    </row>
    <row r="15" spans="1:16">
      <c r="A15" s="55">
        <v>12</v>
      </c>
      <c r="B15" s="266">
        <v>45820</v>
      </c>
      <c r="C15" s="6"/>
      <c r="D15" s="6"/>
      <c r="E15" s="77">
        <v>0</v>
      </c>
      <c r="F15" s="6">
        <v>0</v>
      </c>
      <c r="G15" s="78">
        <f t="shared" si="0"/>
        <v>0</v>
      </c>
      <c r="H15" s="77">
        <v>0</v>
      </c>
      <c r="I15" s="6">
        <v>0</v>
      </c>
      <c r="J15" s="78">
        <f t="shared" si="1"/>
        <v>0</v>
      </c>
      <c r="K15" s="78">
        <f t="shared" si="2"/>
        <v>0</v>
      </c>
      <c r="L15" s="183">
        <f t="shared" si="3"/>
        <v>0</v>
      </c>
      <c r="M15" s="169">
        <f t="shared" si="4"/>
        <v>0</v>
      </c>
      <c r="N15" s="55"/>
      <c r="O15" s="5"/>
    </row>
    <row r="16" spans="1:16">
      <c r="A16" s="55">
        <v>13</v>
      </c>
      <c r="B16" s="266">
        <v>45821</v>
      </c>
      <c r="C16" s="6"/>
      <c r="D16" s="6"/>
      <c r="E16" s="77">
        <v>200</v>
      </c>
      <c r="F16" s="6">
        <v>91.23</v>
      </c>
      <c r="G16" s="78">
        <f t="shared" si="0"/>
        <v>18246</v>
      </c>
      <c r="H16" s="77">
        <v>0</v>
      </c>
      <c r="I16" s="6">
        <v>0</v>
      </c>
      <c r="J16" s="78">
        <f t="shared" si="1"/>
        <v>0</v>
      </c>
      <c r="K16" s="78">
        <f t="shared" si="2"/>
        <v>18246</v>
      </c>
      <c r="L16" s="183">
        <f t="shared" si="3"/>
        <v>18246</v>
      </c>
      <c r="M16" s="169">
        <f t="shared" si="4"/>
        <v>0</v>
      </c>
      <c r="N16" s="55"/>
      <c r="O16" s="5"/>
    </row>
    <row r="17" spans="1:17">
      <c r="A17" s="55">
        <v>14</v>
      </c>
      <c r="B17" s="266">
        <v>45822</v>
      </c>
      <c r="C17" s="6"/>
      <c r="D17" s="6"/>
      <c r="E17" s="77">
        <v>181.02</v>
      </c>
      <c r="F17" s="6">
        <v>91.23</v>
      </c>
      <c r="G17" s="78">
        <f t="shared" si="0"/>
        <v>16514.454600000001</v>
      </c>
      <c r="H17" s="77">
        <v>0</v>
      </c>
      <c r="I17" s="6">
        <v>0</v>
      </c>
      <c r="J17" s="78">
        <f t="shared" si="1"/>
        <v>0</v>
      </c>
      <c r="K17" s="78">
        <f t="shared" si="2"/>
        <v>16514.454600000001</v>
      </c>
      <c r="L17" s="183">
        <v>0</v>
      </c>
      <c r="M17" s="169">
        <f t="shared" si="4"/>
        <v>16514.454600000001</v>
      </c>
      <c r="N17" s="55"/>
      <c r="O17" s="5"/>
    </row>
    <row r="18" spans="1:17">
      <c r="A18" s="55">
        <v>15</v>
      </c>
      <c r="B18" s="266">
        <v>45823</v>
      </c>
      <c r="C18" s="6"/>
      <c r="D18" s="6"/>
      <c r="E18" s="77">
        <v>0</v>
      </c>
      <c r="F18" s="6">
        <v>0</v>
      </c>
      <c r="G18" s="78">
        <f t="shared" si="0"/>
        <v>0</v>
      </c>
      <c r="H18" s="77">
        <v>0</v>
      </c>
      <c r="I18" s="6">
        <v>0</v>
      </c>
      <c r="J18" s="78">
        <f t="shared" si="1"/>
        <v>0</v>
      </c>
      <c r="K18" s="78">
        <f t="shared" si="2"/>
        <v>0</v>
      </c>
      <c r="L18" s="183">
        <f t="shared" si="3"/>
        <v>0</v>
      </c>
      <c r="M18" s="169">
        <f>M17+K18-L18</f>
        <v>16514.454600000001</v>
      </c>
      <c r="N18" s="55"/>
      <c r="O18" s="5"/>
    </row>
    <row r="19" spans="1:17">
      <c r="A19" s="55">
        <v>16</v>
      </c>
      <c r="B19" s="266">
        <v>45824</v>
      </c>
      <c r="C19" s="6"/>
      <c r="D19" s="6"/>
      <c r="E19" s="77">
        <v>15</v>
      </c>
      <c r="F19" s="6">
        <v>91.23</v>
      </c>
      <c r="G19" s="78">
        <f t="shared" si="0"/>
        <v>1368.45</v>
      </c>
      <c r="H19" s="77">
        <v>0</v>
      </c>
      <c r="I19" s="6">
        <v>0</v>
      </c>
      <c r="J19" s="78">
        <f t="shared" si="1"/>
        <v>0</v>
      </c>
      <c r="K19" s="78">
        <f t="shared" si="2"/>
        <v>1368.45</v>
      </c>
      <c r="L19" s="183">
        <v>0</v>
      </c>
      <c r="M19" s="169">
        <f t="shared" si="4"/>
        <v>17882.904600000002</v>
      </c>
      <c r="N19" s="55"/>
      <c r="O19" s="5"/>
    </row>
    <row r="20" spans="1:17">
      <c r="A20" s="55">
        <v>17</v>
      </c>
      <c r="B20" s="266">
        <v>45825</v>
      </c>
      <c r="C20" s="6"/>
      <c r="D20" s="6"/>
      <c r="E20" s="77">
        <v>50</v>
      </c>
      <c r="F20" s="6">
        <v>91.23</v>
      </c>
      <c r="G20" s="78">
        <f t="shared" si="0"/>
        <v>4561.5</v>
      </c>
      <c r="H20" s="77">
        <v>0</v>
      </c>
      <c r="I20" s="6">
        <v>0</v>
      </c>
      <c r="J20" s="78">
        <f t="shared" si="1"/>
        <v>0</v>
      </c>
      <c r="K20" s="78">
        <f t="shared" si="2"/>
        <v>4561.5</v>
      </c>
      <c r="L20" s="183">
        <v>25455</v>
      </c>
      <c r="M20" s="169">
        <f t="shared" si="4"/>
        <v>-3010.5953999999983</v>
      </c>
      <c r="N20" s="55"/>
      <c r="O20" s="5"/>
      <c r="Q20">
        <f>22444+3011</f>
        <v>25455</v>
      </c>
    </row>
    <row r="21" spans="1:17">
      <c r="A21" s="55">
        <v>18</v>
      </c>
      <c r="B21" s="266">
        <v>45826</v>
      </c>
      <c r="C21" s="6"/>
      <c r="D21" s="6"/>
      <c r="E21" s="77">
        <v>173</v>
      </c>
      <c r="F21" s="6">
        <v>91.23</v>
      </c>
      <c r="G21" s="78">
        <f t="shared" si="0"/>
        <v>15782.79</v>
      </c>
      <c r="H21" s="77">
        <v>4.5199999999999996</v>
      </c>
      <c r="I21" s="6">
        <v>110.47</v>
      </c>
      <c r="J21" s="78">
        <f t="shared" si="1"/>
        <v>499.32439999999997</v>
      </c>
      <c r="K21" s="78">
        <f t="shared" si="2"/>
        <v>16282.1144</v>
      </c>
      <c r="L21" s="183">
        <v>0</v>
      </c>
      <c r="M21" s="169">
        <f t="shared" si="4"/>
        <v>13271.519000000002</v>
      </c>
      <c r="N21" s="55"/>
      <c r="O21" s="5"/>
    </row>
    <row r="22" spans="1:17">
      <c r="A22" s="55">
        <v>19</v>
      </c>
      <c r="B22" s="266">
        <v>45827</v>
      </c>
      <c r="C22" s="6"/>
      <c r="D22" s="6"/>
      <c r="E22" s="77">
        <v>100</v>
      </c>
      <c r="F22" s="6">
        <v>91.23</v>
      </c>
      <c r="G22" s="78">
        <f t="shared" si="0"/>
        <v>9123</v>
      </c>
      <c r="H22" s="77">
        <v>0</v>
      </c>
      <c r="I22" s="6">
        <v>0</v>
      </c>
      <c r="J22" s="78">
        <f t="shared" si="1"/>
        <v>0</v>
      </c>
      <c r="K22" s="78">
        <f t="shared" si="2"/>
        <v>9123</v>
      </c>
      <c r="L22" s="183">
        <v>0</v>
      </c>
      <c r="M22" s="169">
        <f t="shared" si="4"/>
        <v>22394.519</v>
      </c>
      <c r="N22" s="55"/>
      <c r="O22" s="5"/>
    </row>
    <row r="23" spans="1:17">
      <c r="A23" s="55">
        <v>20</v>
      </c>
      <c r="B23" s="266">
        <v>45828</v>
      </c>
      <c r="C23" s="6"/>
      <c r="D23" s="6"/>
      <c r="E23" s="77">
        <v>0</v>
      </c>
      <c r="F23" s="6">
        <v>0</v>
      </c>
      <c r="G23" s="78">
        <f t="shared" si="0"/>
        <v>0</v>
      </c>
      <c r="H23" s="77">
        <v>0</v>
      </c>
      <c r="I23" s="6">
        <v>0</v>
      </c>
      <c r="J23" s="78">
        <f t="shared" si="1"/>
        <v>0</v>
      </c>
      <c r="K23" s="78">
        <f t="shared" si="2"/>
        <v>0</v>
      </c>
      <c r="L23" s="183">
        <f t="shared" si="3"/>
        <v>0</v>
      </c>
      <c r="M23" s="169">
        <f t="shared" si="4"/>
        <v>22394.519</v>
      </c>
      <c r="N23" s="55"/>
      <c r="O23" s="5"/>
    </row>
    <row r="24" spans="1:17">
      <c r="A24" s="55">
        <v>21</v>
      </c>
      <c r="B24" s="266">
        <v>45829</v>
      </c>
      <c r="C24" s="6"/>
      <c r="D24" s="6"/>
      <c r="E24" s="77">
        <v>76</v>
      </c>
      <c r="F24" s="6">
        <v>91.23</v>
      </c>
      <c r="G24" s="78">
        <f t="shared" si="0"/>
        <v>6933.4800000000005</v>
      </c>
      <c r="H24" s="77">
        <v>0</v>
      </c>
      <c r="I24" s="6">
        <v>0</v>
      </c>
      <c r="J24" s="78">
        <f t="shared" si="1"/>
        <v>0</v>
      </c>
      <c r="K24" s="78">
        <f t="shared" si="2"/>
        <v>6933.4800000000005</v>
      </c>
      <c r="L24" s="183">
        <v>0</v>
      </c>
      <c r="M24" s="169">
        <f t="shared" si="4"/>
        <v>29327.999</v>
      </c>
      <c r="N24" s="55"/>
      <c r="O24" s="5"/>
    </row>
    <row r="25" spans="1:17">
      <c r="A25" s="55">
        <v>22</v>
      </c>
      <c r="B25" s="266">
        <v>45830</v>
      </c>
      <c r="C25" s="6"/>
      <c r="D25" s="6"/>
      <c r="E25" s="77">
        <v>0</v>
      </c>
      <c r="F25" s="6">
        <v>0</v>
      </c>
      <c r="G25" s="78">
        <f t="shared" si="0"/>
        <v>0</v>
      </c>
      <c r="H25" s="77">
        <v>0</v>
      </c>
      <c r="I25" s="6">
        <v>0</v>
      </c>
      <c r="J25" s="78">
        <f t="shared" si="1"/>
        <v>0</v>
      </c>
      <c r="K25" s="78">
        <f t="shared" si="2"/>
        <v>0</v>
      </c>
      <c r="L25" s="183">
        <f t="shared" si="3"/>
        <v>0</v>
      </c>
      <c r="M25" s="169">
        <f t="shared" si="4"/>
        <v>29327.999</v>
      </c>
      <c r="N25" s="55"/>
      <c r="O25" s="5"/>
    </row>
    <row r="26" spans="1:17">
      <c r="A26" s="55">
        <v>23</v>
      </c>
      <c r="B26" s="266">
        <v>45831</v>
      </c>
      <c r="C26" s="6"/>
      <c r="D26" s="6"/>
      <c r="E26" s="77">
        <v>210</v>
      </c>
      <c r="F26" s="6">
        <v>91.23</v>
      </c>
      <c r="G26" s="78">
        <f t="shared" si="0"/>
        <v>19158.3</v>
      </c>
      <c r="H26" s="77">
        <v>0</v>
      </c>
      <c r="I26" s="6">
        <v>0</v>
      </c>
      <c r="J26" s="78">
        <f t="shared" si="1"/>
        <v>0</v>
      </c>
      <c r="K26" s="78">
        <f t="shared" si="2"/>
        <v>19158.3</v>
      </c>
      <c r="L26" s="183">
        <v>0</v>
      </c>
      <c r="M26" s="169">
        <f t="shared" si="4"/>
        <v>48486.298999999999</v>
      </c>
      <c r="N26" s="55"/>
      <c r="O26" s="5"/>
    </row>
    <row r="27" spans="1:17">
      <c r="A27" s="55">
        <v>24</v>
      </c>
      <c r="B27" s="266">
        <v>45832</v>
      </c>
      <c r="C27" s="6"/>
      <c r="D27" s="6"/>
      <c r="E27" s="77">
        <v>0</v>
      </c>
      <c r="F27" s="6">
        <v>0</v>
      </c>
      <c r="G27" s="78">
        <f t="shared" si="0"/>
        <v>0</v>
      </c>
      <c r="H27" s="77">
        <v>0</v>
      </c>
      <c r="I27" s="6">
        <v>0</v>
      </c>
      <c r="J27" s="78">
        <f t="shared" si="1"/>
        <v>0</v>
      </c>
      <c r="K27" s="78">
        <f t="shared" si="2"/>
        <v>0</v>
      </c>
      <c r="L27" s="183">
        <f t="shared" si="3"/>
        <v>0</v>
      </c>
      <c r="M27" s="169">
        <f t="shared" si="4"/>
        <v>48486.298999999999</v>
      </c>
      <c r="N27" s="6"/>
      <c r="O27" s="5"/>
    </row>
    <row r="28" spans="1:17">
      <c r="A28" s="268">
        <v>25</v>
      </c>
      <c r="B28" s="266">
        <v>45833</v>
      </c>
      <c r="C28" s="6"/>
      <c r="D28" s="6"/>
      <c r="E28" s="77">
        <v>50</v>
      </c>
      <c r="F28" s="6">
        <v>91.23</v>
      </c>
      <c r="G28" s="78">
        <f t="shared" si="0"/>
        <v>4561.5</v>
      </c>
      <c r="H28" s="77">
        <v>0</v>
      </c>
      <c r="I28" s="6">
        <v>0</v>
      </c>
      <c r="J28" s="78">
        <f t="shared" si="1"/>
        <v>0</v>
      </c>
      <c r="K28" s="78">
        <f t="shared" si="2"/>
        <v>4561.5</v>
      </c>
      <c r="L28" s="183">
        <v>40000</v>
      </c>
      <c r="M28" s="169">
        <f t="shared" si="4"/>
        <v>13047.798999999999</v>
      </c>
      <c r="N28" s="6"/>
      <c r="O28" s="5"/>
    </row>
    <row r="29" spans="1:17">
      <c r="A29" s="268">
        <v>26</v>
      </c>
      <c r="B29" s="266">
        <v>45834</v>
      </c>
      <c r="C29" s="6"/>
      <c r="D29" s="6"/>
      <c r="E29" s="77">
        <v>400</v>
      </c>
      <c r="F29" s="6">
        <v>91.23</v>
      </c>
      <c r="G29" s="78">
        <f t="shared" si="0"/>
        <v>36492</v>
      </c>
      <c r="H29" s="77">
        <v>0</v>
      </c>
      <c r="I29" s="6">
        <v>0</v>
      </c>
      <c r="J29" s="78">
        <f t="shared" si="1"/>
        <v>0</v>
      </c>
      <c r="K29" s="78">
        <f t="shared" si="2"/>
        <v>36492</v>
      </c>
      <c r="L29" s="183">
        <v>0</v>
      </c>
      <c r="M29" s="169">
        <f t="shared" si="4"/>
        <v>49539.798999999999</v>
      </c>
      <c r="N29" s="6"/>
      <c r="O29" s="5"/>
    </row>
    <row r="30" spans="1:17">
      <c r="A30" s="268">
        <v>27</v>
      </c>
      <c r="B30" s="266">
        <v>45835</v>
      </c>
      <c r="C30" s="6"/>
      <c r="D30" s="6"/>
      <c r="E30" s="77">
        <v>0</v>
      </c>
      <c r="F30" s="6">
        <v>0</v>
      </c>
      <c r="G30" s="78">
        <f t="shared" si="0"/>
        <v>0</v>
      </c>
      <c r="H30" s="77">
        <v>0</v>
      </c>
      <c r="I30" s="6">
        <v>0</v>
      </c>
      <c r="J30" s="78">
        <f t="shared" si="1"/>
        <v>0</v>
      </c>
      <c r="K30" s="78">
        <f t="shared" si="2"/>
        <v>0</v>
      </c>
      <c r="L30" s="183">
        <f t="shared" si="3"/>
        <v>0</v>
      </c>
      <c r="M30" s="169">
        <f t="shared" si="4"/>
        <v>49539.798999999999</v>
      </c>
      <c r="N30" s="6"/>
      <c r="O30" s="5"/>
    </row>
    <row r="31" spans="1:17">
      <c r="A31" s="268">
        <v>28</v>
      </c>
      <c r="B31" s="266">
        <v>45836</v>
      </c>
      <c r="C31" s="6"/>
      <c r="D31" s="6"/>
      <c r="E31" s="77">
        <v>0</v>
      </c>
      <c r="F31" s="6">
        <v>0</v>
      </c>
      <c r="G31" s="78">
        <f t="shared" si="0"/>
        <v>0</v>
      </c>
      <c r="H31" s="77">
        <v>0</v>
      </c>
      <c r="I31" s="6">
        <v>0</v>
      </c>
      <c r="J31" s="78">
        <f t="shared" si="1"/>
        <v>0</v>
      </c>
      <c r="K31" s="78">
        <f t="shared" si="2"/>
        <v>0</v>
      </c>
      <c r="L31" s="183">
        <v>39685.050000000003</v>
      </c>
      <c r="M31" s="169">
        <f t="shared" si="4"/>
        <v>9854.7489999999962</v>
      </c>
      <c r="N31" s="6"/>
      <c r="O31" s="5"/>
    </row>
    <row r="32" spans="1:17">
      <c r="A32" s="269">
        <v>29</v>
      </c>
      <c r="B32" s="266">
        <v>45837</v>
      </c>
      <c r="C32" s="6"/>
      <c r="D32" s="6"/>
      <c r="E32" s="77">
        <v>0</v>
      </c>
      <c r="F32" s="6">
        <v>0</v>
      </c>
      <c r="G32" s="78">
        <f t="shared" si="0"/>
        <v>0</v>
      </c>
      <c r="H32" s="77">
        <v>0</v>
      </c>
      <c r="I32" s="6">
        <v>0</v>
      </c>
      <c r="J32" s="78">
        <f t="shared" si="1"/>
        <v>0</v>
      </c>
      <c r="K32" s="78">
        <f t="shared" si="2"/>
        <v>0</v>
      </c>
      <c r="L32" s="183">
        <v>0</v>
      </c>
      <c r="M32" s="169">
        <f t="shared" si="4"/>
        <v>9854.7489999999962</v>
      </c>
      <c r="N32" s="6"/>
      <c r="O32" s="5"/>
    </row>
    <row r="33" spans="1:15">
      <c r="A33" s="269">
        <v>30</v>
      </c>
      <c r="B33" s="266">
        <v>45838</v>
      </c>
      <c r="C33" s="6"/>
      <c r="D33" s="6"/>
      <c r="E33" s="77">
        <v>0</v>
      </c>
      <c r="F33" s="6">
        <v>0</v>
      </c>
      <c r="G33" s="78">
        <f t="shared" si="0"/>
        <v>0</v>
      </c>
      <c r="H33" s="77">
        <v>0</v>
      </c>
      <c r="I33" s="6">
        <v>0</v>
      </c>
      <c r="J33" s="78">
        <f t="shared" si="1"/>
        <v>0</v>
      </c>
      <c r="K33" s="78">
        <f t="shared" si="2"/>
        <v>0</v>
      </c>
      <c r="L33" s="183">
        <f t="shared" si="3"/>
        <v>0</v>
      </c>
      <c r="M33" s="169">
        <f t="shared" si="4"/>
        <v>9854.7489999999962</v>
      </c>
      <c r="N33" s="6"/>
      <c r="O33" s="5"/>
    </row>
    <row r="34" spans="1:15">
      <c r="A34" s="269">
        <v>31</v>
      </c>
      <c r="B34" s="266"/>
      <c r="C34" s="6"/>
      <c r="D34" s="6"/>
      <c r="E34" s="77">
        <v>0</v>
      </c>
      <c r="F34" s="6">
        <v>0</v>
      </c>
      <c r="G34" s="78">
        <f t="shared" si="0"/>
        <v>0</v>
      </c>
      <c r="H34" s="77">
        <v>0</v>
      </c>
      <c r="I34" s="6">
        <v>0</v>
      </c>
      <c r="J34" s="78">
        <f t="shared" si="1"/>
        <v>0</v>
      </c>
      <c r="K34" s="78">
        <f t="shared" si="2"/>
        <v>0</v>
      </c>
      <c r="L34" s="183">
        <f t="shared" si="3"/>
        <v>0</v>
      </c>
      <c r="M34" s="169">
        <f t="shared" si="4"/>
        <v>9854.7489999999962</v>
      </c>
      <c r="N34" s="6"/>
      <c r="O34" s="5"/>
    </row>
    <row r="35" spans="1:15">
      <c r="A35" s="6">
        <v>34</v>
      </c>
      <c r="B35" s="91"/>
      <c r="C35" s="6"/>
      <c r="D35" s="6"/>
      <c r="E35" s="77">
        <v>0</v>
      </c>
      <c r="F35" s="6">
        <v>0</v>
      </c>
      <c r="G35" s="78">
        <f t="shared" si="0"/>
        <v>0</v>
      </c>
      <c r="H35" s="77">
        <v>0</v>
      </c>
      <c r="I35" s="6">
        <v>0</v>
      </c>
      <c r="J35" s="78">
        <f t="shared" si="1"/>
        <v>0</v>
      </c>
      <c r="K35" s="78">
        <f t="shared" si="2"/>
        <v>0</v>
      </c>
      <c r="L35" s="183">
        <f t="shared" si="3"/>
        <v>0</v>
      </c>
      <c r="M35" s="169">
        <f t="shared" si="4"/>
        <v>9854.7489999999962</v>
      </c>
      <c r="N35" s="6"/>
      <c r="O35" s="5"/>
    </row>
    <row r="36" spans="1:15">
      <c r="A36" s="6">
        <v>35</v>
      </c>
      <c r="B36" s="91"/>
      <c r="C36" s="6"/>
      <c r="D36" s="6"/>
      <c r="E36" s="77">
        <v>0</v>
      </c>
      <c r="F36" s="6">
        <v>0</v>
      </c>
      <c r="G36" s="78">
        <f t="shared" si="0"/>
        <v>0</v>
      </c>
      <c r="H36" s="77">
        <v>0</v>
      </c>
      <c r="I36" s="6">
        <v>0</v>
      </c>
      <c r="J36" s="78">
        <f t="shared" si="1"/>
        <v>0</v>
      </c>
      <c r="K36" s="78">
        <f t="shared" si="2"/>
        <v>0</v>
      </c>
      <c r="L36" s="183">
        <f t="shared" si="3"/>
        <v>0</v>
      </c>
      <c r="M36" s="169">
        <f t="shared" si="4"/>
        <v>9854.7489999999962</v>
      </c>
      <c r="N36" s="6"/>
      <c r="O36" s="5"/>
    </row>
    <row r="37" spans="1:15">
      <c r="A37" s="6">
        <v>36</v>
      </c>
      <c r="B37" s="91"/>
      <c r="C37" s="6"/>
      <c r="D37" s="6"/>
      <c r="E37" s="77">
        <v>0</v>
      </c>
      <c r="F37" s="6">
        <v>0</v>
      </c>
      <c r="G37" s="78">
        <f t="shared" si="0"/>
        <v>0</v>
      </c>
      <c r="H37" s="77">
        <v>0</v>
      </c>
      <c r="I37" s="6">
        <v>0</v>
      </c>
      <c r="J37" s="78">
        <f t="shared" si="1"/>
        <v>0</v>
      </c>
      <c r="K37" s="78">
        <f t="shared" si="2"/>
        <v>0</v>
      </c>
      <c r="L37" s="183">
        <f t="shared" si="3"/>
        <v>0</v>
      </c>
      <c r="M37" s="169">
        <f t="shared" si="4"/>
        <v>9854.7489999999962</v>
      </c>
      <c r="N37" s="6"/>
      <c r="O37" s="5"/>
    </row>
    <row r="38" spans="1:15">
      <c r="A38" s="6">
        <v>37</v>
      </c>
      <c r="B38" s="91"/>
      <c r="C38" s="6"/>
      <c r="D38" s="6"/>
      <c r="E38" s="77">
        <v>0</v>
      </c>
      <c r="F38" s="6">
        <v>0</v>
      </c>
      <c r="G38" s="78">
        <f t="shared" si="0"/>
        <v>0</v>
      </c>
      <c r="H38" s="77">
        <v>0</v>
      </c>
      <c r="I38" s="6">
        <v>0</v>
      </c>
      <c r="J38" s="78">
        <f t="shared" si="1"/>
        <v>0</v>
      </c>
      <c r="K38" s="78">
        <f t="shared" si="2"/>
        <v>0</v>
      </c>
      <c r="L38" s="183">
        <f t="shared" si="3"/>
        <v>0</v>
      </c>
      <c r="M38" s="169">
        <f t="shared" si="4"/>
        <v>9854.7489999999962</v>
      </c>
      <c r="N38" s="6"/>
      <c r="O38" s="5"/>
    </row>
    <row r="39" spans="1:15">
      <c r="A39" s="6">
        <v>38</v>
      </c>
      <c r="B39" s="91"/>
      <c r="C39" s="6"/>
      <c r="D39" s="6"/>
      <c r="E39" s="77">
        <v>0</v>
      </c>
      <c r="F39" s="6">
        <v>0</v>
      </c>
      <c r="G39" s="78">
        <f t="shared" si="0"/>
        <v>0</v>
      </c>
      <c r="H39" s="77">
        <v>0</v>
      </c>
      <c r="I39" s="6">
        <v>0</v>
      </c>
      <c r="J39" s="78">
        <f t="shared" si="1"/>
        <v>0</v>
      </c>
      <c r="K39" s="78">
        <f t="shared" si="2"/>
        <v>0</v>
      </c>
      <c r="L39" s="183">
        <f t="shared" si="3"/>
        <v>0</v>
      </c>
      <c r="M39" s="169">
        <f t="shared" si="4"/>
        <v>9854.7489999999962</v>
      </c>
      <c r="N39" s="6"/>
      <c r="O39" s="5"/>
    </row>
    <row r="40" spans="1:15">
      <c r="A40" s="193">
        <v>39</v>
      </c>
      <c r="B40" s="194"/>
      <c r="C40" s="193"/>
      <c r="D40" s="6"/>
      <c r="E40" s="77">
        <v>0</v>
      </c>
      <c r="F40" s="6">
        <v>0</v>
      </c>
      <c r="G40" s="78">
        <f t="shared" si="0"/>
        <v>0</v>
      </c>
      <c r="H40" s="77">
        <v>0</v>
      </c>
      <c r="I40" s="6">
        <v>0</v>
      </c>
      <c r="J40" s="78">
        <f t="shared" si="1"/>
        <v>0</v>
      </c>
      <c r="K40" s="78">
        <f t="shared" si="2"/>
        <v>0</v>
      </c>
      <c r="L40" s="183">
        <f t="shared" si="3"/>
        <v>0</v>
      </c>
      <c r="M40" s="169">
        <f t="shared" si="4"/>
        <v>9854.7489999999962</v>
      </c>
      <c r="N40" s="193"/>
      <c r="O40" s="5"/>
    </row>
    <row r="41" spans="1:15">
      <c r="A41" s="6">
        <v>40</v>
      </c>
      <c r="B41" s="6"/>
      <c r="C41" s="6"/>
      <c r="D41" s="6"/>
      <c r="E41" s="77">
        <v>0</v>
      </c>
      <c r="F41" s="6">
        <v>0</v>
      </c>
      <c r="G41" s="78">
        <f t="shared" si="0"/>
        <v>0</v>
      </c>
      <c r="H41" s="77">
        <v>0</v>
      </c>
      <c r="I41" s="6">
        <v>0</v>
      </c>
      <c r="J41" s="78">
        <f t="shared" si="1"/>
        <v>0</v>
      </c>
      <c r="K41" s="78">
        <f t="shared" si="2"/>
        <v>0</v>
      </c>
      <c r="L41" s="183">
        <f t="shared" si="3"/>
        <v>0</v>
      </c>
      <c r="M41" s="169">
        <f t="shared" si="4"/>
        <v>9854.7489999999962</v>
      </c>
      <c r="N41" s="6"/>
      <c r="O41" s="5"/>
    </row>
    <row r="42" spans="1:15">
      <c r="A42" s="193">
        <v>41</v>
      </c>
      <c r="B42" s="193"/>
      <c r="C42" s="193"/>
      <c r="D42" s="6"/>
      <c r="E42" s="77">
        <v>0</v>
      </c>
      <c r="F42" s="6">
        <v>0</v>
      </c>
      <c r="G42" s="78">
        <f t="shared" si="0"/>
        <v>0</v>
      </c>
      <c r="H42" s="77">
        <v>0</v>
      </c>
      <c r="I42" s="6">
        <v>0</v>
      </c>
      <c r="J42" s="78">
        <f t="shared" si="1"/>
        <v>0</v>
      </c>
      <c r="K42" s="78">
        <f t="shared" si="2"/>
        <v>0</v>
      </c>
      <c r="L42" s="183">
        <f t="shared" si="3"/>
        <v>0</v>
      </c>
      <c r="M42" s="169">
        <f t="shared" si="4"/>
        <v>9854.7489999999962</v>
      </c>
      <c r="N42" s="193"/>
      <c r="O42" s="5"/>
    </row>
    <row r="43" spans="1:15">
      <c r="A43" s="193">
        <v>42</v>
      </c>
      <c r="B43" s="193"/>
      <c r="C43" s="193"/>
      <c r="D43" s="6"/>
      <c r="E43" s="77">
        <v>0</v>
      </c>
      <c r="F43" s="6">
        <v>0</v>
      </c>
      <c r="G43" s="78">
        <f t="shared" ref="G5:G43" si="5">E43*F43</f>
        <v>0</v>
      </c>
      <c r="H43" s="77">
        <v>0</v>
      </c>
      <c r="I43" s="6">
        <v>0</v>
      </c>
      <c r="J43" s="78">
        <f t="shared" ref="J5:J43" si="6">H43*I43</f>
        <v>0</v>
      </c>
      <c r="K43" s="78">
        <f t="shared" ref="K5:K43" si="7">G43+J43</f>
        <v>0</v>
      </c>
      <c r="L43" s="183">
        <f t="shared" ref="L5:L43" si="8">+K43</f>
        <v>0</v>
      </c>
      <c r="M43" s="169">
        <f t="shared" si="4"/>
        <v>9854.7489999999962</v>
      </c>
      <c r="N43" s="193"/>
      <c r="O43" s="5"/>
    </row>
    <row r="44" spans="1:15">
      <c r="A44" s="74"/>
      <c r="B44" s="74"/>
      <c r="C44" s="74"/>
      <c r="D44" s="74"/>
      <c r="E44" s="75">
        <f>SUM(E4:E43)</f>
        <v>2214.0299999999997</v>
      </c>
      <c r="F44" s="75"/>
      <c r="G44" s="75">
        <f>SUM(G4:G43)</f>
        <v>201985.95689999999</v>
      </c>
      <c r="H44" s="75">
        <f>SUM(H4:H43)</f>
        <v>4.5199999999999996</v>
      </c>
      <c r="I44" s="75"/>
      <c r="J44" s="75">
        <f>SUM(J4:J43)</f>
        <v>499.32439999999997</v>
      </c>
      <c r="K44" s="75">
        <f>SUM(K4:K43)</f>
        <v>202485.2813</v>
      </c>
      <c r="L44" s="75">
        <f>SUM(L4:L43)</f>
        <v>192630.53230000002</v>
      </c>
      <c r="M44" s="75">
        <f>SUM(M4:M43)</f>
        <v>501829.5054000002</v>
      </c>
      <c r="N44" s="75"/>
      <c r="O44" s="71"/>
    </row>
    <row r="45" spans="1:15">
      <c r="A45" s="5"/>
      <c r="B45" s="5"/>
      <c r="C45" s="5"/>
      <c r="D45" s="5"/>
      <c r="E45" s="5"/>
      <c r="F45" s="5"/>
      <c r="G45" s="115"/>
      <c r="H45" s="5"/>
      <c r="I45" s="5"/>
      <c r="J45" s="115"/>
      <c r="K45" s="5"/>
      <c r="L45" s="115"/>
      <c r="M45" s="115"/>
      <c r="N45" s="5"/>
      <c r="O45" s="5"/>
    </row>
    <row r="46" spans="1:15">
      <c r="A46" s="5"/>
      <c r="B46" s="5"/>
      <c r="C46" s="5"/>
      <c r="D46" s="5"/>
      <c r="E46" s="5"/>
      <c r="F46" s="5"/>
      <c r="G46" s="115"/>
      <c r="H46" s="5"/>
      <c r="I46" s="5"/>
      <c r="J46" s="115"/>
      <c r="K46" s="5"/>
      <c r="L46" s="115"/>
      <c r="M46" s="115"/>
      <c r="N46" s="5"/>
      <c r="O46" s="5"/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20EFF-7FC6-455A-AFB9-5E2CE46C92B6}">
  <sheetPr>
    <tabColor rgb="FF92D050"/>
  </sheetPr>
  <dimension ref="A1:O48"/>
  <sheetViews>
    <sheetView topLeftCell="A24" workbookViewId="0">
      <selection activeCell="R27" sqref="R27"/>
    </sheetView>
  </sheetViews>
  <sheetFormatPr defaultRowHeight="15"/>
  <cols>
    <col min="2" max="2" width="10.85546875" bestFit="1" customWidth="1"/>
    <col min="4" max="4" width="16.140625" customWidth="1"/>
    <col min="7" max="7" width="10.85546875" bestFit="1" customWidth="1"/>
    <col min="11" max="12" width="16" customWidth="1"/>
    <col min="13" max="13" width="11.28515625" bestFit="1" customWidth="1"/>
    <col min="14" max="14" width="14.7109375" bestFit="1" customWidth="1"/>
  </cols>
  <sheetData>
    <row r="1" spans="1:15" ht="15.75">
      <c r="A1" s="458" t="s">
        <v>86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5"/>
    </row>
    <row r="2" spans="1:15" ht="30.75">
      <c r="A2" s="76" t="s">
        <v>102</v>
      </c>
      <c r="B2" s="96" t="s">
        <v>103</v>
      </c>
      <c r="C2" s="96" t="s">
        <v>104</v>
      </c>
      <c r="D2" s="96" t="s">
        <v>150</v>
      </c>
      <c r="E2" s="96" t="s">
        <v>106</v>
      </c>
      <c r="F2" s="96" t="s">
        <v>107</v>
      </c>
      <c r="G2" s="103" t="s">
        <v>108</v>
      </c>
      <c r="H2" s="96" t="s">
        <v>109</v>
      </c>
      <c r="I2" s="96" t="s">
        <v>107</v>
      </c>
      <c r="J2" s="103" t="s">
        <v>108</v>
      </c>
      <c r="K2" s="76" t="s">
        <v>110</v>
      </c>
      <c r="L2" s="104" t="s">
        <v>111</v>
      </c>
      <c r="M2" s="98" t="s">
        <v>149</v>
      </c>
      <c r="N2" s="96" t="s">
        <v>113</v>
      </c>
      <c r="O2" s="5"/>
    </row>
    <row r="3" spans="1:15">
      <c r="A3" s="471" t="s">
        <v>114</v>
      </c>
      <c r="B3" s="472"/>
      <c r="C3" s="472"/>
      <c r="D3" s="472"/>
      <c r="E3" s="472"/>
      <c r="F3" s="472"/>
      <c r="G3" s="472"/>
      <c r="H3" s="472"/>
      <c r="I3" s="472"/>
      <c r="J3" s="472"/>
      <c r="K3" s="472"/>
      <c r="L3" s="473"/>
      <c r="M3" s="474">
        <v>0</v>
      </c>
      <c r="N3" s="475"/>
      <c r="O3" s="5"/>
    </row>
    <row r="4" spans="1:15">
      <c r="A4" s="231">
        <v>1</v>
      </c>
      <c r="B4" s="266"/>
      <c r="C4" s="6"/>
      <c r="D4" s="6"/>
      <c r="E4" s="77">
        <v>0</v>
      </c>
      <c r="F4" s="6">
        <v>0</v>
      </c>
      <c r="G4" s="78">
        <f>E4*F4</f>
        <v>0</v>
      </c>
      <c r="H4" s="77">
        <v>0</v>
      </c>
      <c r="I4" s="6">
        <v>0</v>
      </c>
      <c r="J4" s="78">
        <f>H4*I4</f>
        <v>0</v>
      </c>
      <c r="K4" s="78">
        <f>G4+J4</f>
        <v>0</v>
      </c>
      <c r="L4" s="183">
        <f>+K4</f>
        <v>0</v>
      </c>
      <c r="M4" s="169">
        <f>M3+K4-L4</f>
        <v>0</v>
      </c>
      <c r="N4" s="55" t="s">
        <v>161</v>
      </c>
      <c r="O4" s="5"/>
    </row>
    <row r="5" spans="1:15">
      <c r="A5" s="55">
        <v>2</v>
      </c>
      <c r="B5" s="266"/>
      <c r="C5" s="6"/>
      <c r="D5" s="6"/>
      <c r="E5" s="77">
        <v>0</v>
      </c>
      <c r="F5" s="6">
        <v>0</v>
      </c>
      <c r="G5" s="78">
        <f t="shared" ref="G5:G36" si="0">E5*F5</f>
        <v>0</v>
      </c>
      <c r="H5" s="77">
        <v>0</v>
      </c>
      <c r="I5" s="6">
        <v>0</v>
      </c>
      <c r="J5" s="78">
        <f t="shared" ref="J5:J36" si="1">H5*I5</f>
        <v>0</v>
      </c>
      <c r="K5" s="78">
        <f t="shared" ref="K5:K36" si="2">G5+J5</f>
        <v>0</v>
      </c>
      <c r="L5" s="183">
        <f t="shared" ref="L5:L36" si="3">+K5</f>
        <v>0</v>
      </c>
      <c r="M5" s="169">
        <f t="shared" ref="M5:M45" si="4">M4+K5-L5</f>
        <v>0</v>
      </c>
      <c r="N5" s="55" t="s">
        <v>161</v>
      </c>
      <c r="O5" s="5"/>
    </row>
    <row r="6" spans="1:15">
      <c r="A6" s="55">
        <v>3</v>
      </c>
      <c r="B6" s="266"/>
      <c r="C6" s="6"/>
      <c r="D6" s="6"/>
      <c r="E6" s="77">
        <v>0</v>
      </c>
      <c r="F6" s="6">
        <v>0</v>
      </c>
      <c r="G6" s="78">
        <f t="shared" si="0"/>
        <v>0</v>
      </c>
      <c r="H6" s="77">
        <v>0</v>
      </c>
      <c r="I6" s="6">
        <v>0</v>
      </c>
      <c r="J6" s="78">
        <f t="shared" si="1"/>
        <v>0</v>
      </c>
      <c r="K6" s="78">
        <f t="shared" si="2"/>
        <v>0</v>
      </c>
      <c r="L6" s="183">
        <f t="shared" si="3"/>
        <v>0</v>
      </c>
      <c r="M6" s="169">
        <f t="shared" si="4"/>
        <v>0</v>
      </c>
      <c r="N6" s="55" t="s">
        <v>161</v>
      </c>
      <c r="O6" s="5"/>
    </row>
    <row r="7" spans="1:15">
      <c r="A7" s="231">
        <v>4</v>
      </c>
      <c r="B7" s="266" t="s">
        <v>163</v>
      </c>
      <c r="C7" s="6"/>
      <c r="D7" s="6"/>
      <c r="E7" s="77">
        <v>0</v>
      </c>
      <c r="F7" s="6">
        <v>0</v>
      </c>
      <c r="G7" s="78">
        <f t="shared" si="0"/>
        <v>0</v>
      </c>
      <c r="H7" s="77">
        <v>4.83</v>
      </c>
      <c r="I7" s="6">
        <v>103.39</v>
      </c>
      <c r="J7" s="78">
        <f t="shared" si="1"/>
        <v>499.37369999999999</v>
      </c>
      <c r="K7" s="78">
        <f t="shared" si="2"/>
        <v>499.37369999999999</v>
      </c>
      <c r="L7" s="183">
        <f t="shared" si="3"/>
        <v>499.37369999999999</v>
      </c>
      <c r="M7" s="169">
        <f t="shared" si="4"/>
        <v>0</v>
      </c>
      <c r="N7" s="55" t="s">
        <v>161</v>
      </c>
      <c r="O7" s="5"/>
    </row>
    <row r="8" spans="1:15">
      <c r="A8" s="55">
        <v>5</v>
      </c>
      <c r="B8" s="266" t="s">
        <v>165</v>
      </c>
      <c r="C8" s="6"/>
      <c r="D8" s="6"/>
      <c r="E8" s="77">
        <v>0</v>
      </c>
      <c r="F8" s="6">
        <v>0</v>
      </c>
      <c r="G8" s="78">
        <f t="shared" si="0"/>
        <v>0</v>
      </c>
      <c r="H8" s="77">
        <v>4.83</v>
      </c>
      <c r="I8" s="6">
        <v>103.39</v>
      </c>
      <c r="J8" s="78">
        <f t="shared" si="1"/>
        <v>499.37369999999999</v>
      </c>
      <c r="K8" s="78">
        <f t="shared" si="2"/>
        <v>499.37369999999999</v>
      </c>
      <c r="L8" s="183">
        <f t="shared" si="3"/>
        <v>499.37369999999999</v>
      </c>
      <c r="M8" s="169">
        <f t="shared" si="4"/>
        <v>0</v>
      </c>
      <c r="N8" s="55" t="s">
        <v>161</v>
      </c>
      <c r="O8" s="5"/>
    </row>
    <row r="9" spans="1:15">
      <c r="A9" s="55">
        <v>6</v>
      </c>
      <c r="B9" s="266"/>
      <c r="C9" s="6"/>
      <c r="D9" s="6"/>
      <c r="E9" s="77">
        <v>0</v>
      </c>
      <c r="F9" s="6">
        <v>0</v>
      </c>
      <c r="G9" s="78">
        <f t="shared" si="0"/>
        <v>0</v>
      </c>
      <c r="H9" s="77">
        <v>0</v>
      </c>
      <c r="I9" s="6">
        <v>0</v>
      </c>
      <c r="J9" s="78">
        <f t="shared" si="1"/>
        <v>0</v>
      </c>
      <c r="K9" s="78">
        <f t="shared" si="2"/>
        <v>0</v>
      </c>
      <c r="L9" s="183">
        <f t="shared" si="3"/>
        <v>0</v>
      </c>
      <c r="M9" s="169">
        <f t="shared" si="4"/>
        <v>0</v>
      </c>
      <c r="N9" s="55" t="s">
        <v>161</v>
      </c>
      <c r="O9" s="5"/>
    </row>
    <row r="10" spans="1:15">
      <c r="A10" s="231">
        <v>7</v>
      </c>
      <c r="B10" s="266"/>
      <c r="C10" s="6"/>
      <c r="D10" s="6"/>
      <c r="E10" s="77">
        <v>0</v>
      </c>
      <c r="F10" s="6">
        <v>0</v>
      </c>
      <c r="G10" s="78">
        <f t="shared" si="0"/>
        <v>0</v>
      </c>
      <c r="H10" s="77">
        <v>0</v>
      </c>
      <c r="I10" s="6">
        <v>0</v>
      </c>
      <c r="J10" s="78">
        <f t="shared" si="1"/>
        <v>0</v>
      </c>
      <c r="K10" s="78">
        <f t="shared" si="2"/>
        <v>0</v>
      </c>
      <c r="L10" s="183">
        <f t="shared" si="3"/>
        <v>0</v>
      </c>
      <c r="M10" s="169">
        <f t="shared" si="4"/>
        <v>0</v>
      </c>
      <c r="N10" s="55" t="s">
        <v>161</v>
      </c>
      <c r="O10" s="5"/>
    </row>
    <row r="11" spans="1:15">
      <c r="A11" s="55">
        <v>8</v>
      </c>
      <c r="B11" s="266"/>
      <c r="C11" s="6"/>
      <c r="D11" s="6"/>
      <c r="E11" s="77">
        <v>0</v>
      </c>
      <c r="F11" s="6">
        <v>0</v>
      </c>
      <c r="G11" s="78">
        <f t="shared" si="0"/>
        <v>0</v>
      </c>
      <c r="H11" s="77">
        <v>0</v>
      </c>
      <c r="I11" s="6">
        <v>0</v>
      </c>
      <c r="J11" s="78">
        <f t="shared" si="1"/>
        <v>0</v>
      </c>
      <c r="K11" s="78">
        <f t="shared" si="2"/>
        <v>0</v>
      </c>
      <c r="L11" s="183">
        <f t="shared" si="3"/>
        <v>0</v>
      </c>
      <c r="M11" s="169">
        <f t="shared" si="4"/>
        <v>0</v>
      </c>
      <c r="N11" s="55" t="s">
        <v>161</v>
      </c>
      <c r="O11" s="5"/>
    </row>
    <row r="12" spans="1:15">
      <c r="A12" s="55">
        <v>9</v>
      </c>
      <c r="B12" s="266"/>
      <c r="C12" s="6"/>
      <c r="D12" s="6"/>
      <c r="E12" s="77">
        <v>0</v>
      </c>
      <c r="F12" s="6">
        <v>0</v>
      </c>
      <c r="G12" s="78">
        <f t="shared" si="0"/>
        <v>0</v>
      </c>
      <c r="H12" s="77">
        <v>0</v>
      </c>
      <c r="I12" s="6">
        <v>0</v>
      </c>
      <c r="J12" s="78">
        <f t="shared" si="1"/>
        <v>0</v>
      </c>
      <c r="K12" s="78">
        <f t="shared" si="2"/>
        <v>0</v>
      </c>
      <c r="L12" s="183">
        <f t="shared" si="3"/>
        <v>0</v>
      </c>
      <c r="M12" s="169">
        <f t="shared" si="4"/>
        <v>0</v>
      </c>
      <c r="N12" s="55" t="s">
        <v>161</v>
      </c>
      <c r="O12" s="5"/>
    </row>
    <row r="13" spans="1:15">
      <c r="A13" s="231">
        <v>10</v>
      </c>
      <c r="B13" s="266"/>
      <c r="C13" s="6"/>
      <c r="D13" s="6"/>
      <c r="E13" s="77">
        <v>0</v>
      </c>
      <c r="F13" s="6">
        <v>0</v>
      </c>
      <c r="G13" s="78">
        <f t="shared" si="0"/>
        <v>0</v>
      </c>
      <c r="H13" s="77">
        <v>0</v>
      </c>
      <c r="I13" s="6">
        <v>0</v>
      </c>
      <c r="J13" s="78">
        <f t="shared" si="1"/>
        <v>0</v>
      </c>
      <c r="K13" s="78">
        <f t="shared" si="2"/>
        <v>0</v>
      </c>
      <c r="L13" s="183">
        <f t="shared" si="3"/>
        <v>0</v>
      </c>
      <c r="M13" s="169">
        <f t="shared" si="4"/>
        <v>0</v>
      </c>
      <c r="N13" s="55" t="s">
        <v>161</v>
      </c>
      <c r="O13" s="5"/>
    </row>
    <row r="14" spans="1:15">
      <c r="A14" s="55">
        <v>11</v>
      </c>
      <c r="B14" s="266"/>
      <c r="C14" s="6"/>
      <c r="D14" s="6"/>
      <c r="E14" s="77">
        <v>0</v>
      </c>
      <c r="F14" s="6">
        <v>0</v>
      </c>
      <c r="G14" s="78">
        <f t="shared" si="0"/>
        <v>0</v>
      </c>
      <c r="H14" s="77">
        <v>0</v>
      </c>
      <c r="I14" s="6">
        <v>0</v>
      </c>
      <c r="J14" s="78">
        <f t="shared" si="1"/>
        <v>0</v>
      </c>
      <c r="K14" s="78">
        <f t="shared" si="2"/>
        <v>0</v>
      </c>
      <c r="L14" s="183">
        <f t="shared" si="3"/>
        <v>0</v>
      </c>
      <c r="M14" s="169">
        <f t="shared" si="4"/>
        <v>0</v>
      </c>
      <c r="N14" s="55" t="s">
        <v>161</v>
      </c>
      <c r="O14" s="5"/>
    </row>
    <row r="15" spans="1:15">
      <c r="A15" s="55">
        <v>12</v>
      </c>
      <c r="B15" s="266"/>
      <c r="C15" s="6"/>
      <c r="D15" s="6"/>
      <c r="E15" s="77">
        <v>0</v>
      </c>
      <c r="F15" s="6">
        <v>0</v>
      </c>
      <c r="G15" s="78">
        <f t="shared" si="0"/>
        <v>0</v>
      </c>
      <c r="H15" s="77">
        <v>0</v>
      </c>
      <c r="I15" s="6">
        <v>0</v>
      </c>
      <c r="J15" s="78">
        <f t="shared" si="1"/>
        <v>0</v>
      </c>
      <c r="K15" s="78">
        <f t="shared" si="2"/>
        <v>0</v>
      </c>
      <c r="L15" s="183">
        <f t="shared" si="3"/>
        <v>0</v>
      </c>
      <c r="M15" s="169">
        <f t="shared" si="4"/>
        <v>0</v>
      </c>
      <c r="N15" s="55" t="s">
        <v>161</v>
      </c>
      <c r="O15" s="5"/>
    </row>
    <row r="16" spans="1:15">
      <c r="A16" s="231">
        <v>13</v>
      </c>
      <c r="B16" s="266" t="s">
        <v>169</v>
      </c>
      <c r="C16" s="6"/>
      <c r="D16" s="6"/>
      <c r="E16" s="77">
        <v>0</v>
      </c>
      <c r="F16" s="6">
        <v>0</v>
      </c>
      <c r="G16" s="78">
        <f t="shared" si="0"/>
        <v>0</v>
      </c>
      <c r="H16" s="77">
        <v>4.83</v>
      </c>
      <c r="I16" s="6">
        <v>103.39</v>
      </c>
      <c r="J16" s="78">
        <f t="shared" si="1"/>
        <v>499.37369999999999</v>
      </c>
      <c r="K16" s="78">
        <f t="shared" si="2"/>
        <v>499.37369999999999</v>
      </c>
      <c r="L16" s="183">
        <f t="shared" si="3"/>
        <v>499.37369999999999</v>
      </c>
      <c r="M16" s="169">
        <f t="shared" si="4"/>
        <v>0</v>
      </c>
      <c r="N16" s="55" t="s">
        <v>161</v>
      </c>
      <c r="O16" s="5"/>
    </row>
    <row r="17" spans="1:15">
      <c r="A17" s="55">
        <v>14</v>
      </c>
      <c r="B17" s="266" t="s">
        <v>173</v>
      </c>
      <c r="C17" s="6"/>
      <c r="D17" s="6"/>
      <c r="E17" s="77">
        <v>0</v>
      </c>
      <c r="F17" s="6">
        <v>0</v>
      </c>
      <c r="G17" s="78">
        <f t="shared" si="0"/>
        <v>0</v>
      </c>
      <c r="H17" s="77">
        <v>4.83</v>
      </c>
      <c r="I17" s="6">
        <v>103.39</v>
      </c>
      <c r="J17" s="78">
        <f t="shared" si="1"/>
        <v>499.37369999999999</v>
      </c>
      <c r="K17" s="78">
        <f t="shared" si="2"/>
        <v>499.37369999999999</v>
      </c>
      <c r="L17" s="183">
        <f t="shared" si="3"/>
        <v>499.37369999999999</v>
      </c>
      <c r="M17" s="169">
        <f t="shared" si="4"/>
        <v>0</v>
      </c>
      <c r="N17" s="55" t="s">
        <v>161</v>
      </c>
      <c r="O17" s="5"/>
    </row>
    <row r="18" spans="1:15">
      <c r="A18" s="55">
        <v>15</v>
      </c>
      <c r="B18" s="266" t="s">
        <v>184</v>
      </c>
      <c r="C18" s="6"/>
      <c r="D18" s="6"/>
      <c r="E18" s="77">
        <v>115</v>
      </c>
      <c r="F18" s="6">
        <v>91.45</v>
      </c>
      <c r="G18" s="78">
        <f t="shared" si="0"/>
        <v>10516.75</v>
      </c>
      <c r="H18" s="77">
        <v>0</v>
      </c>
      <c r="I18" s="6">
        <v>0</v>
      </c>
      <c r="J18" s="78">
        <f t="shared" si="1"/>
        <v>0</v>
      </c>
      <c r="K18" s="78">
        <f t="shared" si="2"/>
        <v>10516.75</v>
      </c>
      <c r="L18" s="183">
        <v>9602</v>
      </c>
      <c r="M18" s="169">
        <f t="shared" si="4"/>
        <v>914.75</v>
      </c>
      <c r="N18" s="55" t="s">
        <v>161</v>
      </c>
      <c r="O18" s="5"/>
    </row>
    <row r="19" spans="1:15">
      <c r="A19" s="231">
        <v>16</v>
      </c>
      <c r="B19" s="266" t="s">
        <v>179</v>
      </c>
      <c r="C19" s="6"/>
      <c r="D19" s="6"/>
      <c r="E19" s="77">
        <v>87.48</v>
      </c>
      <c r="F19" s="6">
        <v>91.45</v>
      </c>
      <c r="G19" s="78">
        <f>E19*F19</f>
        <v>8000.0460000000003</v>
      </c>
      <c r="H19" s="77">
        <v>4.83</v>
      </c>
      <c r="I19" s="6">
        <v>103.39</v>
      </c>
      <c r="J19" s="78">
        <f t="shared" si="1"/>
        <v>499.37369999999999</v>
      </c>
      <c r="K19" s="78">
        <f t="shared" si="2"/>
        <v>8499.4197000000004</v>
      </c>
      <c r="L19" s="183">
        <v>0</v>
      </c>
      <c r="M19" s="169">
        <f t="shared" si="4"/>
        <v>9414.1697000000004</v>
      </c>
      <c r="N19" s="55" t="s">
        <v>161</v>
      </c>
      <c r="O19" s="5"/>
    </row>
    <row r="20" spans="1:15">
      <c r="A20" s="55">
        <v>17</v>
      </c>
      <c r="B20" s="266" t="s">
        <v>182</v>
      </c>
      <c r="C20" s="6"/>
      <c r="D20" s="6"/>
      <c r="E20" s="77">
        <v>0</v>
      </c>
      <c r="F20" s="6">
        <v>0</v>
      </c>
      <c r="G20" s="78">
        <f t="shared" si="0"/>
        <v>0</v>
      </c>
      <c r="H20" s="77">
        <v>4.83</v>
      </c>
      <c r="I20" s="6">
        <v>103.39</v>
      </c>
      <c r="J20" s="78">
        <f t="shared" si="1"/>
        <v>499.37369999999999</v>
      </c>
      <c r="K20" s="78">
        <f t="shared" si="2"/>
        <v>499.37369999999999</v>
      </c>
      <c r="L20" s="183">
        <v>0</v>
      </c>
      <c r="M20" s="169">
        <f t="shared" si="4"/>
        <v>9913.5434000000005</v>
      </c>
      <c r="N20" s="55" t="s">
        <v>161</v>
      </c>
      <c r="O20" s="5"/>
    </row>
    <row r="21" spans="1:15">
      <c r="A21" s="55">
        <v>18</v>
      </c>
      <c r="B21" s="266" t="s">
        <v>185</v>
      </c>
      <c r="C21" s="6"/>
      <c r="D21" s="6"/>
      <c r="E21" s="77">
        <v>192.46</v>
      </c>
      <c r="F21" s="6">
        <v>91.45</v>
      </c>
      <c r="G21" s="78">
        <f t="shared" si="0"/>
        <v>17600.467000000001</v>
      </c>
      <c r="H21" s="77">
        <v>0</v>
      </c>
      <c r="I21" s="6">
        <v>0</v>
      </c>
      <c r="J21" s="78">
        <f t="shared" si="1"/>
        <v>0</v>
      </c>
      <c r="K21" s="78">
        <f t="shared" si="2"/>
        <v>17600.467000000001</v>
      </c>
      <c r="L21" s="183">
        <v>0</v>
      </c>
      <c r="M21" s="169">
        <f t="shared" si="4"/>
        <v>27514.010399999999</v>
      </c>
      <c r="N21" s="55" t="s">
        <v>161</v>
      </c>
      <c r="O21" s="5"/>
    </row>
    <row r="22" spans="1:15">
      <c r="A22" s="231">
        <v>19</v>
      </c>
      <c r="B22" s="266"/>
      <c r="C22" s="6"/>
      <c r="D22" s="6"/>
      <c r="E22" s="77">
        <v>0</v>
      </c>
      <c r="F22" s="6">
        <v>0</v>
      </c>
      <c r="G22" s="78">
        <f t="shared" si="0"/>
        <v>0</v>
      </c>
      <c r="H22" s="77">
        <v>0</v>
      </c>
      <c r="I22" s="6">
        <v>0</v>
      </c>
      <c r="J22" s="78">
        <f t="shared" si="1"/>
        <v>0</v>
      </c>
      <c r="K22" s="78">
        <f t="shared" si="2"/>
        <v>0</v>
      </c>
      <c r="L22" s="183">
        <f t="shared" si="3"/>
        <v>0</v>
      </c>
      <c r="M22" s="169">
        <f t="shared" si="4"/>
        <v>27514.010399999999</v>
      </c>
      <c r="N22" s="55" t="s">
        <v>161</v>
      </c>
      <c r="O22" s="5"/>
    </row>
    <row r="23" spans="1:15">
      <c r="A23" s="55">
        <v>20</v>
      </c>
      <c r="B23" s="266"/>
      <c r="C23" s="6"/>
      <c r="D23" s="6"/>
      <c r="E23" s="77">
        <v>0</v>
      </c>
      <c r="F23" s="6">
        <v>0</v>
      </c>
      <c r="G23" s="78">
        <f t="shared" si="0"/>
        <v>0</v>
      </c>
      <c r="H23" s="77">
        <v>0</v>
      </c>
      <c r="I23" s="6">
        <v>0</v>
      </c>
      <c r="J23" s="78">
        <f t="shared" si="1"/>
        <v>0</v>
      </c>
      <c r="K23" s="78">
        <f t="shared" si="2"/>
        <v>0</v>
      </c>
      <c r="L23" s="183">
        <f t="shared" si="3"/>
        <v>0</v>
      </c>
      <c r="M23" s="169">
        <f t="shared" si="4"/>
        <v>27514.010399999999</v>
      </c>
      <c r="N23" s="55" t="s">
        <v>161</v>
      </c>
      <c r="O23" s="5"/>
    </row>
    <row r="24" spans="1:15">
      <c r="A24" s="55">
        <v>21</v>
      </c>
      <c r="B24" s="266"/>
      <c r="C24" s="6"/>
      <c r="D24" s="6"/>
      <c r="E24" s="77">
        <v>0</v>
      </c>
      <c r="F24" s="6">
        <v>0</v>
      </c>
      <c r="G24" s="78">
        <f t="shared" si="0"/>
        <v>0</v>
      </c>
      <c r="H24" s="77">
        <v>0</v>
      </c>
      <c r="I24" s="6">
        <v>0</v>
      </c>
      <c r="J24" s="78">
        <f t="shared" si="1"/>
        <v>0</v>
      </c>
      <c r="K24" s="78">
        <f t="shared" si="2"/>
        <v>0</v>
      </c>
      <c r="L24" s="183">
        <f t="shared" si="3"/>
        <v>0</v>
      </c>
      <c r="M24" s="169">
        <f t="shared" si="4"/>
        <v>27514.010399999999</v>
      </c>
      <c r="N24" s="55" t="s">
        <v>161</v>
      </c>
      <c r="O24" s="5"/>
    </row>
    <row r="25" spans="1:15">
      <c r="A25" s="231">
        <v>22</v>
      </c>
      <c r="B25" s="266"/>
      <c r="C25" s="6"/>
      <c r="D25" s="6"/>
      <c r="E25" s="77">
        <v>0</v>
      </c>
      <c r="F25" s="6">
        <v>0</v>
      </c>
      <c r="G25" s="78">
        <f t="shared" si="0"/>
        <v>0</v>
      </c>
      <c r="H25" s="77">
        <v>0</v>
      </c>
      <c r="I25" s="6">
        <v>0</v>
      </c>
      <c r="J25" s="78">
        <f t="shared" si="1"/>
        <v>0</v>
      </c>
      <c r="K25" s="78">
        <f t="shared" si="2"/>
        <v>0</v>
      </c>
      <c r="L25" s="183">
        <f t="shared" si="3"/>
        <v>0</v>
      </c>
      <c r="M25" s="169">
        <f t="shared" si="4"/>
        <v>27514.010399999999</v>
      </c>
      <c r="N25" s="55" t="s">
        <v>161</v>
      </c>
      <c r="O25" s="5"/>
    </row>
    <row r="26" spans="1:15">
      <c r="A26" s="55">
        <v>23</v>
      </c>
      <c r="B26" s="266"/>
      <c r="C26" s="6"/>
      <c r="D26" s="6"/>
      <c r="E26" s="77">
        <v>0</v>
      </c>
      <c r="F26" s="6">
        <v>0</v>
      </c>
      <c r="G26" s="78">
        <f t="shared" si="0"/>
        <v>0</v>
      </c>
      <c r="H26" s="77">
        <v>0</v>
      </c>
      <c r="I26" s="6">
        <v>0</v>
      </c>
      <c r="J26" s="78">
        <f t="shared" si="1"/>
        <v>0</v>
      </c>
      <c r="K26" s="78">
        <f t="shared" si="2"/>
        <v>0</v>
      </c>
      <c r="L26" s="183">
        <f t="shared" si="3"/>
        <v>0</v>
      </c>
      <c r="M26" s="169">
        <f t="shared" si="4"/>
        <v>27514.010399999999</v>
      </c>
      <c r="N26" s="55" t="s">
        <v>161</v>
      </c>
      <c r="O26" s="5"/>
    </row>
    <row r="27" spans="1:15">
      <c r="A27" s="55">
        <v>24</v>
      </c>
      <c r="B27" s="266"/>
      <c r="C27" s="6"/>
      <c r="D27" s="6"/>
      <c r="E27" s="77">
        <v>0</v>
      </c>
      <c r="F27" s="6">
        <v>0</v>
      </c>
      <c r="G27" s="78">
        <f t="shared" si="0"/>
        <v>0</v>
      </c>
      <c r="H27" s="77">
        <v>0</v>
      </c>
      <c r="I27" s="6">
        <v>0</v>
      </c>
      <c r="J27" s="78">
        <f t="shared" si="1"/>
        <v>0</v>
      </c>
      <c r="K27" s="78">
        <f t="shared" si="2"/>
        <v>0</v>
      </c>
      <c r="L27" s="183">
        <f t="shared" si="3"/>
        <v>0</v>
      </c>
      <c r="M27" s="169">
        <f t="shared" si="4"/>
        <v>27514.010399999999</v>
      </c>
      <c r="N27" s="55" t="s">
        <v>161</v>
      </c>
      <c r="O27" s="5"/>
    </row>
    <row r="28" spans="1:15">
      <c r="A28" s="231">
        <v>25</v>
      </c>
      <c r="B28" s="266"/>
      <c r="C28" s="6"/>
      <c r="D28" s="6"/>
      <c r="E28" s="77">
        <v>0</v>
      </c>
      <c r="F28" s="6">
        <v>0</v>
      </c>
      <c r="G28" s="78">
        <f t="shared" si="0"/>
        <v>0</v>
      </c>
      <c r="H28" s="77">
        <v>0</v>
      </c>
      <c r="I28" s="6">
        <v>0</v>
      </c>
      <c r="J28" s="78">
        <f t="shared" si="1"/>
        <v>0</v>
      </c>
      <c r="K28" s="78">
        <f t="shared" si="2"/>
        <v>0</v>
      </c>
      <c r="L28" s="183">
        <f t="shared" si="3"/>
        <v>0</v>
      </c>
      <c r="M28" s="169">
        <f t="shared" si="4"/>
        <v>27514.010399999999</v>
      </c>
      <c r="N28" s="55" t="s">
        <v>161</v>
      </c>
      <c r="O28" s="5"/>
    </row>
    <row r="29" spans="1:15">
      <c r="A29" s="55">
        <v>26</v>
      </c>
      <c r="B29" s="266"/>
      <c r="C29" s="6"/>
      <c r="D29" s="6"/>
      <c r="E29" s="77">
        <v>0</v>
      </c>
      <c r="F29" s="6">
        <v>0</v>
      </c>
      <c r="G29" s="78">
        <f t="shared" si="0"/>
        <v>0</v>
      </c>
      <c r="H29" s="77">
        <v>0</v>
      </c>
      <c r="I29" s="6">
        <v>0</v>
      </c>
      <c r="J29" s="78">
        <f t="shared" si="1"/>
        <v>0</v>
      </c>
      <c r="K29" s="78">
        <f t="shared" si="2"/>
        <v>0</v>
      </c>
      <c r="L29" s="183">
        <f t="shared" si="3"/>
        <v>0</v>
      </c>
      <c r="M29" s="169">
        <f t="shared" si="4"/>
        <v>27514.010399999999</v>
      </c>
      <c r="N29" s="55" t="s">
        <v>161</v>
      </c>
      <c r="O29" s="5"/>
    </row>
    <row r="30" spans="1:15">
      <c r="A30" s="55">
        <v>27</v>
      </c>
      <c r="B30" s="266"/>
      <c r="C30" s="6"/>
      <c r="D30" s="6"/>
      <c r="E30" s="77">
        <v>0</v>
      </c>
      <c r="F30" s="6">
        <v>0</v>
      </c>
      <c r="G30" s="78">
        <f t="shared" si="0"/>
        <v>0</v>
      </c>
      <c r="H30" s="77">
        <v>0</v>
      </c>
      <c r="I30" s="6">
        <v>0</v>
      </c>
      <c r="J30" s="78">
        <f t="shared" si="1"/>
        <v>0</v>
      </c>
      <c r="K30" s="78">
        <f t="shared" si="2"/>
        <v>0</v>
      </c>
      <c r="L30" s="183">
        <f t="shared" si="3"/>
        <v>0</v>
      </c>
      <c r="M30" s="169">
        <f t="shared" si="4"/>
        <v>27514.010399999999</v>
      </c>
      <c r="N30" s="55" t="s">
        <v>161</v>
      </c>
      <c r="O30" s="5"/>
    </row>
    <row r="31" spans="1:15">
      <c r="A31" s="231">
        <v>28</v>
      </c>
      <c r="B31" s="266"/>
      <c r="C31" s="6"/>
      <c r="D31" s="6"/>
      <c r="E31" s="77">
        <v>0</v>
      </c>
      <c r="F31" s="6">
        <v>0</v>
      </c>
      <c r="G31" s="78">
        <f t="shared" si="0"/>
        <v>0</v>
      </c>
      <c r="H31" s="77">
        <v>0</v>
      </c>
      <c r="I31" s="6">
        <v>0</v>
      </c>
      <c r="J31" s="78">
        <f t="shared" si="1"/>
        <v>0</v>
      </c>
      <c r="K31" s="78">
        <f t="shared" si="2"/>
        <v>0</v>
      </c>
      <c r="L31" s="183">
        <f t="shared" si="3"/>
        <v>0</v>
      </c>
      <c r="M31" s="169">
        <f t="shared" si="4"/>
        <v>27514.010399999999</v>
      </c>
      <c r="N31" s="55" t="s">
        <v>161</v>
      </c>
      <c r="O31" s="5"/>
    </row>
    <row r="32" spans="1:15">
      <c r="A32" s="55">
        <v>29</v>
      </c>
      <c r="B32" s="266"/>
      <c r="C32" s="6"/>
      <c r="D32" s="6"/>
      <c r="E32" s="77">
        <v>0</v>
      </c>
      <c r="F32" s="6">
        <v>0</v>
      </c>
      <c r="G32" s="78">
        <f t="shared" si="0"/>
        <v>0</v>
      </c>
      <c r="H32" s="77">
        <v>0</v>
      </c>
      <c r="I32" s="6">
        <v>0</v>
      </c>
      <c r="J32" s="78">
        <f t="shared" si="1"/>
        <v>0</v>
      </c>
      <c r="K32" s="78">
        <f t="shared" si="2"/>
        <v>0</v>
      </c>
      <c r="L32" s="183">
        <f t="shared" si="3"/>
        <v>0</v>
      </c>
      <c r="M32" s="169">
        <f t="shared" si="4"/>
        <v>27514.010399999999</v>
      </c>
      <c r="N32" s="55" t="s">
        <v>161</v>
      </c>
      <c r="O32" s="5"/>
    </row>
    <row r="33" spans="1:15">
      <c r="A33" s="55">
        <v>30</v>
      </c>
      <c r="B33" s="266"/>
      <c r="C33" s="6"/>
      <c r="D33" s="6"/>
      <c r="E33" s="77">
        <v>0</v>
      </c>
      <c r="F33" s="6">
        <v>0</v>
      </c>
      <c r="G33" s="78">
        <f t="shared" si="0"/>
        <v>0</v>
      </c>
      <c r="H33" s="77">
        <v>0</v>
      </c>
      <c r="I33" s="6">
        <v>0</v>
      </c>
      <c r="J33" s="78">
        <f t="shared" si="1"/>
        <v>0</v>
      </c>
      <c r="K33" s="78">
        <f t="shared" si="2"/>
        <v>0</v>
      </c>
      <c r="L33" s="183">
        <f t="shared" si="3"/>
        <v>0</v>
      </c>
      <c r="M33" s="169">
        <f t="shared" si="4"/>
        <v>27514.010399999999</v>
      </c>
      <c r="N33" s="55" t="s">
        <v>161</v>
      </c>
      <c r="O33" s="5"/>
    </row>
    <row r="34" spans="1:15">
      <c r="A34" s="231">
        <v>31</v>
      </c>
      <c r="B34" s="266"/>
      <c r="C34" s="6"/>
      <c r="D34" s="6"/>
      <c r="E34" s="77">
        <v>0</v>
      </c>
      <c r="F34" s="6">
        <v>0</v>
      </c>
      <c r="G34" s="78">
        <f t="shared" si="0"/>
        <v>0</v>
      </c>
      <c r="H34" s="77">
        <v>0</v>
      </c>
      <c r="I34" s="6">
        <v>0</v>
      </c>
      <c r="J34" s="78">
        <f t="shared" si="1"/>
        <v>0</v>
      </c>
      <c r="K34" s="78">
        <f t="shared" si="2"/>
        <v>0</v>
      </c>
      <c r="L34" s="183">
        <f t="shared" si="3"/>
        <v>0</v>
      </c>
      <c r="M34" s="169">
        <f t="shared" si="4"/>
        <v>27514.010399999999</v>
      </c>
      <c r="N34" s="55" t="s">
        <v>161</v>
      </c>
      <c r="O34" s="5"/>
    </row>
    <row r="35" spans="1:15">
      <c r="A35" s="55">
        <v>32</v>
      </c>
      <c r="B35" s="266"/>
      <c r="C35" s="6"/>
      <c r="D35" s="6"/>
      <c r="E35" s="77">
        <v>0</v>
      </c>
      <c r="F35" s="6">
        <v>0</v>
      </c>
      <c r="G35" s="78">
        <f t="shared" si="0"/>
        <v>0</v>
      </c>
      <c r="H35" s="77">
        <v>0</v>
      </c>
      <c r="I35" s="6">
        <v>0</v>
      </c>
      <c r="J35" s="78">
        <f t="shared" si="1"/>
        <v>0</v>
      </c>
      <c r="K35" s="78">
        <f t="shared" si="2"/>
        <v>0</v>
      </c>
      <c r="L35" s="183">
        <f t="shared" si="3"/>
        <v>0</v>
      </c>
      <c r="M35" s="169">
        <f t="shared" si="4"/>
        <v>27514.010399999999</v>
      </c>
      <c r="N35" s="55" t="s">
        <v>161</v>
      </c>
      <c r="O35" s="5"/>
    </row>
    <row r="36" spans="1:15">
      <c r="A36" s="55">
        <v>33</v>
      </c>
      <c r="B36" s="266"/>
      <c r="C36" s="6"/>
      <c r="D36" s="6"/>
      <c r="E36" s="77">
        <v>0</v>
      </c>
      <c r="F36" s="6">
        <v>0</v>
      </c>
      <c r="G36" s="78">
        <f t="shared" si="0"/>
        <v>0</v>
      </c>
      <c r="H36" s="77">
        <v>0</v>
      </c>
      <c r="I36" s="6">
        <v>0</v>
      </c>
      <c r="J36" s="78">
        <f t="shared" si="1"/>
        <v>0</v>
      </c>
      <c r="K36" s="78">
        <f t="shared" si="2"/>
        <v>0</v>
      </c>
      <c r="L36" s="183">
        <f t="shared" si="3"/>
        <v>0</v>
      </c>
      <c r="M36" s="169">
        <f t="shared" si="4"/>
        <v>27514.010399999999</v>
      </c>
      <c r="N36" s="55" t="s">
        <v>161</v>
      </c>
      <c r="O36" s="5"/>
    </row>
    <row r="37" spans="1:15">
      <c r="A37" s="231">
        <v>34</v>
      </c>
      <c r="B37" s="91"/>
      <c r="C37" s="6"/>
      <c r="D37" s="6"/>
      <c r="E37" s="77">
        <v>0</v>
      </c>
      <c r="F37" s="6">
        <v>0</v>
      </c>
      <c r="G37" s="78">
        <f t="shared" ref="G37" si="5">E37*F37</f>
        <v>0</v>
      </c>
      <c r="H37" s="77">
        <v>0</v>
      </c>
      <c r="I37" s="6">
        <v>0</v>
      </c>
      <c r="J37" s="78">
        <f t="shared" ref="J5:J37" si="6">H37*I37</f>
        <v>0</v>
      </c>
      <c r="K37" s="78">
        <f t="shared" ref="K5:K37" si="7">G37+J37</f>
        <v>0</v>
      </c>
      <c r="L37" s="183">
        <f t="shared" ref="L5:L37" si="8">+K37</f>
        <v>0</v>
      </c>
      <c r="M37" s="169">
        <f t="shared" si="4"/>
        <v>27514.010399999999</v>
      </c>
      <c r="N37" s="6"/>
      <c r="O37" s="5"/>
    </row>
    <row r="38" spans="1:15">
      <c r="A38" s="55">
        <v>35</v>
      </c>
      <c r="B38" s="91"/>
      <c r="C38" s="6"/>
      <c r="D38" s="6"/>
      <c r="E38" s="77">
        <v>0</v>
      </c>
      <c r="F38" s="6">
        <v>0</v>
      </c>
      <c r="G38" s="78">
        <f t="shared" ref="G38:G42" si="9">E38*F38</f>
        <v>0</v>
      </c>
      <c r="H38" s="77">
        <v>0</v>
      </c>
      <c r="I38" s="6">
        <v>0</v>
      </c>
      <c r="J38" s="78">
        <f t="shared" ref="J5:J42" si="10">H38*I38</f>
        <v>0</v>
      </c>
      <c r="K38" s="78">
        <f t="shared" ref="K5:K42" si="11">G38+J38</f>
        <v>0</v>
      </c>
      <c r="L38" s="183">
        <f t="shared" ref="L5:L42" si="12">+K38</f>
        <v>0</v>
      </c>
      <c r="M38" s="169">
        <f t="shared" si="4"/>
        <v>27514.010399999999</v>
      </c>
      <c r="N38" s="6"/>
      <c r="O38" s="5"/>
    </row>
    <row r="39" spans="1:15">
      <c r="A39" s="55">
        <v>36</v>
      </c>
      <c r="B39" s="91"/>
      <c r="C39" s="6"/>
      <c r="D39" s="6"/>
      <c r="E39" s="77">
        <v>0</v>
      </c>
      <c r="F39" s="6">
        <v>0</v>
      </c>
      <c r="G39" s="78">
        <f t="shared" si="9"/>
        <v>0</v>
      </c>
      <c r="H39" s="77">
        <v>0</v>
      </c>
      <c r="I39" s="6">
        <v>0</v>
      </c>
      <c r="J39" s="78">
        <f t="shared" si="10"/>
        <v>0</v>
      </c>
      <c r="K39" s="78">
        <f t="shared" si="11"/>
        <v>0</v>
      </c>
      <c r="L39" s="183">
        <f t="shared" si="12"/>
        <v>0</v>
      </c>
      <c r="M39" s="169">
        <f t="shared" si="4"/>
        <v>27514.010399999999</v>
      </c>
      <c r="N39" s="6"/>
      <c r="O39" s="5"/>
    </row>
    <row r="40" spans="1:15">
      <c r="A40" s="231">
        <v>37</v>
      </c>
      <c r="B40" s="91"/>
      <c r="C40" s="6"/>
      <c r="D40" s="6"/>
      <c r="E40" s="77">
        <v>0</v>
      </c>
      <c r="F40" s="6">
        <v>0</v>
      </c>
      <c r="G40" s="78">
        <f t="shared" si="9"/>
        <v>0</v>
      </c>
      <c r="H40" s="77">
        <v>0</v>
      </c>
      <c r="I40" s="6">
        <v>0</v>
      </c>
      <c r="J40" s="78">
        <f t="shared" si="10"/>
        <v>0</v>
      </c>
      <c r="K40" s="78">
        <f t="shared" si="11"/>
        <v>0</v>
      </c>
      <c r="L40" s="183">
        <f t="shared" si="12"/>
        <v>0</v>
      </c>
      <c r="M40" s="169">
        <f t="shared" si="4"/>
        <v>27514.010399999999</v>
      </c>
      <c r="N40" s="6"/>
      <c r="O40" s="5"/>
    </row>
    <row r="41" spans="1:15">
      <c r="A41" s="55">
        <v>38</v>
      </c>
      <c r="B41" s="91"/>
      <c r="C41" s="6"/>
      <c r="D41" s="6"/>
      <c r="E41" s="77">
        <v>0</v>
      </c>
      <c r="F41" s="6">
        <v>0</v>
      </c>
      <c r="G41" s="78">
        <f t="shared" si="9"/>
        <v>0</v>
      </c>
      <c r="H41" s="77">
        <v>0</v>
      </c>
      <c r="I41" s="6">
        <v>0</v>
      </c>
      <c r="J41" s="78">
        <f t="shared" si="10"/>
        <v>0</v>
      </c>
      <c r="K41" s="78">
        <f t="shared" si="11"/>
        <v>0</v>
      </c>
      <c r="L41" s="183">
        <f t="shared" si="12"/>
        <v>0</v>
      </c>
      <c r="M41" s="169">
        <f t="shared" si="4"/>
        <v>27514.010399999999</v>
      </c>
      <c r="N41" s="6"/>
      <c r="O41" s="5"/>
    </row>
    <row r="42" spans="1:15">
      <c r="A42" s="55">
        <v>39</v>
      </c>
      <c r="B42" s="194"/>
      <c r="C42" s="193"/>
      <c r="D42" s="6"/>
      <c r="E42" s="77">
        <v>0</v>
      </c>
      <c r="F42" s="6">
        <v>0</v>
      </c>
      <c r="G42" s="78">
        <f t="shared" si="9"/>
        <v>0</v>
      </c>
      <c r="H42" s="77">
        <v>0</v>
      </c>
      <c r="I42" s="6">
        <v>0</v>
      </c>
      <c r="J42" s="78">
        <f t="shared" si="10"/>
        <v>0</v>
      </c>
      <c r="K42" s="78">
        <f t="shared" si="11"/>
        <v>0</v>
      </c>
      <c r="L42" s="183">
        <f t="shared" si="12"/>
        <v>0</v>
      </c>
      <c r="M42" s="169">
        <f t="shared" si="4"/>
        <v>27514.010399999999</v>
      </c>
      <c r="N42" s="193"/>
      <c r="O42" s="5"/>
    </row>
    <row r="43" spans="1:15">
      <c r="A43" s="231">
        <v>40</v>
      </c>
      <c r="B43" s="6"/>
      <c r="C43" s="6"/>
      <c r="D43" s="6"/>
      <c r="E43" s="77">
        <v>0</v>
      </c>
      <c r="F43" s="6">
        <v>0</v>
      </c>
      <c r="G43" s="78">
        <f t="shared" ref="G30:G45" si="13">E43*F43</f>
        <v>0</v>
      </c>
      <c r="H43" s="77"/>
      <c r="I43" s="6"/>
      <c r="J43" s="78">
        <f t="shared" ref="J30:J45" si="14">H43*I43</f>
        <v>0</v>
      </c>
      <c r="K43" s="78">
        <f t="shared" ref="K30:K45" si="15">G43+J43</f>
        <v>0</v>
      </c>
      <c r="L43" s="183">
        <f t="shared" ref="L30:L45" si="16">+K43</f>
        <v>0</v>
      </c>
      <c r="M43" s="169">
        <f t="shared" si="4"/>
        <v>27514.010399999999</v>
      </c>
      <c r="N43" s="6"/>
      <c r="O43" s="5"/>
    </row>
    <row r="44" spans="1:15">
      <c r="A44" s="55">
        <v>41</v>
      </c>
      <c r="B44" s="193"/>
      <c r="C44" s="193"/>
      <c r="D44" s="6"/>
      <c r="E44" s="77">
        <v>0</v>
      </c>
      <c r="F44" s="6">
        <v>0</v>
      </c>
      <c r="G44" s="78">
        <f t="shared" si="13"/>
        <v>0</v>
      </c>
      <c r="H44" s="77"/>
      <c r="I44" s="6"/>
      <c r="J44" s="78">
        <f t="shared" si="14"/>
        <v>0</v>
      </c>
      <c r="K44" s="195">
        <f t="shared" si="15"/>
        <v>0</v>
      </c>
      <c r="L44" s="183">
        <f t="shared" si="16"/>
        <v>0</v>
      </c>
      <c r="M44" s="169">
        <f t="shared" si="4"/>
        <v>27514.010399999999</v>
      </c>
      <c r="N44" s="193"/>
      <c r="O44" s="5"/>
    </row>
    <row r="45" spans="1:15">
      <c r="A45" s="55">
        <v>42</v>
      </c>
      <c r="B45" s="193"/>
      <c r="C45" s="193"/>
      <c r="D45" s="6"/>
      <c r="E45" s="77">
        <v>0</v>
      </c>
      <c r="F45" s="6">
        <v>0</v>
      </c>
      <c r="G45" s="78">
        <f t="shared" si="13"/>
        <v>0</v>
      </c>
      <c r="H45" s="77"/>
      <c r="I45" s="6"/>
      <c r="J45" s="78">
        <f t="shared" si="14"/>
        <v>0</v>
      </c>
      <c r="K45" s="195">
        <f t="shared" si="15"/>
        <v>0</v>
      </c>
      <c r="L45" s="196">
        <f t="shared" si="16"/>
        <v>0</v>
      </c>
      <c r="M45" s="169">
        <f t="shared" si="4"/>
        <v>27514.010399999999</v>
      </c>
      <c r="N45" s="193"/>
      <c r="O45" s="5"/>
    </row>
    <row r="46" spans="1:15">
      <c r="A46" s="74"/>
      <c r="B46" s="74"/>
      <c r="C46" s="74"/>
      <c r="D46" s="74"/>
      <c r="E46" s="75">
        <f>SUM(E4:E45)</f>
        <v>394.94000000000005</v>
      </c>
      <c r="F46" s="75"/>
      <c r="G46" s="75">
        <f>SUM(G4:G45)</f>
        <v>36117.263000000006</v>
      </c>
      <c r="H46" s="75">
        <f>SUM(H4:H45)</f>
        <v>28.979999999999997</v>
      </c>
      <c r="I46" s="75"/>
      <c r="J46" s="75">
        <f>SUM(J4:J45)</f>
        <v>2996.2422000000001</v>
      </c>
      <c r="K46" s="75">
        <f>SUM(K4:K45)</f>
        <v>39113.5052</v>
      </c>
      <c r="L46" s="75">
        <f>SUM(L4:L45)</f>
        <v>11599.4948</v>
      </c>
      <c r="M46" s="75"/>
      <c r="N46" s="75"/>
      <c r="O46" s="71"/>
    </row>
    <row r="47" spans="1:15">
      <c r="A47" s="5"/>
      <c r="B47" s="5"/>
      <c r="C47" s="5"/>
      <c r="D47" s="5"/>
      <c r="E47" s="5"/>
      <c r="F47" s="5"/>
      <c r="G47" s="115"/>
      <c r="H47" s="5"/>
      <c r="I47" s="5"/>
      <c r="J47" s="115"/>
      <c r="K47" s="5"/>
      <c r="L47" s="115"/>
      <c r="M47" s="115"/>
      <c r="N47" s="5"/>
      <c r="O47" s="5"/>
    </row>
    <row r="48" spans="1:15">
      <c r="A48" s="5"/>
      <c r="B48" s="5"/>
      <c r="C48" s="5"/>
      <c r="D48" s="5"/>
      <c r="E48" s="5"/>
      <c r="F48" s="5"/>
      <c r="G48" s="115"/>
      <c r="H48" s="5"/>
      <c r="I48" s="5"/>
      <c r="J48" s="115"/>
      <c r="K48" s="5"/>
      <c r="L48" s="115"/>
      <c r="M48" s="115"/>
      <c r="N48" s="5"/>
      <c r="O48" s="5"/>
    </row>
  </sheetData>
  <mergeCells count="3">
    <mergeCell ref="A1:N1"/>
    <mergeCell ref="A3:L3"/>
    <mergeCell ref="M3:N3"/>
  </mergeCells>
  <pageMargins left="0.7" right="0.7" top="0.75" bottom="0.75" header="0.3" footer="0.3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F2EB7-2102-4FD0-A2B9-519DAB511885}">
  <sheetPr>
    <tabColor rgb="FF92D050"/>
  </sheetPr>
  <dimension ref="A1:O47"/>
  <sheetViews>
    <sheetView topLeftCell="A12" workbookViewId="0">
      <selection activeCell="N46" sqref="N46"/>
    </sheetView>
  </sheetViews>
  <sheetFormatPr defaultRowHeight="15"/>
  <cols>
    <col min="1" max="1" width="6.140625" customWidth="1"/>
    <col min="2" max="2" width="10.85546875" bestFit="1" customWidth="1"/>
    <col min="5" max="5" width="9.7109375" bestFit="1" customWidth="1"/>
    <col min="7" max="7" width="11.5703125" customWidth="1"/>
    <col min="11" max="11" width="16.7109375" customWidth="1"/>
    <col min="12" max="12" width="16.5703125" customWidth="1"/>
    <col min="13" max="13" width="16.140625" customWidth="1"/>
    <col min="14" max="14" width="15.140625" customWidth="1"/>
  </cols>
  <sheetData>
    <row r="1" spans="1:15" ht="15.75">
      <c r="A1" s="458" t="s">
        <v>88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5"/>
    </row>
    <row r="2" spans="1:15" ht="30.75">
      <c r="A2" s="76" t="s">
        <v>102</v>
      </c>
      <c r="B2" s="96" t="s">
        <v>103</v>
      </c>
      <c r="C2" s="96" t="s">
        <v>104</v>
      </c>
      <c r="D2" s="96" t="s">
        <v>150</v>
      </c>
      <c r="E2" s="96" t="s">
        <v>106</v>
      </c>
      <c r="F2" s="96" t="s">
        <v>107</v>
      </c>
      <c r="G2" s="103" t="s">
        <v>108</v>
      </c>
      <c r="H2" s="96" t="s">
        <v>109</v>
      </c>
      <c r="I2" s="96" t="s">
        <v>107</v>
      </c>
      <c r="J2" s="103" t="s">
        <v>108</v>
      </c>
      <c r="K2" s="76" t="s">
        <v>110</v>
      </c>
      <c r="L2" s="104" t="s">
        <v>111</v>
      </c>
      <c r="M2" s="98" t="s">
        <v>149</v>
      </c>
      <c r="N2" s="96" t="s">
        <v>113</v>
      </c>
      <c r="O2" s="5"/>
    </row>
    <row r="3" spans="1:15">
      <c r="A3" s="471" t="s">
        <v>114</v>
      </c>
      <c r="B3" s="472"/>
      <c r="C3" s="472"/>
      <c r="D3" s="472"/>
      <c r="E3" s="472"/>
      <c r="F3" s="472"/>
      <c r="G3" s="472"/>
      <c r="H3" s="472"/>
      <c r="I3" s="472"/>
      <c r="J3" s="472"/>
      <c r="K3" s="472"/>
      <c r="L3" s="473"/>
      <c r="M3" s="474">
        <v>0</v>
      </c>
      <c r="N3" s="475"/>
      <c r="O3" s="5"/>
    </row>
    <row r="4" spans="1:15">
      <c r="A4" s="231">
        <v>1</v>
      </c>
      <c r="B4" s="266" t="s">
        <v>160</v>
      </c>
      <c r="C4" s="6"/>
      <c r="D4" s="6"/>
      <c r="E4" s="77">
        <v>5</v>
      </c>
      <c r="F4" s="6">
        <v>91.33</v>
      </c>
      <c r="G4" s="78">
        <f>E4*F4</f>
        <v>456.65</v>
      </c>
      <c r="H4" s="77">
        <v>0</v>
      </c>
      <c r="I4" s="6">
        <v>0</v>
      </c>
      <c r="J4" s="78">
        <f>H4*I4</f>
        <v>0</v>
      </c>
      <c r="K4" s="78">
        <f>G4+J4</f>
        <v>456.65</v>
      </c>
      <c r="L4" s="183">
        <f>+K4</f>
        <v>456.65</v>
      </c>
      <c r="M4" s="169">
        <f>M3+K4-L4</f>
        <v>0</v>
      </c>
      <c r="N4" s="55" t="s">
        <v>161</v>
      </c>
      <c r="O4" s="5"/>
    </row>
    <row r="5" spans="1:15">
      <c r="A5" s="55">
        <v>2</v>
      </c>
      <c r="B5" s="266" t="s">
        <v>163</v>
      </c>
      <c r="C5" s="6"/>
      <c r="D5" s="6"/>
      <c r="E5" s="77">
        <v>219.71</v>
      </c>
      <c r="F5" s="6">
        <v>91.33</v>
      </c>
      <c r="G5" s="78">
        <f t="shared" ref="G5:G38" si="0">E5*F5</f>
        <v>20066.114300000001</v>
      </c>
      <c r="H5" s="77">
        <v>5</v>
      </c>
      <c r="I5" s="6">
        <v>103.26</v>
      </c>
      <c r="J5" s="78">
        <f t="shared" ref="J5:J38" si="1">H5*I5</f>
        <v>516.30000000000007</v>
      </c>
      <c r="K5" s="78">
        <f t="shared" ref="K5:M38" si="2">G5+J5</f>
        <v>20582.4143</v>
      </c>
      <c r="L5" s="183">
        <f t="shared" ref="L5:M38" si="3">+K5</f>
        <v>20582.4143</v>
      </c>
      <c r="M5" s="169"/>
      <c r="N5" s="55" t="s">
        <v>161</v>
      </c>
      <c r="O5" s="5"/>
    </row>
    <row r="6" spans="1:15">
      <c r="A6" s="55">
        <v>3</v>
      </c>
      <c r="B6" s="266" t="s">
        <v>186</v>
      </c>
      <c r="C6" s="6"/>
      <c r="D6" s="6"/>
      <c r="E6" s="77">
        <v>0</v>
      </c>
      <c r="F6" s="6">
        <v>0</v>
      </c>
      <c r="G6" s="78">
        <f t="shared" si="0"/>
        <v>0</v>
      </c>
      <c r="H6" s="77">
        <v>5</v>
      </c>
      <c r="I6" s="6">
        <v>103.26</v>
      </c>
      <c r="J6" s="78">
        <f t="shared" si="1"/>
        <v>516.30000000000007</v>
      </c>
      <c r="K6" s="78">
        <f t="shared" si="2"/>
        <v>516.30000000000007</v>
      </c>
      <c r="L6" s="183">
        <f t="shared" si="3"/>
        <v>516.30000000000007</v>
      </c>
      <c r="M6" s="169">
        <f t="shared" ref="M5:M42" si="4">M5+K6-L6</f>
        <v>0</v>
      </c>
      <c r="N6" s="55" t="s">
        <v>161</v>
      </c>
      <c r="O6" s="5"/>
    </row>
    <row r="7" spans="1:15">
      <c r="A7" s="55">
        <v>4</v>
      </c>
      <c r="B7" s="266" t="s">
        <v>187</v>
      </c>
      <c r="C7" s="6"/>
      <c r="D7" s="6"/>
      <c r="E7" s="77">
        <v>200</v>
      </c>
      <c r="F7" s="6">
        <v>91.33</v>
      </c>
      <c r="G7" s="78">
        <f t="shared" si="0"/>
        <v>18266</v>
      </c>
      <c r="H7" s="77">
        <v>4.84</v>
      </c>
      <c r="I7" s="6">
        <v>103.26</v>
      </c>
      <c r="J7" s="78">
        <f t="shared" si="1"/>
        <v>499.77840000000003</v>
      </c>
      <c r="K7" s="78">
        <f t="shared" si="2"/>
        <v>18765.778399999999</v>
      </c>
      <c r="L7" s="183">
        <f t="shared" si="3"/>
        <v>18765.778399999999</v>
      </c>
      <c r="M7" s="368">
        <f t="shared" si="4"/>
        <v>0</v>
      </c>
      <c r="N7" s="55" t="s">
        <v>161</v>
      </c>
      <c r="O7" s="5"/>
    </row>
    <row r="8" spans="1:15">
      <c r="A8" s="55">
        <v>5</v>
      </c>
      <c r="B8" s="266" t="s">
        <v>188</v>
      </c>
      <c r="C8" s="6"/>
      <c r="D8" s="6"/>
      <c r="E8" s="77">
        <v>0</v>
      </c>
      <c r="F8" s="6">
        <v>0</v>
      </c>
      <c r="G8" s="78">
        <f t="shared" si="0"/>
        <v>0</v>
      </c>
      <c r="H8" s="77">
        <v>6</v>
      </c>
      <c r="I8" s="6">
        <v>103.26</v>
      </c>
      <c r="J8" s="78">
        <f t="shared" si="1"/>
        <v>619.56000000000006</v>
      </c>
      <c r="K8" s="78">
        <f t="shared" si="2"/>
        <v>619.56000000000006</v>
      </c>
      <c r="L8" s="183"/>
      <c r="M8" s="368">
        <f t="shared" si="4"/>
        <v>619.56000000000006</v>
      </c>
      <c r="N8" s="55" t="s">
        <v>161</v>
      </c>
      <c r="O8" s="5"/>
    </row>
    <row r="9" spans="1:15">
      <c r="A9" s="55">
        <v>6</v>
      </c>
      <c r="B9" s="266" t="s">
        <v>189</v>
      </c>
      <c r="C9" s="6"/>
      <c r="D9" s="6"/>
      <c r="E9" s="77">
        <v>44.87</v>
      </c>
      <c r="F9" s="6">
        <v>91.33</v>
      </c>
      <c r="G9" s="78">
        <f t="shared" si="0"/>
        <v>4097.9771000000001</v>
      </c>
      <c r="H9" s="77">
        <v>0</v>
      </c>
      <c r="I9" s="6">
        <v>0</v>
      </c>
      <c r="J9" s="78">
        <f t="shared" si="1"/>
        <v>0</v>
      </c>
      <c r="K9" s="78">
        <f t="shared" si="2"/>
        <v>4097.9771000000001</v>
      </c>
      <c r="L9" s="183"/>
      <c r="M9" s="368">
        <f t="shared" si="4"/>
        <v>4717.5371000000005</v>
      </c>
      <c r="N9" s="55" t="s">
        <v>161</v>
      </c>
      <c r="O9" s="5"/>
    </row>
    <row r="10" spans="1:15">
      <c r="A10" s="55">
        <v>7</v>
      </c>
      <c r="B10" s="266" t="s">
        <v>174</v>
      </c>
      <c r="C10" s="6"/>
      <c r="D10" s="6"/>
      <c r="E10" s="77">
        <v>70</v>
      </c>
      <c r="F10" s="6">
        <v>91.33</v>
      </c>
      <c r="G10" s="78">
        <f t="shared" si="0"/>
        <v>6393.0999999999995</v>
      </c>
      <c r="H10" s="77">
        <v>6</v>
      </c>
      <c r="I10" s="6">
        <v>103.26</v>
      </c>
      <c r="J10" s="78">
        <f t="shared" si="1"/>
        <v>619.56000000000006</v>
      </c>
      <c r="K10" s="78">
        <f t="shared" si="2"/>
        <v>7012.66</v>
      </c>
      <c r="L10" s="183">
        <v>0</v>
      </c>
      <c r="M10" s="368">
        <f t="shared" si="4"/>
        <v>11730.197100000001</v>
      </c>
      <c r="N10" s="55" t="s">
        <v>161</v>
      </c>
      <c r="O10" s="5"/>
    </row>
    <row r="11" spans="1:15">
      <c r="A11" s="55">
        <v>8</v>
      </c>
      <c r="B11" s="266" t="s">
        <v>175</v>
      </c>
      <c r="C11" s="6"/>
      <c r="D11" s="6"/>
      <c r="E11" s="77">
        <v>50</v>
      </c>
      <c r="F11" s="6">
        <v>91.33</v>
      </c>
      <c r="G11" s="78">
        <f t="shared" si="0"/>
        <v>4566.5</v>
      </c>
      <c r="H11" s="77">
        <v>0</v>
      </c>
      <c r="I11" s="6">
        <v>0</v>
      </c>
      <c r="J11" s="78">
        <f t="shared" si="1"/>
        <v>0</v>
      </c>
      <c r="K11" s="78">
        <f t="shared" si="2"/>
        <v>4566.5</v>
      </c>
      <c r="L11" s="183">
        <v>0</v>
      </c>
      <c r="M11" s="368">
        <f t="shared" si="4"/>
        <v>16296.697100000001</v>
      </c>
      <c r="N11" s="55" t="s">
        <v>161</v>
      </c>
      <c r="O11" s="5"/>
    </row>
    <row r="12" spans="1:15">
      <c r="A12" s="55">
        <v>9</v>
      </c>
      <c r="B12" s="266" t="s">
        <v>179</v>
      </c>
      <c r="C12" s="6"/>
      <c r="D12" s="6"/>
      <c r="E12" s="77">
        <v>127.19</v>
      </c>
      <c r="F12" s="6">
        <v>91.33</v>
      </c>
      <c r="G12" s="78">
        <f t="shared" si="0"/>
        <v>11616.262699999999</v>
      </c>
      <c r="H12" s="77">
        <v>0</v>
      </c>
      <c r="I12" s="6">
        <v>0</v>
      </c>
      <c r="J12" s="78">
        <f t="shared" si="1"/>
        <v>0</v>
      </c>
      <c r="K12" s="78">
        <f t="shared" si="2"/>
        <v>11616.262699999999</v>
      </c>
      <c r="L12" s="183">
        <v>0</v>
      </c>
      <c r="M12" s="368">
        <f t="shared" si="4"/>
        <v>27912.959800000001</v>
      </c>
      <c r="N12" s="55" t="s">
        <v>161</v>
      </c>
      <c r="O12" s="5"/>
    </row>
    <row r="13" spans="1:15">
      <c r="A13" s="55">
        <v>10</v>
      </c>
      <c r="B13" s="266" t="s">
        <v>180</v>
      </c>
      <c r="C13" s="6"/>
      <c r="D13" s="6"/>
      <c r="E13" s="77">
        <v>170</v>
      </c>
      <c r="F13" s="6">
        <v>91.33</v>
      </c>
      <c r="G13" s="78">
        <f t="shared" si="0"/>
        <v>15526.1</v>
      </c>
      <c r="H13" s="77">
        <v>0</v>
      </c>
      <c r="I13" s="6">
        <v>0</v>
      </c>
      <c r="J13" s="78">
        <f t="shared" si="1"/>
        <v>0</v>
      </c>
      <c r="K13" s="78">
        <f t="shared" si="2"/>
        <v>15526.1</v>
      </c>
      <c r="L13" s="183">
        <v>0</v>
      </c>
      <c r="M13" s="368">
        <f t="shared" si="4"/>
        <v>43439.059800000003</v>
      </c>
      <c r="N13" s="55" t="s">
        <v>161</v>
      </c>
      <c r="O13" s="5"/>
    </row>
    <row r="14" spans="1:15">
      <c r="A14" s="55">
        <v>11</v>
      </c>
      <c r="B14" s="266" t="s">
        <v>181</v>
      </c>
      <c r="C14" s="6"/>
      <c r="D14" s="6"/>
      <c r="E14" s="77">
        <v>0</v>
      </c>
      <c r="F14" s="6">
        <v>0</v>
      </c>
      <c r="G14" s="78">
        <f t="shared" si="0"/>
        <v>0</v>
      </c>
      <c r="H14" s="77">
        <v>6</v>
      </c>
      <c r="I14" s="6">
        <v>103.26</v>
      </c>
      <c r="J14" s="78">
        <f t="shared" si="1"/>
        <v>619.56000000000006</v>
      </c>
      <c r="K14" s="78">
        <f t="shared" si="2"/>
        <v>619.56000000000006</v>
      </c>
      <c r="L14" s="183">
        <v>0</v>
      </c>
      <c r="M14" s="368">
        <f t="shared" si="4"/>
        <v>44058.6198</v>
      </c>
      <c r="N14" s="55" t="s">
        <v>161</v>
      </c>
      <c r="O14" s="5"/>
    </row>
    <row r="15" spans="1:15">
      <c r="A15" s="55">
        <v>12</v>
      </c>
      <c r="B15" s="266" t="s">
        <v>182</v>
      </c>
      <c r="C15" s="6"/>
      <c r="D15" s="6"/>
      <c r="E15" s="77">
        <v>144.37</v>
      </c>
      <c r="F15" s="6">
        <v>91.33</v>
      </c>
      <c r="G15" s="78">
        <f t="shared" si="0"/>
        <v>13185.312100000001</v>
      </c>
      <c r="H15" s="77">
        <v>0</v>
      </c>
      <c r="I15" s="6">
        <v>0</v>
      </c>
      <c r="J15" s="78">
        <f t="shared" si="1"/>
        <v>0</v>
      </c>
      <c r="K15" s="78">
        <f t="shared" si="2"/>
        <v>13185.312100000001</v>
      </c>
      <c r="L15" s="183">
        <v>0</v>
      </c>
      <c r="M15" s="368">
        <f t="shared" si="4"/>
        <v>57243.931900000003</v>
      </c>
      <c r="N15" s="55" t="s">
        <v>161</v>
      </c>
      <c r="O15" s="5"/>
    </row>
    <row r="16" spans="1:15">
      <c r="A16" s="55">
        <v>13</v>
      </c>
      <c r="B16" s="266" t="s">
        <v>190</v>
      </c>
      <c r="C16" s="6"/>
      <c r="D16" s="6"/>
      <c r="E16" s="77">
        <v>100</v>
      </c>
      <c r="F16" s="6">
        <v>91.33</v>
      </c>
      <c r="G16" s="78">
        <f t="shared" si="0"/>
        <v>9133</v>
      </c>
      <c r="H16" s="77">
        <v>6</v>
      </c>
      <c r="I16" s="6">
        <v>103.26</v>
      </c>
      <c r="J16" s="78">
        <f t="shared" si="1"/>
        <v>619.56000000000006</v>
      </c>
      <c r="K16" s="78">
        <f t="shared" si="2"/>
        <v>9752.56</v>
      </c>
      <c r="L16" s="183">
        <v>0</v>
      </c>
      <c r="M16" s="368">
        <f t="shared" si="4"/>
        <v>66996.491900000008</v>
      </c>
      <c r="N16" s="55" t="s">
        <v>161</v>
      </c>
      <c r="O16" s="5"/>
    </row>
    <row r="17" spans="1:15">
      <c r="A17" s="55">
        <v>14</v>
      </c>
      <c r="B17" s="266" t="s">
        <v>183</v>
      </c>
      <c r="C17" s="6"/>
      <c r="D17" s="6"/>
      <c r="E17" s="77">
        <v>85</v>
      </c>
      <c r="F17" s="6">
        <v>91.33</v>
      </c>
      <c r="G17" s="78">
        <f t="shared" si="0"/>
        <v>7763.05</v>
      </c>
      <c r="H17" s="77">
        <v>0</v>
      </c>
      <c r="I17" s="6">
        <v>0</v>
      </c>
      <c r="J17" s="78">
        <f t="shared" si="1"/>
        <v>0</v>
      </c>
      <c r="K17" s="78">
        <f t="shared" si="2"/>
        <v>7763.05</v>
      </c>
      <c r="L17" s="183">
        <v>0</v>
      </c>
      <c r="M17" s="368">
        <f t="shared" si="4"/>
        <v>74759.541900000011</v>
      </c>
      <c r="N17" s="55" t="s">
        <v>161</v>
      </c>
      <c r="O17" s="5"/>
    </row>
    <row r="18" spans="1:15">
      <c r="A18" s="55">
        <v>15</v>
      </c>
      <c r="B18" s="266"/>
      <c r="C18" s="6"/>
      <c r="D18" s="6"/>
      <c r="E18" s="77">
        <v>0</v>
      </c>
      <c r="F18" s="6">
        <v>0</v>
      </c>
      <c r="G18" s="78">
        <f t="shared" si="0"/>
        <v>0</v>
      </c>
      <c r="H18" s="77">
        <v>0</v>
      </c>
      <c r="I18" s="6">
        <v>0</v>
      </c>
      <c r="J18" s="78">
        <f t="shared" si="1"/>
        <v>0</v>
      </c>
      <c r="K18" s="78">
        <f t="shared" si="2"/>
        <v>0</v>
      </c>
      <c r="L18" s="183">
        <f t="shared" si="3"/>
        <v>0</v>
      </c>
      <c r="M18" s="368">
        <f t="shared" si="4"/>
        <v>74759.541900000011</v>
      </c>
      <c r="N18" s="55" t="s">
        <v>161</v>
      </c>
      <c r="O18" s="5"/>
    </row>
    <row r="19" spans="1:15">
      <c r="A19" s="55">
        <v>16</v>
      </c>
      <c r="B19" s="266"/>
      <c r="C19" s="6"/>
      <c r="D19" s="6"/>
      <c r="E19" s="77">
        <v>0</v>
      </c>
      <c r="F19" s="6">
        <v>0</v>
      </c>
      <c r="G19" s="78">
        <f t="shared" si="0"/>
        <v>0</v>
      </c>
      <c r="H19" s="77">
        <v>0</v>
      </c>
      <c r="I19" s="6">
        <v>0</v>
      </c>
      <c r="J19" s="78">
        <f t="shared" si="1"/>
        <v>0</v>
      </c>
      <c r="K19" s="78">
        <f t="shared" si="2"/>
        <v>0</v>
      </c>
      <c r="L19" s="183">
        <f t="shared" si="3"/>
        <v>0</v>
      </c>
      <c r="M19" s="368">
        <f t="shared" si="4"/>
        <v>74759.541900000011</v>
      </c>
      <c r="N19" s="55" t="s">
        <v>161</v>
      </c>
      <c r="O19" s="5"/>
    </row>
    <row r="20" spans="1:15">
      <c r="A20" s="55">
        <v>17</v>
      </c>
      <c r="B20" s="266"/>
      <c r="C20" s="6"/>
      <c r="D20" s="6"/>
      <c r="E20" s="77">
        <v>0</v>
      </c>
      <c r="F20" s="6">
        <v>0</v>
      </c>
      <c r="G20" s="78">
        <f t="shared" si="0"/>
        <v>0</v>
      </c>
      <c r="H20" s="77">
        <v>0</v>
      </c>
      <c r="I20" s="6">
        <v>0</v>
      </c>
      <c r="J20" s="78">
        <f t="shared" si="1"/>
        <v>0</v>
      </c>
      <c r="K20" s="78">
        <f t="shared" si="2"/>
        <v>0</v>
      </c>
      <c r="L20" s="183">
        <f t="shared" si="3"/>
        <v>0</v>
      </c>
      <c r="M20" s="368">
        <f t="shared" si="4"/>
        <v>74759.541900000011</v>
      </c>
      <c r="N20" s="55" t="s">
        <v>161</v>
      </c>
      <c r="O20" s="5"/>
    </row>
    <row r="21" spans="1:15">
      <c r="A21" s="55">
        <v>18</v>
      </c>
      <c r="B21" s="266"/>
      <c r="C21" s="6"/>
      <c r="D21" s="6"/>
      <c r="E21" s="77">
        <v>0</v>
      </c>
      <c r="F21" s="6">
        <v>0</v>
      </c>
      <c r="G21" s="78">
        <f t="shared" si="0"/>
        <v>0</v>
      </c>
      <c r="H21" s="77">
        <v>0</v>
      </c>
      <c r="I21" s="6">
        <v>0</v>
      </c>
      <c r="J21" s="78">
        <f t="shared" si="1"/>
        <v>0</v>
      </c>
      <c r="K21" s="78">
        <f t="shared" si="2"/>
        <v>0</v>
      </c>
      <c r="L21" s="183">
        <f t="shared" si="3"/>
        <v>0</v>
      </c>
      <c r="M21" s="368">
        <f t="shared" si="4"/>
        <v>74759.541900000011</v>
      </c>
      <c r="N21" s="55" t="s">
        <v>161</v>
      </c>
      <c r="O21" s="5"/>
    </row>
    <row r="22" spans="1:15">
      <c r="A22" s="55">
        <v>19</v>
      </c>
      <c r="B22" s="266"/>
      <c r="C22" s="6"/>
      <c r="D22" s="6"/>
      <c r="E22" s="77">
        <v>0</v>
      </c>
      <c r="F22" s="6">
        <v>0</v>
      </c>
      <c r="G22" s="78">
        <f t="shared" si="0"/>
        <v>0</v>
      </c>
      <c r="H22" s="77">
        <v>0</v>
      </c>
      <c r="I22" s="6">
        <v>0</v>
      </c>
      <c r="J22" s="78">
        <f t="shared" si="1"/>
        <v>0</v>
      </c>
      <c r="K22" s="78">
        <f t="shared" si="2"/>
        <v>0</v>
      </c>
      <c r="L22" s="183">
        <f t="shared" si="3"/>
        <v>0</v>
      </c>
      <c r="M22" s="368">
        <f t="shared" si="4"/>
        <v>74759.541900000011</v>
      </c>
      <c r="N22" s="55" t="s">
        <v>161</v>
      </c>
      <c r="O22" s="5"/>
    </row>
    <row r="23" spans="1:15">
      <c r="A23" s="55">
        <v>20</v>
      </c>
      <c r="B23" s="266"/>
      <c r="C23" s="6"/>
      <c r="D23" s="6"/>
      <c r="E23" s="77">
        <v>0</v>
      </c>
      <c r="F23" s="6">
        <v>0</v>
      </c>
      <c r="G23" s="78">
        <f t="shared" si="0"/>
        <v>0</v>
      </c>
      <c r="H23" s="77">
        <v>0</v>
      </c>
      <c r="I23" s="6">
        <v>0</v>
      </c>
      <c r="J23" s="78">
        <f t="shared" si="1"/>
        <v>0</v>
      </c>
      <c r="K23" s="78">
        <f t="shared" si="2"/>
        <v>0</v>
      </c>
      <c r="L23" s="183">
        <f t="shared" si="3"/>
        <v>0</v>
      </c>
      <c r="M23" s="368">
        <f t="shared" si="4"/>
        <v>74759.541900000011</v>
      </c>
      <c r="N23" s="55"/>
      <c r="O23" s="5"/>
    </row>
    <row r="24" spans="1:15">
      <c r="A24" s="55">
        <v>21</v>
      </c>
      <c r="B24" s="266"/>
      <c r="C24" s="6"/>
      <c r="D24" s="6"/>
      <c r="E24" s="77">
        <v>0</v>
      </c>
      <c r="F24" s="6">
        <v>0</v>
      </c>
      <c r="G24" s="78">
        <f t="shared" si="0"/>
        <v>0</v>
      </c>
      <c r="H24" s="77">
        <v>0</v>
      </c>
      <c r="I24" s="6">
        <v>0</v>
      </c>
      <c r="J24" s="78">
        <f t="shared" si="1"/>
        <v>0</v>
      </c>
      <c r="K24" s="78">
        <f t="shared" si="2"/>
        <v>0</v>
      </c>
      <c r="L24" s="183">
        <f t="shared" si="3"/>
        <v>0</v>
      </c>
      <c r="M24" s="368">
        <f t="shared" si="4"/>
        <v>74759.541900000011</v>
      </c>
      <c r="N24" s="55"/>
      <c r="O24" s="5"/>
    </row>
    <row r="25" spans="1:15">
      <c r="A25" s="55">
        <v>22</v>
      </c>
      <c r="B25" s="266"/>
      <c r="C25" s="6"/>
      <c r="D25" s="6"/>
      <c r="E25" s="77">
        <v>0</v>
      </c>
      <c r="F25" s="6">
        <v>0</v>
      </c>
      <c r="G25" s="78">
        <f t="shared" si="0"/>
        <v>0</v>
      </c>
      <c r="H25" s="77">
        <v>0</v>
      </c>
      <c r="I25" s="6">
        <v>0</v>
      </c>
      <c r="J25" s="78">
        <f t="shared" si="1"/>
        <v>0</v>
      </c>
      <c r="K25" s="78">
        <f t="shared" si="2"/>
        <v>0</v>
      </c>
      <c r="L25" s="183">
        <f t="shared" si="3"/>
        <v>0</v>
      </c>
      <c r="M25" s="368">
        <f t="shared" si="4"/>
        <v>74759.541900000011</v>
      </c>
      <c r="N25" s="55"/>
      <c r="O25" s="5"/>
    </row>
    <row r="26" spans="1:15">
      <c r="A26" s="55">
        <v>23</v>
      </c>
      <c r="B26" s="266"/>
      <c r="C26" s="6"/>
      <c r="D26" s="6"/>
      <c r="E26" s="77">
        <v>0</v>
      </c>
      <c r="F26" s="6">
        <v>0</v>
      </c>
      <c r="G26" s="78">
        <f t="shared" si="0"/>
        <v>0</v>
      </c>
      <c r="H26" s="77">
        <v>0</v>
      </c>
      <c r="I26" s="6">
        <v>0</v>
      </c>
      <c r="J26" s="78">
        <f t="shared" si="1"/>
        <v>0</v>
      </c>
      <c r="K26" s="78">
        <f t="shared" si="2"/>
        <v>0</v>
      </c>
      <c r="L26" s="183">
        <f t="shared" si="3"/>
        <v>0</v>
      </c>
      <c r="M26" s="368">
        <f t="shared" si="4"/>
        <v>74759.541900000011</v>
      </c>
      <c r="N26" s="6"/>
      <c r="O26" s="5"/>
    </row>
    <row r="27" spans="1:15">
      <c r="A27" s="55">
        <v>24</v>
      </c>
      <c r="B27" s="266"/>
      <c r="C27" s="6"/>
      <c r="D27" s="6"/>
      <c r="E27" s="77">
        <v>0</v>
      </c>
      <c r="F27" s="6">
        <v>0</v>
      </c>
      <c r="G27" s="78">
        <f t="shared" si="0"/>
        <v>0</v>
      </c>
      <c r="H27" s="77">
        <v>0</v>
      </c>
      <c r="I27" s="6">
        <v>0</v>
      </c>
      <c r="J27" s="78">
        <f t="shared" si="1"/>
        <v>0</v>
      </c>
      <c r="K27" s="78">
        <f t="shared" si="2"/>
        <v>0</v>
      </c>
      <c r="L27" s="183">
        <f t="shared" si="3"/>
        <v>0</v>
      </c>
      <c r="M27" s="368">
        <f t="shared" si="4"/>
        <v>74759.541900000011</v>
      </c>
      <c r="N27" s="6"/>
      <c r="O27" s="5"/>
    </row>
    <row r="28" spans="1:15">
      <c r="A28" s="268">
        <v>25</v>
      </c>
      <c r="B28" s="266"/>
      <c r="C28" s="6"/>
      <c r="D28" s="6"/>
      <c r="E28" s="77">
        <v>0</v>
      </c>
      <c r="F28" s="6">
        <v>0</v>
      </c>
      <c r="G28" s="78">
        <f t="shared" si="0"/>
        <v>0</v>
      </c>
      <c r="H28" s="77">
        <v>0</v>
      </c>
      <c r="I28" s="6">
        <v>0</v>
      </c>
      <c r="J28" s="78">
        <f t="shared" si="1"/>
        <v>0</v>
      </c>
      <c r="K28" s="78">
        <f t="shared" si="2"/>
        <v>0</v>
      </c>
      <c r="L28" s="183">
        <f t="shared" si="3"/>
        <v>0</v>
      </c>
      <c r="M28" s="368">
        <f t="shared" si="4"/>
        <v>74759.541900000011</v>
      </c>
      <c r="N28" s="6"/>
      <c r="O28" s="5"/>
    </row>
    <row r="29" spans="1:15">
      <c r="A29" s="268">
        <v>26</v>
      </c>
      <c r="B29" s="266"/>
      <c r="C29" s="6"/>
      <c r="D29" s="6"/>
      <c r="E29" s="77">
        <v>0</v>
      </c>
      <c r="F29" s="6">
        <v>0</v>
      </c>
      <c r="G29" s="78">
        <f t="shared" si="0"/>
        <v>0</v>
      </c>
      <c r="H29" s="77">
        <v>0</v>
      </c>
      <c r="I29" s="6">
        <v>0</v>
      </c>
      <c r="J29" s="78">
        <f t="shared" si="1"/>
        <v>0</v>
      </c>
      <c r="K29" s="78">
        <f t="shared" si="2"/>
        <v>0</v>
      </c>
      <c r="L29" s="183">
        <f t="shared" si="3"/>
        <v>0</v>
      </c>
      <c r="M29" s="368">
        <f t="shared" si="4"/>
        <v>74759.541900000011</v>
      </c>
      <c r="N29" s="6"/>
      <c r="O29" s="5"/>
    </row>
    <row r="30" spans="1:15">
      <c r="A30" s="268">
        <v>27</v>
      </c>
      <c r="B30" s="266"/>
      <c r="C30" s="6"/>
      <c r="D30" s="6"/>
      <c r="E30" s="77">
        <v>0</v>
      </c>
      <c r="F30" s="6">
        <v>0</v>
      </c>
      <c r="G30" s="78">
        <f t="shared" si="0"/>
        <v>0</v>
      </c>
      <c r="H30" s="77">
        <v>0</v>
      </c>
      <c r="I30" s="6">
        <v>0</v>
      </c>
      <c r="J30" s="78">
        <f t="shared" si="1"/>
        <v>0</v>
      </c>
      <c r="K30" s="78">
        <f t="shared" si="2"/>
        <v>0</v>
      </c>
      <c r="L30" s="183">
        <f t="shared" si="3"/>
        <v>0</v>
      </c>
      <c r="M30" s="368">
        <f t="shared" si="4"/>
        <v>74759.541900000011</v>
      </c>
      <c r="N30" s="6"/>
      <c r="O30" s="5"/>
    </row>
    <row r="31" spans="1:15">
      <c r="A31" s="268">
        <v>28</v>
      </c>
      <c r="B31" s="266"/>
      <c r="C31" s="6"/>
      <c r="D31" s="6"/>
      <c r="E31" s="77">
        <v>0</v>
      </c>
      <c r="F31" s="6">
        <v>0</v>
      </c>
      <c r="G31" s="78">
        <f t="shared" si="0"/>
        <v>0</v>
      </c>
      <c r="H31" s="77">
        <v>0</v>
      </c>
      <c r="I31" s="6">
        <v>0</v>
      </c>
      <c r="J31" s="78">
        <f t="shared" si="1"/>
        <v>0</v>
      </c>
      <c r="K31" s="78">
        <f t="shared" si="2"/>
        <v>0</v>
      </c>
      <c r="L31" s="183">
        <f t="shared" si="3"/>
        <v>0</v>
      </c>
      <c r="M31" s="368">
        <f t="shared" si="4"/>
        <v>74759.541900000011</v>
      </c>
      <c r="N31" s="6"/>
      <c r="O31" s="5"/>
    </row>
    <row r="32" spans="1:15">
      <c r="A32" s="269">
        <v>29</v>
      </c>
      <c r="B32" s="266"/>
      <c r="C32" s="6"/>
      <c r="D32" s="6"/>
      <c r="E32" s="77">
        <v>0</v>
      </c>
      <c r="F32" s="6">
        <v>0</v>
      </c>
      <c r="G32" s="78">
        <f t="shared" si="0"/>
        <v>0</v>
      </c>
      <c r="H32" s="77">
        <v>0</v>
      </c>
      <c r="I32" s="6">
        <v>0</v>
      </c>
      <c r="J32" s="78">
        <f t="shared" si="1"/>
        <v>0</v>
      </c>
      <c r="K32" s="78">
        <f t="shared" si="2"/>
        <v>0</v>
      </c>
      <c r="L32" s="183">
        <f t="shared" si="3"/>
        <v>0</v>
      </c>
      <c r="M32" s="368">
        <f t="shared" si="4"/>
        <v>74759.541900000011</v>
      </c>
      <c r="N32" s="6"/>
      <c r="O32" s="5"/>
    </row>
    <row r="33" spans="1:15">
      <c r="A33" s="269">
        <v>30</v>
      </c>
      <c r="B33" s="266"/>
      <c r="C33" s="6"/>
      <c r="D33" s="6"/>
      <c r="E33" s="77">
        <v>0</v>
      </c>
      <c r="F33" s="6">
        <v>0</v>
      </c>
      <c r="G33" s="78">
        <f t="shared" si="0"/>
        <v>0</v>
      </c>
      <c r="H33" s="77">
        <v>0</v>
      </c>
      <c r="I33" s="6">
        <v>0</v>
      </c>
      <c r="J33" s="78">
        <f t="shared" si="1"/>
        <v>0</v>
      </c>
      <c r="K33" s="78">
        <f t="shared" si="2"/>
        <v>0</v>
      </c>
      <c r="L33" s="183">
        <f t="shared" si="3"/>
        <v>0</v>
      </c>
      <c r="M33" s="368">
        <f t="shared" si="4"/>
        <v>74759.541900000011</v>
      </c>
      <c r="N33" s="6"/>
      <c r="O33" s="5"/>
    </row>
    <row r="34" spans="1:15">
      <c r="A34" s="269">
        <v>31</v>
      </c>
      <c r="B34" s="266"/>
      <c r="C34" s="6"/>
      <c r="D34" s="6"/>
      <c r="E34" s="77">
        <v>0</v>
      </c>
      <c r="F34" s="6">
        <v>0</v>
      </c>
      <c r="G34" s="78">
        <f t="shared" si="0"/>
        <v>0</v>
      </c>
      <c r="H34" s="77">
        <v>0</v>
      </c>
      <c r="I34" s="6">
        <v>0</v>
      </c>
      <c r="J34" s="78">
        <f t="shared" si="1"/>
        <v>0</v>
      </c>
      <c r="K34" s="78">
        <f t="shared" si="2"/>
        <v>0</v>
      </c>
      <c r="L34" s="183">
        <f t="shared" si="3"/>
        <v>0</v>
      </c>
      <c r="M34" s="368">
        <f t="shared" si="4"/>
        <v>74759.541900000011</v>
      </c>
      <c r="N34" s="6"/>
      <c r="O34" s="5"/>
    </row>
    <row r="35" spans="1:15">
      <c r="A35" s="6">
        <v>35</v>
      </c>
      <c r="B35" s="91"/>
      <c r="C35" s="6"/>
      <c r="D35" s="6"/>
      <c r="E35" s="77">
        <v>0</v>
      </c>
      <c r="F35" s="6">
        <v>0</v>
      </c>
      <c r="G35" s="78">
        <f t="shared" si="0"/>
        <v>0</v>
      </c>
      <c r="H35" s="77">
        <v>0</v>
      </c>
      <c r="I35" s="6">
        <v>0</v>
      </c>
      <c r="J35" s="78">
        <f t="shared" si="1"/>
        <v>0</v>
      </c>
      <c r="K35" s="78">
        <f t="shared" si="2"/>
        <v>0</v>
      </c>
      <c r="L35" s="183">
        <f t="shared" si="3"/>
        <v>0</v>
      </c>
      <c r="M35" s="368">
        <f t="shared" si="4"/>
        <v>74759.541900000011</v>
      </c>
      <c r="N35" s="6"/>
      <c r="O35" s="5"/>
    </row>
    <row r="36" spans="1:15">
      <c r="A36" s="6">
        <v>36</v>
      </c>
      <c r="B36" s="91"/>
      <c r="C36" s="6"/>
      <c r="D36" s="6"/>
      <c r="E36" s="77">
        <v>0</v>
      </c>
      <c r="F36" s="6">
        <v>0</v>
      </c>
      <c r="G36" s="78">
        <f t="shared" si="0"/>
        <v>0</v>
      </c>
      <c r="H36" s="77">
        <v>0</v>
      </c>
      <c r="I36" s="6">
        <v>0</v>
      </c>
      <c r="J36" s="78">
        <f t="shared" si="1"/>
        <v>0</v>
      </c>
      <c r="K36" s="78">
        <f t="shared" si="2"/>
        <v>0</v>
      </c>
      <c r="L36" s="183">
        <f t="shared" si="3"/>
        <v>0</v>
      </c>
      <c r="M36" s="368">
        <f t="shared" si="4"/>
        <v>74759.541900000011</v>
      </c>
      <c r="N36" s="6"/>
      <c r="O36" s="5"/>
    </row>
    <row r="37" spans="1:15">
      <c r="A37" s="6">
        <v>37</v>
      </c>
      <c r="B37" s="91"/>
      <c r="C37" s="6"/>
      <c r="D37" s="6"/>
      <c r="E37" s="77">
        <v>0</v>
      </c>
      <c r="F37" s="6">
        <v>0</v>
      </c>
      <c r="G37" s="78">
        <f t="shared" si="0"/>
        <v>0</v>
      </c>
      <c r="H37" s="77">
        <v>0</v>
      </c>
      <c r="I37" s="6">
        <v>0</v>
      </c>
      <c r="J37" s="78">
        <f t="shared" si="1"/>
        <v>0</v>
      </c>
      <c r="K37" s="78">
        <f t="shared" si="2"/>
        <v>0</v>
      </c>
      <c r="L37" s="183">
        <f t="shared" si="3"/>
        <v>0</v>
      </c>
      <c r="M37" s="368">
        <f t="shared" si="4"/>
        <v>74759.541900000011</v>
      </c>
      <c r="N37" s="6"/>
      <c r="O37" s="5"/>
    </row>
    <row r="38" spans="1:15">
      <c r="A38" s="6">
        <v>38</v>
      </c>
      <c r="B38" s="91"/>
      <c r="C38" s="6"/>
      <c r="D38" s="6"/>
      <c r="E38" s="77">
        <v>0</v>
      </c>
      <c r="F38" s="6">
        <v>0</v>
      </c>
      <c r="G38" s="78">
        <f t="shared" si="0"/>
        <v>0</v>
      </c>
      <c r="H38" s="77">
        <v>0</v>
      </c>
      <c r="I38" s="6">
        <v>0</v>
      </c>
      <c r="J38" s="78">
        <f t="shared" si="1"/>
        <v>0</v>
      </c>
      <c r="K38" s="78">
        <f t="shared" si="2"/>
        <v>0</v>
      </c>
      <c r="L38" s="183">
        <f t="shared" si="3"/>
        <v>0</v>
      </c>
      <c r="M38" s="368">
        <f t="shared" si="4"/>
        <v>74759.541900000011</v>
      </c>
      <c r="N38" s="6"/>
      <c r="O38" s="5"/>
    </row>
    <row r="39" spans="1:15">
      <c r="A39" s="193">
        <v>39</v>
      </c>
      <c r="B39" s="194"/>
      <c r="C39" s="193"/>
      <c r="D39" s="6"/>
      <c r="E39" s="77">
        <v>0</v>
      </c>
      <c r="F39" s="6">
        <v>0</v>
      </c>
      <c r="G39" s="78">
        <f t="shared" ref="G5:G41" si="5">E39*F39</f>
        <v>0</v>
      </c>
      <c r="H39" s="77">
        <v>0</v>
      </c>
      <c r="I39" s="6">
        <v>0</v>
      </c>
      <c r="J39" s="78">
        <f t="shared" ref="J5:J41" si="6">H39*I39</f>
        <v>0</v>
      </c>
      <c r="K39" s="78">
        <f t="shared" ref="K5:K41" si="7">G39+J39</f>
        <v>0</v>
      </c>
      <c r="L39" s="183">
        <f t="shared" ref="L5:L41" si="8">+K39</f>
        <v>0</v>
      </c>
      <c r="M39" s="368">
        <f t="shared" si="4"/>
        <v>74759.541900000011</v>
      </c>
      <c r="N39" s="193"/>
      <c r="O39" s="5"/>
    </row>
    <row r="40" spans="1:15">
      <c r="A40" s="6">
        <v>40</v>
      </c>
      <c r="B40" s="6"/>
      <c r="C40" s="6"/>
      <c r="D40" s="6"/>
      <c r="E40" s="77">
        <v>0</v>
      </c>
      <c r="F40" s="6">
        <v>0</v>
      </c>
      <c r="G40" s="78">
        <f t="shared" si="5"/>
        <v>0</v>
      </c>
      <c r="H40" s="77">
        <v>0</v>
      </c>
      <c r="I40" s="6">
        <v>0</v>
      </c>
      <c r="J40" s="78">
        <f t="shared" si="6"/>
        <v>0</v>
      </c>
      <c r="K40" s="78">
        <f t="shared" si="7"/>
        <v>0</v>
      </c>
      <c r="L40" s="183">
        <f t="shared" si="8"/>
        <v>0</v>
      </c>
      <c r="M40" s="368">
        <f t="shared" si="4"/>
        <v>74759.541900000011</v>
      </c>
      <c r="N40" s="6"/>
      <c r="O40" s="5"/>
    </row>
    <row r="41" spans="1:15">
      <c r="A41" s="193">
        <v>41</v>
      </c>
      <c r="B41" s="193"/>
      <c r="C41" s="193"/>
      <c r="D41" s="6"/>
      <c r="E41" s="77">
        <v>0</v>
      </c>
      <c r="F41" s="6">
        <v>0</v>
      </c>
      <c r="G41" s="78">
        <f t="shared" si="5"/>
        <v>0</v>
      </c>
      <c r="H41" s="77">
        <v>0</v>
      </c>
      <c r="I41" s="6">
        <v>0</v>
      </c>
      <c r="J41" s="78">
        <f t="shared" si="6"/>
        <v>0</v>
      </c>
      <c r="K41" s="78">
        <f t="shared" si="7"/>
        <v>0</v>
      </c>
      <c r="L41" s="183">
        <f t="shared" si="8"/>
        <v>0</v>
      </c>
      <c r="M41" s="368">
        <f t="shared" si="4"/>
        <v>74759.541900000011</v>
      </c>
      <c r="N41" s="193"/>
      <c r="O41" s="5"/>
    </row>
    <row r="42" spans="1:15">
      <c r="A42" s="193">
        <v>42</v>
      </c>
      <c r="B42" s="193"/>
      <c r="C42" s="193"/>
      <c r="D42" s="6"/>
      <c r="E42" s="77">
        <v>0</v>
      </c>
      <c r="F42" s="6">
        <v>0</v>
      </c>
      <c r="G42" s="78">
        <f t="shared" ref="G5:G42" si="9">E42*F42</f>
        <v>0</v>
      </c>
      <c r="H42" s="77"/>
      <c r="I42" s="6"/>
      <c r="J42" s="78">
        <f t="shared" ref="J5:J42" si="10">H42*I42</f>
        <v>0</v>
      </c>
      <c r="K42" s="195">
        <f t="shared" ref="K5:K42" si="11">G42+J42</f>
        <v>0</v>
      </c>
      <c r="L42" s="196">
        <f t="shared" ref="L5:L42" si="12">+K42</f>
        <v>0</v>
      </c>
      <c r="M42" s="368">
        <f t="shared" si="4"/>
        <v>74759.541900000011</v>
      </c>
      <c r="N42" s="193"/>
      <c r="O42" s="5"/>
    </row>
    <row r="43" spans="1:15">
      <c r="A43" s="74"/>
      <c r="B43" s="74"/>
      <c r="C43" s="74"/>
      <c r="D43" s="74"/>
      <c r="E43" s="75">
        <f>SUM(E4:E42)</f>
        <v>1216.1399999999999</v>
      </c>
      <c r="F43" s="75"/>
      <c r="G43" s="75">
        <f>SUM(G4:G42)</f>
        <v>111070.0662</v>
      </c>
      <c r="H43" s="75">
        <f>SUM(H4:H42)</f>
        <v>38.840000000000003</v>
      </c>
      <c r="I43" s="75"/>
      <c r="J43" s="75">
        <f>SUM(J4:J42)</f>
        <v>4010.6183999999998</v>
      </c>
      <c r="K43" s="75">
        <f>SUM(K4:K42)</f>
        <v>115080.68460000001</v>
      </c>
      <c r="L43" s="75">
        <f>SUM(L4:L42)</f>
        <v>40321.142699999997</v>
      </c>
      <c r="M43" s="75"/>
      <c r="N43" s="75"/>
      <c r="O43" s="71"/>
    </row>
    <row r="44" spans="1:15">
      <c r="A44" s="5"/>
      <c r="B44" s="5"/>
      <c r="C44" s="5"/>
      <c r="D44" s="5"/>
      <c r="E44" s="5"/>
      <c r="F44" s="5"/>
      <c r="G44" s="115"/>
      <c r="H44" s="5"/>
      <c r="I44" s="5"/>
      <c r="J44" s="115"/>
      <c r="K44" s="5"/>
      <c r="L44" s="115"/>
      <c r="M44" s="115"/>
      <c r="N44" s="5"/>
      <c r="O44" s="5"/>
    </row>
    <row r="45" spans="1:15">
      <c r="A45" s="5"/>
      <c r="B45" s="5"/>
      <c r="C45" s="5"/>
      <c r="D45" s="5"/>
      <c r="E45" s="5"/>
      <c r="F45" s="5"/>
      <c r="G45" s="115"/>
      <c r="H45" s="5"/>
      <c r="I45" s="5"/>
      <c r="J45" s="115"/>
      <c r="K45" s="5"/>
      <c r="L45" s="115"/>
      <c r="M45" s="115"/>
      <c r="N45" s="5"/>
      <c r="O45" s="5"/>
    </row>
    <row r="46" spans="1:15">
      <c r="L46">
        <v>41648.541499999999</v>
      </c>
    </row>
    <row r="47" spans="1:15">
      <c r="L47" s="198">
        <f>L43+L46</f>
        <v>81969.684199999989</v>
      </c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44E54-D29F-438F-9AA9-C122252DB046}">
  <sheetPr>
    <tabColor rgb="FF92D050"/>
  </sheetPr>
  <dimension ref="A1:R47"/>
  <sheetViews>
    <sheetView topLeftCell="A24" workbookViewId="0">
      <selection activeCell="S7" sqref="S7"/>
    </sheetView>
  </sheetViews>
  <sheetFormatPr defaultRowHeight="15"/>
  <cols>
    <col min="2" max="2" width="10.5703125" bestFit="1" customWidth="1"/>
    <col min="7" max="7" width="10.85546875" bestFit="1" customWidth="1"/>
    <col min="11" max="11" width="13.140625" bestFit="1" customWidth="1"/>
    <col min="12" max="12" width="12.140625" bestFit="1" customWidth="1"/>
    <col min="13" max="13" width="17.42578125" customWidth="1"/>
    <col min="14" max="14" width="10.7109375" customWidth="1"/>
    <col min="17" max="17" width="12" bestFit="1" customWidth="1"/>
  </cols>
  <sheetData>
    <row r="1" spans="1:18" ht="15.75">
      <c r="A1" s="458" t="s">
        <v>92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</row>
    <row r="2" spans="1:18" ht="30.75">
      <c r="A2" s="76" t="s">
        <v>102</v>
      </c>
      <c r="B2" s="96" t="s">
        <v>103</v>
      </c>
      <c r="C2" s="96" t="s">
        <v>104</v>
      </c>
      <c r="D2" s="96" t="s">
        <v>150</v>
      </c>
      <c r="E2" s="96" t="s">
        <v>106</v>
      </c>
      <c r="F2" s="96" t="s">
        <v>107</v>
      </c>
      <c r="G2" s="103" t="s">
        <v>108</v>
      </c>
      <c r="H2" s="96" t="s">
        <v>109</v>
      </c>
      <c r="I2" s="96" t="s">
        <v>107</v>
      </c>
      <c r="J2" s="103" t="s">
        <v>108</v>
      </c>
      <c r="K2" s="76" t="s">
        <v>110</v>
      </c>
      <c r="L2" s="104" t="s">
        <v>111</v>
      </c>
      <c r="M2" s="98" t="s">
        <v>149</v>
      </c>
      <c r="N2" s="96" t="s">
        <v>113</v>
      </c>
    </row>
    <row r="3" spans="1:18">
      <c r="A3" s="471" t="s">
        <v>114</v>
      </c>
      <c r="B3" s="472"/>
      <c r="C3" s="472"/>
      <c r="D3" s="472"/>
      <c r="E3" s="472"/>
      <c r="F3" s="472"/>
      <c r="G3" s="472"/>
      <c r="H3" s="472"/>
      <c r="I3" s="472"/>
      <c r="J3" s="472"/>
      <c r="K3" s="472"/>
      <c r="L3" s="473"/>
      <c r="M3" s="474">
        <v>20248.57</v>
      </c>
      <c r="N3" s="475"/>
    </row>
    <row r="4" spans="1:18">
      <c r="A4" s="231">
        <v>1</v>
      </c>
      <c r="B4" s="266">
        <v>45809</v>
      </c>
      <c r="C4" s="6"/>
      <c r="D4" s="6"/>
      <c r="E4" s="77">
        <v>0</v>
      </c>
      <c r="F4" s="6">
        <v>0</v>
      </c>
      <c r="G4" s="78">
        <f>E4*F4</f>
        <v>0</v>
      </c>
      <c r="H4" s="77">
        <v>0</v>
      </c>
      <c r="I4" s="6">
        <v>0</v>
      </c>
      <c r="J4" s="78">
        <f>H4*I4</f>
        <v>0</v>
      </c>
      <c r="K4" s="78">
        <f>G4+J4</f>
        <v>0</v>
      </c>
      <c r="L4" s="183">
        <f>+K4</f>
        <v>0</v>
      </c>
      <c r="M4" s="169">
        <f>M3+K4-L4</f>
        <v>20248.57</v>
      </c>
      <c r="N4" s="55" t="s">
        <v>161</v>
      </c>
    </row>
    <row r="5" spans="1:18">
      <c r="A5" s="55">
        <v>2</v>
      </c>
      <c r="B5" s="266">
        <v>45810</v>
      </c>
      <c r="C5" s="6"/>
      <c r="D5" s="6"/>
      <c r="E5" s="77">
        <v>0</v>
      </c>
      <c r="F5" s="6">
        <v>0</v>
      </c>
      <c r="G5" s="78">
        <f t="shared" ref="G5:G33" si="0">E5*F5</f>
        <v>0</v>
      </c>
      <c r="H5" s="77">
        <v>4.83</v>
      </c>
      <c r="I5" s="6">
        <v>103.57</v>
      </c>
      <c r="J5" s="78">
        <f t="shared" ref="J5:J33" si="1">H5*I5</f>
        <v>500.24309999999997</v>
      </c>
      <c r="K5" s="78">
        <f t="shared" ref="K5:K33" si="2">G5+J5</f>
        <v>500.24309999999997</v>
      </c>
      <c r="L5" s="183">
        <v>0</v>
      </c>
      <c r="M5" s="169">
        <f t="shared" ref="M5:M33" si="3">M4+K5-L5</f>
        <v>20748.813099999999</v>
      </c>
      <c r="N5" s="55" t="s">
        <v>161</v>
      </c>
    </row>
    <row r="6" spans="1:18">
      <c r="A6" s="55">
        <v>3</v>
      </c>
      <c r="B6" s="266">
        <v>45811</v>
      </c>
      <c r="C6" s="6"/>
      <c r="D6" s="6"/>
      <c r="E6" s="77">
        <v>10</v>
      </c>
      <c r="F6" s="6">
        <v>91.62</v>
      </c>
      <c r="G6" s="78">
        <f t="shared" si="0"/>
        <v>916.2</v>
      </c>
      <c r="H6" s="77">
        <v>0</v>
      </c>
      <c r="I6" s="6">
        <v>0</v>
      </c>
      <c r="J6" s="78">
        <f t="shared" si="1"/>
        <v>0</v>
      </c>
      <c r="K6" s="78">
        <f t="shared" si="2"/>
        <v>916.2</v>
      </c>
      <c r="L6" s="183">
        <v>0</v>
      </c>
      <c r="M6" s="169">
        <f t="shared" si="3"/>
        <v>21665.0131</v>
      </c>
      <c r="N6" s="55" t="s">
        <v>161</v>
      </c>
    </row>
    <row r="7" spans="1:18">
      <c r="A7" s="55">
        <v>4</v>
      </c>
      <c r="B7" s="266">
        <v>45812</v>
      </c>
      <c r="C7" s="6"/>
      <c r="D7" s="6"/>
      <c r="E7" s="77">
        <v>134.18</v>
      </c>
      <c r="F7" s="6">
        <v>91.62</v>
      </c>
      <c r="G7" s="78">
        <f t="shared" si="0"/>
        <v>12293.571600000001</v>
      </c>
      <c r="H7" s="77">
        <v>0</v>
      </c>
      <c r="I7" s="6">
        <v>0</v>
      </c>
      <c r="J7" s="78">
        <f t="shared" si="1"/>
        <v>0</v>
      </c>
      <c r="K7" s="78">
        <f t="shared" si="2"/>
        <v>12293.571600000001</v>
      </c>
      <c r="L7" s="183">
        <v>0</v>
      </c>
      <c r="M7" s="169">
        <f t="shared" si="3"/>
        <v>33958.584699999999</v>
      </c>
      <c r="N7" s="55" t="s">
        <v>161</v>
      </c>
    </row>
    <row r="8" spans="1:18">
      <c r="A8" s="55">
        <v>5</v>
      </c>
      <c r="B8" s="266">
        <v>45813</v>
      </c>
      <c r="C8" s="6"/>
      <c r="D8" s="6"/>
      <c r="E8" s="77">
        <v>0</v>
      </c>
      <c r="F8" s="6">
        <v>0</v>
      </c>
      <c r="G8" s="78">
        <f t="shared" si="0"/>
        <v>0</v>
      </c>
      <c r="H8" s="77">
        <v>9.66</v>
      </c>
      <c r="I8" s="6">
        <v>103.57</v>
      </c>
      <c r="J8" s="78">
        <f t="shared" si="1"/>
        <v>1000.4861999999999</v>
      </c>
      <c r="K8" s="78">
        <f t="shared" si="2"/>
        <v>1000.4861999999999</v>
      </c>
      <c r="L8" s="183">
        <v>0</v>
      </c>
      <c r="M8" s="169">
        <f t="shared" si="3"/>
        <v>34959.070899999999</v>
      </c>
      <c r="N8" s="55" t="s">
        <v>161</v>
      </c>
    </row>
    <row r="9" spans="1:18">
      <c r="A9" s="55">
        <v>6</v>
      </c>
      <c r="B9" s="266">
        <v>45814</v>
      </c>
      <c r="C9" s="6"/>
      <c r="D9" s="6"/>
      <c r="E9" s="77">
        <v>0</v>
      </c>
      <c r="F9" s="6">
        <v>0</v>
      </c>
      <c r="G9" s="78">
        <f t="shared" si="0"/>
        <v>0</v>
      </c>
      <c r="H9" s="77">
        <v>9.65</v>
      </c>
      <c r="I9" s="6">
        <v>103.57</v>
      </c>
      <c r="J9" s="78">
        <f t="shared" si="1"/>
        <v>999.45049999999992</v>
      </c>
      <c r="K9" s="78">
        <f t="shared" si="2"/>
        <v>999.45049999999992</v>
      </c>
      <c r="L9" s="183">
        <v>33950.699999999997</v>
      </c>
      <c r="M9" s="169">
        <f t="shared" si="3"/>
        <v>2007.8214000000007</v>
      </c>
      <c r="N9" s="55" t="s">
        <v>161</v>
      </c>
    </row>
    <row r="10" spans="1:18">
      <c r="A10" s="55">
        <v>7</v>
      </c>
      <c r="B10" s="266">
        <v>45815</v>
      </c>
      <c r="C10" s="6"/>
      <c r="D10" s="6"/>
      <c r="E10" s="77">
        <v>0</v>
      </c>
      <c r="F10" s="6">
        <v>0</v>
      </c>
      <c r="G10" s="78">
        <f t="shared" si="0"/>
        <v>0</v>
      </c>
      <c r="H10" s="77">
        <v>0</v>
      </c>
      <c r="I10" s="6">
        <v>0</v>
      </c>
      <c r="J10" s="78">
        <f t="shared" si="1"/>
        <v>0</v>
      </c>
      <c r="K10" s="78">
        <f t="shared" si="2"/>
        <v>0</v>
      </c>
      <c r="L10" s="183">
        <f t="shared" ref="L5:L33" si="4">+K10</f>
        <v>0</v>
      </c>
      <c r="M10" s="169">
        <f t="shared" si="3"/>
        <v>2007.8214000000007</v>
      </c>
      <c r="N10" s="55" t="s">
        <v>161</v>
      </c>
    </row>
    <row r="11" spans="1:18">
      <c r="A11" s="55">
        <v>8</v>
      </c>
      <c r="B11" s="266">
        <v>45816</v>
      </c>
      <c r="C11" s="6"/>
      <c r="D11" s="6"/>
      <c r="E11" s="77">
        <v>0</v>
      </c>
      <c r="F11" s="6">
        <v>0</v>
      </c>
      <c r="G11" s="78">
        <f t="shared" si="0"/>
        <v>0</v>
      </c>
      <c r="H11" s="77">
        <v>4.83</v>
      </c>
      <c r="I11" s="6">
        <v>103.57</v>
      </c>
      <c r="J11" s="78">
        <f t="shared" si="1"/>
        <v>500.24309999999997</v>
      </c>
      <c r="K11" s="78">
        <f t="shared" si="2"/>
        <v>500.24309999999997</v>
      </c>
      <c r="L11" s="183">
        <v>0</v>
      </c>
      <c r="M11" s="169">
        <f t="shared" si="3"/>
        <v>2508.0645000000009</v>
      </c>
      <c r="N11" s="55" t="s">
        <v>161</v>
      </c>
    </row>
    <row r="12" spans="1:18">
      <c r="A12" s="55">
        <v>9</v>
      </c>
      <c r="B12" s="266">
        <v>45817</v>
      </c>
      <c r="C12" s="6"/>
      <c r="D12" s="6"/>
      <c r="E12" s="77">
        <v>100.55</v>
      </c>
      <c r="F12" s="6">
        <v>91.62</v>
      </c>
      <c r="G12" s="78">
        <f t="shared" si="0"/>
        <v>9212.3909999999996</v>
      </c>
      <c r="H12" s="77">
        <v>4.83</v>
      </c>
      <c r="I12" s="6">
        <v>103.57</v>
      </c>
      <c r="J12" s="78">
        <f t="shared" si="1"/>
        <v>500.24309999999997</v>
      </c>
      <c r="K12" s="78">
        <f t="shared" si="2"/>
        <v>9712.6340999999993</v>
      </c>
      <c r="L12" s="183">
        <v>0</v>
      </c>
      <c r="M12" s="169">
        <f t="shared" si="3"/>
        <v>12220.6986</v>
      </c>
      <c r="N12" s="55" t="s">
        <v>161</v>
      </c>
      <c r="R12" s="295"/>
    </row>
    <row r="13" spans="1:18">
      <c r="A13" s="55">
        <v>10</v>
      </c>
      <c r="B13" s="266">
        <v>45818</v>
      </c>
      <c r="C13" s="6"/>
      <c r="D13" s="6"/>
      <c r="E13" s="77">
        <v>0</v>
      </c>
      <c r="F13" s="6">
        <v>0</v>
      </c>
      <c r="G13" s="78">
        <f t="shared" si="0"/>
        <v>0</v>
      </c>
      <c r="H13" s="77">
        <v>0</v>
      </c>
      <c r="I13" s="6">
        <v>0</v>
      </c>
      <c r="J13" s="78">
        <f t="shared" si="1"/>
        <v>0</v>
      </c>
      <c r="K13" s="78">
        <f t="shared" si="2"/>
        <v>0</v>
      </c>
      <c r="L13" s="183">
        <f t="shared" si="4"/>
        <v>0</v>
      </c>
      <c r="M13" s="169">
        <f t="shared" si="3"/>
        <v>12220.6986</v>
      </c>
      <c r="N13" s="55" t="s">
        <v>161</v>
      </c>
    </row>
    <row r="14" spans="1:18">
      <c r="A14" s="55">
        <v>11</v>
      </c>
      <c r="B14" s="266">
        <v>45819</v>
      </c>
      <c r="C14" s="6"/>
      <c r="D14" s="6"/>
      <c r="E14" s="77">
        <v>0</v>
      </c>
      <c r="F14" s="6">
        <v>0</v>
      </c>
      <c r="G14" s="78">
        <f t="shared" si="0"/>
        <v>0</v>
      </c>
      <c r="H14" s="77">
        <v>0</v>
      </c>
      <c r="I14" s="6">
        <v>0</v>
      </c>
      <c r="J14" s="78">
        <f t="shared" si="1"/>
        <v>0</v>
      </c>
      <c r="K14" s="78">
        <f t="shared" si="2"/>
        <v>0</v>
      </c>
      <c r="L14" s="183">
        <f t="shared" si="4"/>
        <v>0</v>
      </c>
      <c r="M14" s="169">
        <f t="shared" si="3"/>
        <v>12220.6986</v>
      </c>
      <c r="N14" s="55" t="s">
        <v>161</v>
      </c>
    </row>
    <row r="15" spans="1:18">
      <c r="A15" s="55">
        <v>12</v>
      </c>
      <c r="B15" s="266">
        <v>45820</v>
      </c>
      <c r="C15" s="6"/>
      <c r="D15" s="6"/>
      <c r="E15" s="77">
        <v>120</v>
      </c>
      <c r="F15" s="6">
        <v>91.62</v>
      </c>
      <c r="G15" s="78">
        <f t="shared" si="0"/>
        <v>10994.400000000001</v>
      </c>
      <c r="H15" s="77">
        <v>0</v>
      </c>
      <c r="I15" s="6">
        <v>0</v>
      </c>
      <c r="J15" s="78">
        <f t="shared" si="1"/>
        <v>0</v>
      </c>
      <c r="K15" s="78">
        <f t="shared" si="2"/>
        <v>10994.400000000001</v>
      </c>
      <c r="L15" s="183">
        <v>0</v>
      </c>
      <c r="M15" s="169">
        <f t="shared" si="3"/>
        <v>23215.098600000001</v>
      </c>
      <c r="N15" s="55" t="s">
        <v>161</v>
      </c>
    </row>
    <row r="16" spans="1:18">
      <c r="A16" s="55">
        <v>13</v>
      </c>
      <c r="B16" s="266">
        <v>45821</v>
      </c>
      <c r="C16" s="6"/>
      <c r="D16" s="6"/>
      <c r="E16" s="77">
        <v>100</v>
      </c>
      <c r="F16" s="6">
        <v>91.62</v>
      </c>
      <c r="G16" s="78">
        <f t="shared" si="0"/>
        <v>9162</v>
      </c>
      <c r="H16" s="77">
        <v>0</v>
      </c>
      <c r="I16" s="6">
        <v>0</v>
      </c>
      <c r="J16" s="78">
        <f t="shared" si="1"/>
        <v>0</v>
      </c>
      <c r="K16" s="78">
        <f t="shared" si="2"/>
        <v>9162</v>
      </c>
      <c r="L16" s="183">
        <v>0</v>
      </c>
      <c r="M16" s="169">
        <f t="shared" si="3"/>
        <v>32377.098600000001</v>
      </c>
      <c r="N16" s="55" t="s">
        <v>161</v>
      </c>
    </row>
    <row r="17" spans="1:14">
      <c r="A17" s="55">
        <v>14</v>
      </c>
      <c r="B17" s="266">
        <v>45822</v>
      </c>
      <c r="C17" s="6"/>
      <c r="D17" s="6"/>
      <c r="E17" s="77">
        <v>0</v>
      </c>
      <c r="F17" s="6">
        <v>0</v>
      </c>
      <c r="G17" s="78">
        <f t="shared" si="0"/>
        <v>0</v>
      </c>
      <c r="H17" s="77">
        <v>0</v>
      </c>
      <c r="I17" s="6">
        <v>0</v>
      </c>
      <c r="J17" s="78">
        <f t="shared" si="1"/>
        <v>0</v>
      </c>
      <c r="K17" s="78">
        <f t="shared" si="2"/>
        <v>0</v>
      </c>
      <c r="L17" s="183">
        <f t="shared" si="4"/>
        <v>0</v>
      </c>
      <c r="M17" s="169">
        <f t="shared" si="3"/>
        <v>32377.098600000001</v>
      </c>
      <c r="N17" s="55" t="s">
        <v>161</v>
      </c>
    </row>
    <row r="18" spans="1:14">
      <c r="A18" s="55">
        <v>15</v>
      </c>
      <c r="B18" s="266">
        <v>45823</v>
      </c>
      <c r="C18" s="6"/>
      <c r="D18" s="6"/>
      <c r="E18" s="77">
        <v>0</v>
      </c>
      <c r="F18" s="6">
        <v>0</v>
      </c>
      <c r="G18" s="78">
        <f t="shared" si="0"/>
        <v>0</v>
      </c>
      <c r="H18" s="77">
        <v>0</v>
      </c>
      <c r="I18" s="6">
        <v>0</v>
      </c>
      <c r="J18" s="78">
        <f t="shared" si="1"/>
        <v>0</v>
      </c>
      <c r="K18" s="78">
        <f t="shared" si="2"/>
        <v>0</v>
      </c>
      <c r="L18" s="183">
        <f t="shared" si="4"/>
        <v>0</v>
      </c>
      <c r="M18" s="169">
        <f t="shared" si="3"/>
        <v>32377.098600000001</v>
      </c>
      <c r="N18" s="55" t="s">
        <v>161</v>
      </c>
    </row>
    <row r="19" spans="1:14">
      <c r="A19" s="55">
        <v>16</v>
      </c>
      <c r="B19" s="266">
        <v>45824</v>
      </c>
      <c r="C19" s="6"/>
      <c r="D19" s="6"/>
      <c r="E19" s="77">
        <v>0</v>
      </c>
      <c r="F19" s="6">
        <v>0</v>
      </c>
      <c r="G19" s="78">
        <f t="shared" si="0"/>
        <v>0</v>
      </c>
      <c r="H19" s="77">
        <v>4.83</v>
      </c>
      <c r="I19" s="6">
        <v>103.57</v>
      </c>
      <c r="J19" s="78">
        <f t="shared" si="1"/>
        <v>500.24309999999997</v>
      </c>
      <c r="K19" s="78">
        <f t="shared" si="2"/>
        <v>500.24309999999997</v>
      </c>
      <c r="L19" s="183">
        <v>0</v>
      </c>
      <c r="M19" s="169">
        <f t="shared" si="3"/>
        <v>32877.341700000004</v>
      </c>
      <c r="N19" s="55" t="s">
        <v>161</v>
      </c>
    </row>
    <row r="20" spans="1:14">
      <c r="A20" s="55">
        <v>17</v>
      </c>
      <c r="B20" s="266">
        <v>45825</v>
      </c>
      <c r="C20" s="6"/>
      <c r="D20" s="6"/>
      <c r="E20" s="77">
        <v>92</v>
      </c>
      <c r="F20" s="6">
        <v>91.62</v>
      </c>
      <c r="G20" s="78">
        <f t="shared" si="0"/>
        <v>8429.0400000000009</v>
      </c>
      <c r="H20" s="77">
        <v>4.83</v>
      </c>
      <c r="I20" s="6">
        <v>103.57</v>
      </c>
      <c r="J20" s="78">
        <f t="shared" si="1"/>
        <v>500.24309999999997</v>
      </c>
      <c r="K20" s="78">
        <f t="shared" si="2"/>
        <v>8929.2831000000006</v>
      </c>
      <c r="L20" s="183">
        <v>0</v>
      </c>
      <c r="M20" s="169">
        <f t="shared" si="3"/>
        <v>41806.624800000005</v>
      </c>
      <c r="N20" s="55" t="s">
        <v>161</v>
      </c>
    </row>
    <row r="21" spans="1:14">
      <c r="A21" s="55">
        <v>18</v>
      </c>
      <c r="B21" s="266">
        <v>45826</v>
      </c>
      <c r="C21" s="6"/>
      <c r="D21" s="6"/>
      <c r="E21" s="77">
        <v>41.29</v>
      </c>
      <c r="F21" s="6">
        <v>91.62</v>
      </c>
      <c r="G21" s="78">
        <f t="shared" si="0"/>
        <v>3782.9898000000003</v>
      </c>
      <c r="H21" s="77">
        <v>0</v>
      </c>
      <c r="I21" s="6">
        <v>0</v>
      </c>
      <c r="J21" s="78">
        <f t="shared" si="1"/>
        <v>0</v>
      </c>
      <c r="K21" s="78">
        <f t="shared" si="2"/>
        <v>3782.9898000000003</v>
      </c>
      <c r="L21" s="183">
        <v>0</v>
      </c>
      <c r="M21" s="169">
        <f t="shared" si="3"/>
        <v>45589.614600000008</v>
      </c>
      <c r="N21" s="55" t="s">
        <v>161</v>
      </c>
    </row>
    <row r="22" spans="1:14">
      <c r="A22" s="55">
        <v>19</v>
      </c>
      <c r="B22" s="266">
        <v>45827</v>
      </c>
      <c r="C22" s="6"/>
      <c r="D22" s="6"/>
      <c r="E22" s="77">
        <v>0</v>
      </c>
      <c r="F22" s="6">
        <v>0</v>
      </c>
      <c r="G22" s="78">
        <f t="shared" si="0"/>
        <v>0</v>
      </c>
      <c r="H22" s="77">
        <v>0</v>
      </c>
      <c r="I22" s="6">
        <v>0</v>
      </c>
      <c r="J22" s="78">
        <f t="shared" si="1"/>
        <v>0</v>
      </c>
      <c r="K22" s="78">
        <f t="shared" si="2"/>
        <v>0</v>
      </c>
      <c r="L22" s="183">
        <f t="shared" si="4"/>
        <v>0</v>
      </c>
      <c r="M22" s="169">
        <f t="shared" si="3"/>
        <v>45589.614600000008</v>
      </c>
      <c r="N22" s="55" t="s">
        <v>161</v>
      </c>
    </row>
    <row r="23" spans="1:14">
      <c r="A23" s="55">
        <v>20</v>
      </c>
      <c r="B23" s="266">
        <v>45828</v>
      </c>
      <c r="C23" s="6"/>
      <c r="D23" s="6"/>
      <c r="E23" s="77">
        <v>0</v>
      </c>
      <c r="F23" s="6">
        <v>0</v>
      </c>
      <c r="G23" s="78">
        <f t="shared" si="0"/>
        <v>0</v>
      </c>
      <c r="H23" s="77">
        <v>0</v>
      </c>
      <c r="I23" s="6">
        <v>0</v>
      </c>
      <c r="J23" s="78">
        <f t="shared" si="1"/>
        <v>0</v>
      </c>
      <c r="K23" s="78">
        <f t="shared" si="2"/>
        <v>0</v>
      </c>
      <c r="L23" s="183">
        <f t="shared" si="4"/>
        <v>0</v>
      </c>
      <c r="M23" s="169">
        <f t="shared" si="3"/>
        <v>45589.614600000008</v>
      </c>
      <c r="N23" s="55"/>
    </row>
    <row r="24" spans="1:14">
      <c r="A24" s="55">
        <v>21</v>
      </c>
      <c r="B24" s="266">
        <v>45829</v>
      </c>
      <c r="C24" s="6"/>
      <c r="D24" s="6"/>
      <c r="E24" s="77">
        <v>0</v>
      </c>
      <c r="F24" s="6">
        <v>0</v>
      </c>
      <c r="G24" s="78">
        <f t="shared" si="0"/>
        <v>0</v>
      </c>
      <c r="H24" s="77">
        <v>0</v>
      </c>
      <c r="I24" s="6">
        <v>0</v>
      </c>
      <c r="J24" s="78">
        <f t="shared" si="1"/>
        <v>0</v>
      </c>
      <c r="K24" s="78">
        <f t="shared" si="2"/>
        <v>0</v>
      </c>
      <c r="L24" s="183">
        <f t="shared" si="4"/>
        <v>0</v>
      </c>
      <c r="M24" s="169">
        <f t="shared" si="3"/>
        <v>45589.614600000008</v>
      </c>
      <c r="N24" s="55"/>
    </row>
    <row r="25" spans="1:14">
      <c r="A25" s="55">
        <v>22</v>
      </c>
      <c r="B25" s="266">
        <v>45830</v>
      </c>
      <c r="C25" s="6"/>
      <c r="D25" s="6"/>
      <c r="E25" s="77">
        <v>0</v>
      </c>
      <c r="F25" s="6">
        <v>0</v>
      </c>
      <c r="G25" s="78">
        <f t="shared" si="0"/>
        <v>0</v>
      </c>
      <c r="H25" s="77">
        <v>0</v>
      </c>
      <c r="I25" s="6">
        <v>0</v>
      </c>
      <c r="J25" s="78">
        <f t="shared" si="1"/>
        <v>0</v>
      </c>
      <c r="K25" s="78">
        <f t="shared" si="2"/>
        <v>0</v>
      </c>
      <c r="L25" s="183">
        <f t="shared" si="4"/>
        <v>0</v>
      </c>
      <c r="M25" s="169">
        <f t="shared" si="3"/>
        <v>45589.614600000008</v>
      </c>
      <c r="N25" s="55"/>
    </row>
    <row r="26" spans="1:14">
      <c r="A26" s="55">
        <v>23</v>
      </c>
      <c r="B26" s="266">
        <v>45831</v>
      </c>
      <c r="C26" s="6"/>
      <c r="D26" s="6"/>
      <c r="E26" s="77">
        <v>80</v>
      </c>
      <c r="F26" s="6">
        <v>91.62</v>
      </c>
      <c r="G26" s="78">
        <f t="shared" si="0"/>
        <v>7329.6</v>
      </c>
      <c r="H26" s="77">
        <v>0</v>
      </c>
      <c r="I26" s="6">
        <v>0</v>
      </c>
      <c r="J26" s="78">
        <f t="shared" si="1"/>
        <v>0</v>
      </c>
      <c r="K26" s="78">
        <f t="shared" si="2"/>
        <v>7329.6</v>
      </c>
      <c r="L26" s="183">
        <v>0</v>
      </c>
      <c r="M26" s="169">
        <f t="shared" si="3"/>
        <v>52919.214600000007</v>
      </c>
      <c r="N26" s="6"/>
    </row>
    <row r="27" spans="1:14">
      <c r="A27" s="55">
        <v>24</v>
      </c>
      <c r="B27" s="266">
        <v>45832</v>
      </c>
      <c r="C27" s="6"/>
      <c r="D27" s="6"/>
      <c r="E27" s="77">
        <v>0</v>
      </c>
      <c r="F27" s="6">
        <v>0</v>
      </c>
      <c r="G27" s="78">
        <f t="shared" si="0"/>
        <v>0</v>
      </c>
      <c r="H27" s="77">
        <v>0</v>
      </c>
      <c r="I27" s="6">
        <v>0</v>
      </c>
      <c r="J27" s="78">
        <f t="shared" si="1"/>
        <v>0</v>
      </c>
      <c r="K27" s="78">
        <f t="shared" si="2"/>
        <v>0</v>
      </c>
      <c r="L27" s="183">
        <v>25000</v>
      </c>
      <c r="M27" s="169">
        <f t="shared" si="3"/>
        <v>27919.214600000007</v>
      </c>
      <c r="N27" s="6"/>
    </row>
    <row r="28" spans="1:14">
      <c r="A28" s="268">
        <v>25</v>
      </c>
      <c r="B28" s="266">
        <v>45833</v>
      </c>
      <c r="C28" s="6"/>
      <c r="D28" s="6"/>
      <c r="E28" s="77">
        <v>42.81</v>
      </c>
      <c r="F28" s="6">
        <v>91.62</v>
      </c>
      <c r="G28" s="78">
        <f t="shared" si="0"/>
        <v>3922.2522000000004</v>
      </c>
      <c r="H28" s="77">
        <v>0</v>
      </c>
      <c r="I28" s="6">
        <v>0</v>
      </c>
      <c r="J28" s="78">
        <f t="shared" si="1"/>
        <v>0</v>
      </c>
      <c r="K28" s="78">
        <f t="shared" si="2"/>
        <v>3922.2522000000004</v>
      </c>
      <c r="L28" s="183">
        <v>0</v>
      </c>
      <c r="M28" s="169">
        <f t="shared" si="3"/>
        <v>31841.466800000006</v>
      </c>
      <c r="N28" s="6"/>
    </row>
    <row r="29" spans="1:14">
      <c r="A29" s="268">
        <v>26</v>
      </c>
      <c r="B29" s="266">
        <v>45834</v>
      </c>
      <c r="C29" s="6"/>
      <c r="D29" s="6"/>
      <c r="E29" s="77">
        <v>0</v>
      </c>
      <c r="F29" s="6">
        <v>0</v>
      </c>
      <c r="G29" s="78">
        <f t="shared" si="0"/>
        <v>0</v>
      </c>
      <c r="H29" s="77">
        <v>0</v>
      </c>
      <c r="I29" s="6">
        <v>0</v>
      </c>
      <c r="J29" s="78">
        <f t="shared" si="1"/>
        <v>0</v>
      </c>
      <c r="K29" s="78">
        <f t="shared" si="2"/>
        <v>0</v>
      </c>
      <c r="L29" s="183">
        <f t="shared" si="4"/>
        <v>0</v>
      </c>
      <c r="M29" s="169">
        <f t="shared" si="3"/>
        <v>31841.466800000006</v>
      </c>
      <c r="N29" s="6"/>
    </row>
    <row r="30" spans="1:14">
      <c r="A30" s="268">
        <v>27</v>
      </c>
      <c r="B30" s="266">
        <v>45835</v>
      </c>
      <c r="C30" s="6"/>
      <c r="D30" s="6"/>
      <c r="E30" s="77">
        <v>0</v>
      </c>
      <c r="F30" s="6">
        <v>0</v>
      </c>
      <c r="G30" s="78">
        <f t="shared" si="0"/>
        <v>0</v>
      </c>
      <c r="H30" s="77">
        <v>0</v>
      </c>
      <c r="I30" s="6">
        <v>0</v>
      </c>
      <c r="J30" s="78">
        <f t="shared" si="1"/>
        <v>0</v>
      </c>
      <c r="K30" s="78">
        <f t="shared" si="2"/>
        <v>0</v>
      </c>
      <c r="L30" s="183">
        <f t="shared" si="4"/>
        <v>0</v>
      </c>
      <c r="M30" s="169">
        <f t="shared" si="3"/>
        <v>31841.466800000006</v>
      </c>
      <c r="N30" s="6"/>
    </row>
    <row r="31" spans="1:14">
      <c r="A31" s="268">
        <v>28</v>
      </c>
      <c r="B31" s="266">
        <v>45836</v>
      </c>
      <c r="C31" s="6"/>
      <c r="D31" s="6"/>
      <c r="E31" s="77">
        <v>41</v>
      </c>
      <c r="F31" s="6">
        <v>91.62</v>
      </c>
      <c r="G31" s="78">
        <f t="shared" si="0"/>
        <v>3756.42</v>
      </c>
      <c r="H31" s="77">
        <v>4.83</v>
      </c>
      <c r="I31" s="6">
        <v>103.57</v>
      </c>
      <c r="J31" s="78">
        <f t="shared" si="1"/>
        <v>500.24309999999997</v>
      </c>
      <c r="K31" s="78">
        <f>G31+J31</f>
        <v>4256.6630999999998</v>
      </c>
      <c r="L31" s="183">
        <v>0</v>
      </c>
      <c r="M31" s="169">
        <f t="shared" si="3"/>
        <v>36098.129900000007</v>
      </c>
      <c r="N31" s="6"/>
    </row>
    <row r="32" spans="1:14">
      <c r="A32" s="269">
        <v>29</v>
      </c>
      <c r="B32" s="266">
        <v>45837</v>
      </c>
      <c r="C32" s="6"/>
      <c r="D32" s="6"/>
      <c r="E32" s="77">
        <v>0</v>
      </c>
      <c r="F32" s="6">
        <v>0</v>
      </c>
      <c r="G32" s="78">
        <f t="shared" si="0"/>
        <v>0</v>
      </c>
      <c r="H32" s="77">
        <v>0</v>
      </c>
      <c r="I32" s="6">
        <v>0</v>
      </c>
      <c r="J32" s="78">
        <f t="shared" si="1"/>
        <v>0</v>
      </c>
      <c r="K32" s="78">
        <f t="shared" si="2"/>
        <v>0</v>
      </c>
      <c r="L32" s="183">
        <f t="shared" si="4"/>
        <v>0</v>
      </c>
      <c r="M32" s="169">
        <f t="shared" si="3"/>
        <v>36098.129900000007</v>
      </c>
      <c r="N32" s="6"/>
    </row>
    <row r="33" spans="1:17">
      <c r="A33" s="269">
        <v>30</v>
      </c>
      <c r="B33" s="266">
        <v>45838</v>
      </c>
      <c r="C33" s="6"/>
      <c r="D33" s="6"/>
      <c r="E33" s="77">
        <v>0</v>
      </c>
      <c r="F33" s="6">
        <v>0</v>
      </c>
      <c r="G33" s="78">
        <f t="shared" si="0"/>
        <v>0</v>
      </c>
      <c r="H33" s="77">
        <v>4.83</v>
      </c>
      <c r="I33" s="6">
        <v>103.57</v>
      </c>
      <c r="J33" s="78">
        <f t="shared" si="1"/>
        <v>500.24309999999997</v>
      </c>
      <c r="K33" s="78">
        <f t="shared" si="2"/>
        <v>500.24309999999997</v>
      </c>
      <c r="L33" s="183">
        <v>0</v>
      </c>
      <c r="M33" s="169">
        <f t="shared" si="3"/>
        <v>36598.373000000007</v>
      </c>
      <c r="N33" s="6"/>
    </row>
    <row r="34" spans="1:17">
      <c r="A34" s="269">
        <v>31</v>
      </c>
      <c r="B34" s="266"/>
      <c r="C34" s="6"/>
      <c r="D34" s="6"/>
      <c r="E34" s="77">
        <v>0</v>
      </c>
      <c r="F34" s="6">
        <v>0</v>
      </c>
      <c r="G34" s="78">
        <f t="shared" ref="G5:G40" si="5">E34*F34</f>
        <v>0</v>
      </c>
      <c r="H34" s="77">
        <v>0</v>
      </c>
      <c r="I34" s="6">
        <v>0</v>
      </c>
      <c r="J34" s="78">
        <f t="shared" ref="J5:J40" si="6">H34*I34</f>
        <v>0</v>
      </c>
      <c r="K34" s="78">
        <f t="shared" ref="K5:K40" si="7">G34+J34</f>
        <v>0</v>
      </c>
      <c r="L34" s="183">
        <v>0</v>
      </c>
      <c r="M34" s="169">
        <f t="shared" ref="M17:M39" si="8">M33+K34-L34</f>
        <v>36598.373000000007</v>
      </c>
      <c r="N34" s="6"/>
    </row>
    <row r="35" spans="1:17" s="440" customFormat="1">
      <c r="A35" s="27">
        <v>35</v>
      </c>
      <c r="B35" s="437"/>
      <c r="C35" s="27"/>
      <c r="D35" s="27"/>
      <c r="E35" s="438">
        <v>0</v>
      </c>
      <c r="F35" s="27">
        <v>0</v>
      </c>
      <c r="G35" s="439">
        <f t="shared" si="5"/>
        <v>0</v>
      </c>
      <c r="H35" s="438">
        <v>0</v>
      </c>
      <c r="I35" s="27">
        <v>0</v>
      </c>
      <c r="J35" s="439">
        <f t="shared" si="6"/>
        <v>0</v>
      </c>
      <c r="K35" s="439">
        <f t="shared" si="7"/>
        <v>0</v>
      </c>
      <c r="L35" s="439">
        <f t="shared" ref="L5:L40" si="9">+K35</f>
        <v>0</v>
      </c>
      <c r="M35" s="169">
        <f t="shared" si="8"/>
        <v>36598.373000000007</v>
      </c>
      <c r="N35" s="27"/>
    </row>
    <row r="36" spans="1:17" s="440" customFormat="1">
      <c r="A36" s="27">
        <v>36</v>
      </c>
      <c r="B36" s="437"/>
      <c r="C36" s="27"/>
      <c r="D36" s="27"/>
      <c r="E36" s="438">
        <v>0</v>
      </c>
      <c r="F36" s="27">
        <v>0</v>
      </c>
      <c r="G36" s="439">
        <f t="shared" si="5"/>
        <v>0</v>
      </c>
      <c r="H36" s="438">
        <v>0</v>
      </c>
      <c r="I36" s="27">
        <v>0</v>
      </c>
      <c r="J36" s="439">
        <f t="shared" si="6"/>
        <v>0</v>
      </c>
      <c r="K36" s="439">
        <f t="shared" si="7"/>
        <v>0</v>
      </c>
      <c r="L36" s="439">
        <f t="shared" si="9"/>
        <v>0</v>
      </c>
      <c r="M36" s="169">
        <f t="shared" si="8"/>
        <v>36598.373000000007</v>
      </c>
      <c r="N36" s="27"/>
    </row>
    <row r="37" spans="1:17" s="440" customFormat="1">
      <c r="A37" s="27">
        <v>37</v>
      </c>
      <c r="B37" s="437"/>
      <c r="C37" s="27"/>
      <c r="D37" s="27"/>
      <c r="E37" s="438">
        <v>0</v>
      </c>
      <c r="F37" s="27">
        <v>0</v>
      </c>
      <c r="G37" s="439">
        <f t="shared" si="5"/>
        <v>0</v>
      </c>
      <c r="H37" s="438">
        <v>0</v>
      </c>
      <c r="I37" s="27">
        <v>0</v>
      </c>
      <c r="J37" s="439">
        <f t="shared" si="6"/>
        <v>0</v>
      </c>
      <c r="K37" s="439">
        <f t="shared" si="7"/>
        <v>0</v>
      </c>
      <c r="L37" s="439">
        <f t="shared" si="9"/>
        <v>0</v>
      </c>
      <c r="M37" s="169">
        <f t="shared" si="8"/>
        <v>36598.373000000007</v>
      </c>
      <c r="N37" s="27"/>
    </row>
    <row r="38" spans="1:17" s="440" customFormat="1">
      <c r="A38" s="27">
        <v>38</v>
      </c>
      <c r="B38" s="437"/>
      <c r="C38" s="27"/>
      <c r="D38" s="27"/>
      <c r="E38" s="438">
        <v>0</v>
      </c>
      <c r="F38" s="27">
        <v>0</v>
      </c>
      <c r="G38" s="439">
        <f t="shared" si="5"/>
        <v>0</v>
      </c>
      <c r="H38" s="438">
        <v>0</v>
      </c>
      <c r="I38" s="27">
        <v>0</v>
      </c>
      <c r="J38" s="439">
        <f t="shared" si="6"/>
        <v>0</v>
      </c>
      <c r="K38" s="439">
        <f t="shared" si="7"/>
        <v>0</v>
      </c>
      <c r="L38" s="439">
        <f t="shared" si="9"/>
        <v>0</v>
      </c>
      <c r="M38" s="169">
        <f t="shared" si="8"/>
        <v>36598.373000000007</v>
      </c>
      <c r="N38" s="27"/>
    </row>
    <row r="39" spans="1:17" s="440" customFormat="1">
      <c r="A39" s="441">
        <v>39</v>
      </c>
      <c r="B39" s="442"/>
      <c r="C39" s="441"/>
      <c r="D39" s="27"/>
      <c r="E39" s="438">
        <v>0</v>
      </c>
      <c r="F39" s="27">
        <v>0</v>
      </c>
      <c r="G39" s="439">
        <f t="shared" si="5"/>
        <v>0</v>
      </c>
      <c r="H39" s="438">
        <v>0</v>
      </c>
      <c r="I39" s="27">
        <v>0</v>
      </c>
      <c r="J39" s="439">
        <f t="shared" si="6"/>
        <v>0</v>
      </c>
      <c r="K39" s="439">
        <f t="shared" si="7"/>
        <v>0</v>
      </c>
      <c r="L39" s="439">
        <f t="shared" si="9"/>
        <v>0</v>
      </c>
      <c r="M39" s="169">
        <f t="shared" si="8"/>
        <v>36598.373000000007</v>
      </c>
      <c r="N39" s="441"/>
    </row>
    <row r="40" spans="1:17" s="440" customFormat="1">
      <c r="A40" s="27">
        <v>40</v>
      </c>
      <c r="B40" s="27"/>
      <c r="C40" s="27"/>
      <c r="D40" s="27"/>
      <c r="E40" s="438">
        <v>0</v>
      </c>
      <c r="F40" s="27">
        <v>0</v>
      </c>
      <c r="G40" s="439">
        <f t="shared" si="5"/>
        <v>0</v>
      </c>
      <c r="H40" s="438">
        <v>0</v>
      </c>
      <c r="I40" s="27">
        <v>0</v>
      </c>
      <c r="J40" s="439">
        <f t="shared" si="6"/>
        <v>0</v>
      </c>
      <c r="K40" s="439">
        <f t="shared" si="7"/>
        <v>0</v>
      </c>
      <c r="L40" s="439">
        <f t="shared" si="9"/>
        <v>0</v>
      </c>
      <c r="M40" s="169">
        <v>0</v>
      </c>
      <c r="N40" s="27"/>
    </row>
    <row r="41" spans="1:17" s="440" customFormat="1">
      <c r="A41" s="441">
        <v>41</v>
      </c>
      <c r="B41" s="441"/>
      <c r="C41" s="441"/>
      <c r="D41" s="27"/>
      <c r="E41" s="438">
        <v>0</v>
      </c>
      <c r="F41" s="27">
        <v>0</v>
      </c>
      <c r="G41" s="439">
        <f t="shared" ref="G5:G42" si="10">E41*F41</f>
        <v>0</v>
      </c>
      <c r="H41" s="438">
        <v>0</v>
      </c>
      <c r="I41" s="27">
        <v>0</v>
      </c>
      <c r="J41" s="439">
        <f t="shared" ref="J5:J42" si="11">H41*I41</f>
        <v>0</v>
      </c>
      <c r="K41" s="439">
        <f t="shared" ref="K5:K42" si="12">G41+J41</f>
        <v>0</v>
      </c>
      <c r="L41" s="439">
        <f t="shared" ref="L5:L42" si="13">+K41</f>
        <v>0</v>
      </c>
      <c r="M41" s="197">
        <v>0</v>
      </c>
      <c r="N41" s="441"/>
    </row>
    <row r="42" spans="1:17" s="440" customFormat="1">
      <c r="A42" s="441">
        <v>42</v>
      </c>
      <c r="B42" s="441"/>
      <c r="C42" s="441"/>
      <c r="D42" s="27"/>
      <c r="E42" s="438">
        <v>0</v>
      </c>
      <c r="F42" s="27">
        <v>0</v>
      </c>
      <c r="G42" s="439">
        <f t="shared" si="10"/>
        <v>0</v>
      </c>
      <c r="H42" s="438"/>
      <c r="I42" s="27"/>
      <c r="J42" s="439">
        <f t="shared" si="11"/>
        <v>0</v>
      </c>
      <c r="K42" s="443">
        <f t="shared" si="12"/>
        <v>0</v>
      </c>
      <c r="L42" s="443">
        <f t="shared" si="13"/>
        <v>0</v>
      </c>
      <c r="M42" s="197">
        <v>0</v>
      </c>
      <c r="N42" s="441"/>
    </row>
    <row r="43" spans="1:17">
      <c r="A43" s="74"/>
      <c r="B43" s="74"/>
      <c r="C43" s="74"/>
      <c r="D43" s="74"/>
      <c r="E43" s="75">
        <f>SUM(E4:E42)</f>
        <v>761.82999999999993</v>
      </c>
      <c r="F43" s="75"/>
      <c r="G43" s="75">
        <f>SUM(G4:G42)</f>
        <v>69798.864600000001</v>
      </c>
      <c r="H43" s="75">
        <f>SUM(H4:H42)</f>
        <v>53.11999999999999</v>
      </c>
      <c r="I43" s="75"/>
      <c r="J43" s="75">
        <f>SUM(J4:J42)</f>
        <v>5501.6383999999998</v>
      </c>
      <c r="K43" s="75">
        <f>SUM(K4:K42)</f>
        <v>75300.503000000026</v>
      </c>
      <c r="L43" s="75">
        <f>SUM(L4:L42)</f>
        <v>58950.7</v>
      </c>
      <c r="M43" s="75"/>
      <c r="N43" s="75"/>
    </row>
    <row r="47" spans="1:17">
      <c r="Q47">
        <v>9542400867</v>
      </c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9221C-1691-4B0D-B03E-610E76253615}">
  <sheetPr>
    <tabColor theme="0"/>
  </sheetPr>
  <dimension ref="A1:P37"/>
  <sheetViews>
    <sheetView topLeftCell="A25" workbookViewId="0">
      <selection activeCell="F40" sqref="F40"/>
    </sheetView>
  </sheetViews>
  <sheetFormatPr defaultRowHeight="15"/>
  <cols>
    <col min="1" max="1" width="5.140625" bestFit="1" customWidth="1"/>
    <col min="2" max="2" width="11.5703125" bestFit="1" customWidth="1"/>
    <col min="3" max="3" width="8" bestFit="1" customWidth="1"/>
    <col min="4" max="4" width="16" bestFit="1" customWidth="1"/>
    <col min="5" max="5" width="10.7109375" bestFit="1" customWidth="1"/>
    <col min="6" max="6" width="13.42578125" customWidth="1"/>
    <col min="7" max="7" width="9.28515625" bestFit="1" customWidth="1"/>
    <col min="8" max="8" width="10.7109375" bestFit="1" customWidth="1"/>
    <col min="9" max="9" width="7.140625" bestFit="1" customWidth="1"/>
    <col min="10" max="10" width="8.7109375" bestFit="1" customWidth="1"/>
    <col min="11" max="11" width="13.5703125" bestFit="1" customWidth="1"/>
    <col min="12" max="12" width="15.85546875" bestFit="1" customWidth="1"/>
    <col min="13" max="13" width="13.5703125" bestFit="1" customWidth="1"/>
    <col min="14" max="14" width="8.7109375" bestFit="1" customWidth="1"/>
    <col min="16" max="16" width="12.28515625" customWidth="1"/>
  </cols>
  <sheetData>
    <row r="1" spans="1:16" ht="15.75" customHeight="1">
      <c r="A1" s="476" t="s">
        <v>48</v>
      </c>
      <c r="B1" s="476"/>
      <c r="C1" s="476"/>
      <c r="D1" s="476"/>
      <c r="E1" s="476"/>
      <c r="F1" s="476"/>
      <c r="G1" s="476"/>
      <c r="H1" s="476"/>
      <c r="I1" s="476"/>
      <c r="J1" s="476"/>
      <c r="K1" s="476"/>
      <c r="L1" s="476"/>
      <c r="M1" s="476"/>
      <c r="N1" s="476"/>
    </row>
    <row r="2" spans="1:16">
      <c r="A2" s="139" t="s">
        <v>102</v>
      </c>
      <c r="B2" s="139" t="s">
        <v>103</v>
      </c>
      <c r="C2" s="139" t="s">
        <v>104</v>
      </c>
      <c r="D2" s="139" t="s">
        <v>105</v>
      </c>
      <c r="E2" s="199" t="s">
        <v>106</v>
      </c>
      <c r="F2" s="199" t="s">
        <v>107</v>
      </c>
      <c r="G2" s="199" t="s">
        <v>108</v>
      </c>
      <c r="H2" s="199" t="s">
        <v>109</v>
      </c>
      <c r="I2" s="199" t="s">
        <v>107</v>
      </c>
      <c r="J2" s="199" t="s">
        <v>108</v>
      </c>
      <c r="K2" s="199" t="s">
        <v>110</v>
      </c>
      <c r="L2" s="139" t="s">
        <v>191</v>
      </c>
      <c r="M2" s="142" t="s">
        <v>111</v>
      </c>
      <c r="N2" s="139" t="s">
        <v>113</v>
      </c>
    </row>
    <row r="3" spans="1:16">
      <c r="A3" s="19"/>
      <c r="B3" s="19"/>
      <c r="C3" s="19"/>
      <c r="D3" s="19" t="s">
        <v>114</v>
      </c>
      <c r="E3" s="19"/>
      <c r="F3" s="19"/>
      <c r="G3" s="19"/>
      <c r="H3" s="19"/>
      <c r="I3" s="19"/>
      <c r="J3" s="19"/>
      <c r="K3" s="19">
        <v>0</v>
      </c>
      <c r="L3" s="19"/>
      <c r="M3" s="19">
        <f>+K3</f>
        <v>0</v>
      </c>
      <c r="N3" s="19"/>
    </row>
    <row r="4" spans="1:16">
      <c r="A4" s="28">
        <v>1</v>
      </c>
      <c r="B4" s="29">
        <v>45809</v>
      </c>
      <c r="C4" s="152"/>
      <c r="D4" s="152"/>
      <c r="E4" s="106">
        <v>0</v>
      </c>
      <c r="F4" s="106">
        <v>0</v>
      </c>
      <c r="G4" s="204">
        <f>F4*E4</f>
        <v>0</v>
      </c>
      <c r="H4" s="106">
        <v>0</v>
      </c>
      <c r="I4" s="106">
        <v>0</v>
      </c>
      <c r="J4" s="204">
        <f t="shared" ref="J4" si="0">H4*I4</f>
        <v>0</v>
      </c>
      <c r="K4" s="204">
        <f>G4+J4</f>
        <v>0</v>
      </c>
      <c r="L4" s="204">
        <f>+K4</f>
        <v>0</v>
      </c>
      <c r="M4" s="204">
        <f>+L4</f>
        <v>0</v>
      </c>
      <c r="N4" s="152"/>
    </row>
    <row r="5" spans="1:16">
      <c r="A5" s="28">
        <v>2</v>
      </c>
      <c r="B5" s="29">
        <v>45810</v>
      </c>
      <c r="C5" s="19"/>
      <c r="D5" s="152"/>
      <c r="E5" s="106">
        <v>0</v>
      </c>
      <c r="F5" s="106">
        <v>0</v>
      </c>
      <c r="G5" s="204">
        <f t="shared" ref="G5:G33" si="1">F5*E5</f>
        <v>0</v>
      </c>
      <c r="H5" s="106">
        <v>0</v>
      </c>
      <c r="I5" s="106">
        <v>0</v>
      </c>
      <c r="J5" s="204">
        <f t="shared" ref="J5:J33" si="2">H5*I5</f>
        <v>0</v>
      </c>
      <c r="K5" s="204">
        <f t="shared" ref="K5:K33" si="3">G5+J5</f>
        <v>0</v>
      </c>
      <c r="L5" s="204">
        <f t="shared" ref="L5:L33" si="4">+K5</f>
        <v>0</v>
      </c>
      <c r="M5" s="204">
        <f t="shared" ref="M5:M33" si="5">+L5</f>
        <v>0</v>
      </c>
      <c r="N5" s="19"/>
    </row>
    <row r="6" spans="1:16">
      <c r="A6" s="28">
        <v>3</v>
      </c>
      <c r="B6" s="29">
        <v>45811</v>
      </c>
      <c r="C6" s="19"/>
      <c r="D6" s="152"/>
      <c r="E6" s="106">
        <v>0</v>
      </c>
      <c r="F6" s="106">
        <v>0</v>
      </c>
      <c r="G6" s="204">
        <f t="shared" si="1"/>
        <v>0</v>
      </c>
      <c r="H6" s="106">
        <v>0</v>
      </c>
      <c r="I6" s="106">
        <v>0</v>
      </c>
      <c r="J6" s="204">
        <f t="shared" si="2"/>
        <v>0</v>
      </c>
      <c r="K6" s="204">
        <f t="shared" si="3"/>
        <v>0</v>
      </c>
      <c r="L6" s="204">
        <f t="shared" si="4"/>
        <v>0</v>
      </c>
      <c r="M6" s="204">
        <v>0</v>
      </c>
      <c r="N6" s="19"/>
    </row>
    <row r="7" spans="1:16">
      <c r="A7" s="28">
        <v>4</v>
      </c>
      <c r="B7" s="29">
        <v>45812</v>
      </c>
      <c r="C7" s="19"/>
      <c r="D7" s="152"/>
      <c r="E7" s="106">
        <v>0</v>
      </c>
      <c r="F7" s="106">
        <v>0</v>
      </c>
      <c r="G7" s="204">
        <f t="shared" si="1"/>
        <v>0</v>
      </c>
      <c r="H7" s="106">
        <v>0</v>
      </c>
      <c r="I7" s="106">
        <v>0</v>
      </c>
      <c r="J7" s="204">
        <f t="shared" si="2"/>
        <v>0</v>
      </c>
      <c r="K7" s="204">
        <f t="shared" si="3"/>
        <v>0</v>
      </c>
      <c r="L7" s="204">
        <f t="shared" si="4"/>
        <v>0</v>
      </c>
      <c r="M7" s="204">
        <f t="shared" si="5"/>
        <v>0</v>
      </c>
      <c r="N7" s="19"/>
    </row>
    <row r="8" spans="1:16">
      <c r="A8" s="28">
        <v>5</v>
      </c>
      <c r="B8" s="29">
        <v>45813</v>
      </c>
      <c r="C8" s="19"/>
      <c r="D8" s="152"/>
      <c r="E8" s="106">
        <v>0</v>
      </c>
      <c r="F8" s="106">
        <v>0</v>
      </c>
      <c r="G8" s="204">
        <f t="shared" si="1"/>
        <v>0</v>
      </c>
      <c r="H8" s="106">
        <v>0</v>
      </c>
      <c r="I8" s="106">
        <v>0</v>
      </c>
      <c r="J8" s="204">
        <f t="shared" si="2"/>
        <v>0</v>
      </c>
      <c r="K8" s="204">
        <f t="shared" si="3"/>
        <v>0</v>
      </c>
      <c r="L8" s="204">
        <f t="shared" si="4"/>
        <v>0</v>
      </c>
      <c r="M8" s="204">
        <f t="shared" si="5"/>
        <v>0</v>
      </c>
      <c r="N8" s="19"/>
    </row>
    <row r="9" spans="1:16">
      <c r="A9" s="28">
        <v>6</v>
      </c>
      <c r="B9" s="29">
        <v>45814</v>
      </c>
      <c r="C9" s="19"/>
      <c r="D9" s="152"/>
      <c r="E9" s="106">
        <v>20</v>
      </c>
      <c r="F9" s="106">
        <v>90.88</v>
      </c>
      <c r="G9" s="204">
        <f t="shared" si="1"/>
        <v>1817.6</v>
      </c>
      <c r="H9" s="106">
        <v>4.8600000000000003</v>
      </c>
      <c r="I9" s="106">
        <v>102.77</v>
      </c>
      <c r="J9" s="204">
        <f t="shared" si="2"/>
        <v>499.4622</v>
      </c>
      <c r="K9" s="204">
        <f t="shared" si="3"/>
        <v>2317.0621999999998</v>
      </c>
      <c r="L9" s="204">
        <f t="shared" si="4"/>
        <v>2317.0621999999998</v>
      </c>
      <c r="M9" s="204">
        <f t="shared" si="5"/>
        <v>2317.0621999999998</v>
      </c>
      <c r="N9" s="19"/>
    </row>
    <row r="10" spans="1:16">
      <c r="A10" s="28">
        <v>7</v>
      </c>
      <c r="B10" s="29">
        <v>45815</v>
      </c>
      <c r="C10" s="19"/>
      <c r="D10" s="152"/>
      <c r="E10" s="106">
        <v>20</v>
      </c>
      <c r="F10" s="106">
        <v>90.88</v>
      </c>
      <c r="G10" s="204">
        <f t="shared" si="1"/>
        <v>1817.6</v>
      </c>
      <c r="H10" s="106">
        <v>0</v>
      </c>
      <c r="I10" s="106">
        <v>0</v>
      </c>
      <c r="J10" s="204">
        <f t="shared" si="2"/>
        <v>0</v>
      </c>
      <c r="K10" s="204">
        <f t="shared" si="3"/>
        <v>1817.6</v>
      </c>
      <c r="L10" s="204">
        <f t="shared" si="4"/>
        <v>1817.6</v>
      </c>
      <c r="M10" s="204">
        <f t="shared" si="5"/>
        <v>1817.6</v>
      </c>
      <c r="N10" s="19"/>
    </row>
    <row r="11" spans="1:16">
      <c r="A11" s="28">
        <v>8</v>
      </c>
      <c r="B11" s="29">
        <v>45816</v>
      </c>
      <c r="C11" s="19"/>
      <c r="D11" s="152"/>
      <c r="E11" s="106">
        <v>20</v>
      </c>
      <c r="F11" s="106">
        <v>90.88</v>
      </c>
      <c r="G11" s="204">
        <f t="shared" si="1"/>
        <v>1817.6</v>
      </c>
      <c r="H11" s="106">
        <v>0</v>
      </c>
      <c r="I11" s="106">
        <v>0</v>
      </c>
      <c r="J11" s="204">
        <f t="shared" si="2"/>
        <v>0</v>
      </c>
      <c r="K11" s="204">
        <f t="shared" si="3"/>
        <v>1817.6</v>
      </c>
      <c r="L11" s="204">
        <f t="shared" si="4"/>
        <v>1817.6</v>
      </c>
      <c r="M11" s="204">
        <f t="shared" si="5"/>
        <v>1817.6</v>
      </c>
      <c r="N11" s="19"/>
    </row>
    <row r="12" spans="1:16">
      <c r="A12" s="28">
        <v>9</v>
      </c>
      <c r="B12" s="29">
        <v>45817</v>
      </c>
      <c r="C12" s="19"/>
      <c r="D12" s="152"/>
      <c r="E12" s="106">
        <v>40</v>
      </c>
      <c r="F12" s="106">
        <v>90.88</v>
      </c>
      <c r="G12" s="204">
        <f t="shared" si="1"/>
        <v>3635.2</v>
      </c>
      <c r="H12" s="106">
        <v>0</v>
      </c>
      <c r="I12" s="106">
        <v>0</v>
      </c>
      <c r="J12" s="204">
        <f t="shared" si="2"/>
        <v>0</v>
      </c>
      <c r="K12" s="204">
        <f t="shared" si="3"/>
        <v>3635.2</v>
      </c>
      <c r="L12" s="204">
        <f t="shared" si="4"/>
        <v>3635.2</v>
      </c>
      <c r="M12" s="204">
        <f t="shared" si="5"/>
        <v>3635.2</v>
      </c>
      <c r="N12" s="19"/>
      <c r="P12">
        <f>4999.17+50339.51</f>
        <v>55338.68</v>
      </c>
    </row>
    <row r="13" spans="1:16">
      <c r="A13" s="28">
        <v>10</v>
      </c>
      <c r="B13" s="29">
        <v>45818</v>
      </c>
      <c r="C13" s="19"/>
      <c r="D13" s="152"/>
      <c r="E13" s="106">
        <v>40</v>
      </c>
      <c r="F13" s="106">
        <v>90.88</v>
      </c>
      <c r="G13" s="204">
        <f t="shared" si="1"/>
        <v>3635.2</v>
      </c>
      <c r="H13" s="106">
        <v>0</v>
      </c>
      <c r="I13" s="106">
        <v>0</v>
      </c>
      <c r="J13" s="204">
        <f t="shared" si="2"/>
        <v>0</v>
      </c>
      <c r="K13" s="204">
        <f t="shared" si="3"/>
        <v>3635.2</v>
      </c>
      <c r="L13" s="204">
        <f t="shared" si="4"/>
        <v>3635.2</v>
      </c>
      <c r="M13" s="204">
        <f t="shared" si="5"/>
        <v>3635.2</v>
      </c>
      <c r="N13" s="19"/>
    </row>
    <row r="14" spans="1:16">
      <c r="A14" s="28">
        <v>11</v>
      </c>
      <c r="B14" s="29">
        <v>45819</v>
      </c>
      <c r="C14" s="19"/>
      <c r="D14" s="152"/>
      <c r="E14" s="106">
        <v>20</v>
      </c>
      <c r="F14" s="106">
        <v>90.88</v>
      </c>
      <c r="G14" s="204">
        <f t="shared" si="1"/>
        <v>1817.6</v>
      </c>
      <c r="H14" s="106">
        <v>0</v>
      </c>
      <c r="I14" s="106">
        <v>0</v>
      </c>
      <c r="J14" s="204">
        <f t="shared" si="2"/>
        <v>0</v>
      </c>
      <c r="K14" s="204">
        <f t="shared" si="3"/>
        <v>1817.6</v>
      </c>
      <c r="L14" s="204">
        <f t="shared" si="4"/>
        <v>1817.6</v>
      </c>
      <c r="M14" s="204">
        <f t="shared" si="5"/>
        <v>1817.6</v>
      </c>
      <c r="N14" s="19"/>
    </row>
    <row r="15" spans="1:16">
      <c r="A15" s="28">
        <v>12</v>
      </c>
      <c r="B15" s="29">
        <v>45820</v>
      </c>
      <c r="C15" s="19"/>
      <c r="D15" s="152"/>
      <c r="E15" s="106">
        <v>0</v>
      </c>
      <c r="F15" s="106">
        <v>0</v>
      </c>
      <c r="G15" s="204">
        <f t="shared" si="1"/>
        <v>0</v>
      </c>
      <c r="H15" s="106">
        <v>0</v>
      </c>
      <c r="I15" s="106">
        <v>0</v>
      </c>
      <c r="J15" s="204">
        <f t="shared" si="2"/>
        <v>0</v>
      </c>
      <c r="K15" s="204">
        <f t="shared" si="3"/>
        <v>0</v>
      </c>
      <c r="L15" s="204">
        <f t="shared" si="4"/>
        <v>0</v>
      </c>
      <c r="M15" s="204">
        <f t="shared" si="5"/>
        <v>0</v>
      </c>
      <c r="N15" s="19"/>
    </row>
    <row r="16" spans="1:16">
      <c r="A16" s="28">
        <v>13</v>
      </c>
      <c r="B16" s="29">
        <v>45821</v>
      </c>
      <c r="C16" s="19"/>
      <c r="D16" s="152"/>
      <c r="E16" s="106">
        <v>0</v>
      </c>
      <c r="F16" s="106">
        <v>0</v>
      </c>
      <c r="G16" s="204">
        <f t="shared" si="1"/>
        <v>0</v>
      </c>
      <c r="H16" s="106">
        <v>0</v>
      </c>
      <c r="I16" s="106">
        <v>0</v>
      </c>
      <c r="J16" s="204">
        <f t="shared" si="2"/>
        <v>0</v>
      </c>
      <c r="K16" s="204">
        <f t="shared" si="3"/>
        <v>0</v>
      </c>
      <c r="L16" s="204">
        <f t="shared" si="4"/>
        <v>0</v>
      </c>
      <c r="M16" s="204">
        <f t="shared" si="5"/>
        <v>0</v>
      </c>
      <c r="N16" s="19"/>
    </row>
    <row r="17" spans="1:14">
      <c r="A17" s="28">
        <v>14</v>
      </c>
      <c r="B17" s="29">
        <v>45822</v>
      </c>
      <c r="C17" s="19"/>
      <c r="D17" s="152"/>
      <c r="E17" s="106">
        <v>31</v>
      </c>
      <c r="F17" s="106">
        <v>90.88</v>
      </c>
      <c r="G17" s="204">
        <f t="shared" si="1"/>
        <v>2817.2799999999997</v>
      </c>
      <c r="H17" s="106">
        <v>0</v>
      </c>
      <c r="I17" s="106">
        <v>0</v>
      </c>
      <c r="J17" s="204">
        <f t="shared" si="2"/>
        <v>0</v>
      </c>
      <c r="K17" s="204">
        <f t="shared" si="3"/>
        <v>2817.2799999999997</v>
      </c>
      <c r="L17" s="204">
        <f t="shared" si="4"/>
        <v>2817.2799999999997</v>
      </c>
      <c r="M17" s="204">
        <f t="shared" si="5"/>
        <v>2817.2799999999997</v>
      </c>
      <c r="N17" s="19"/>
    </row>
    <row r="18" spans="1:14">
      <c r="A18" s="28">
        <v>15</v>
      </c>
      <c r="B18" s="29">
        <v>45823</v>
      </c>
      <c r="C18" s="19"/>
      <c r="D18" s="152"/>
      <c r="E18" s="106">
        <v>0</v>
      </c>
      <c r="F18" s="106">
        <v>0</v>
      </c>
      <c r="G18" s="204">
        <f t="shared" si="1"/>
        <v>0</v>
      </c>
      <c r="H18" s="106">
        <v>0</v>
      </c>
      <c r="I18" s="106">
        <v>0</v>
      </c>
      <c r="J18" s="204">
        <f t="shared" si="2"/>
        <v>0</v>
      </c>
      <c r="K18" s="204">
        <f t="shared" si="3"/>
        <v>0</v>
      </c>
      <c r="L18" s="204">
        <f t="shared" si="4"/>
        <v>0</v>
      </c>
      <c r="M18" s="204">
        <f t="shared" si="5"/>
        <v>0</v>
      </c>
      <c r="N18" s="19"/>
    </row>
    <row r="19" spans="1:14">
      <c r="A19" s="28">
        <v>16</v>
      </c>
      <c r="B19" s="29">
        <v>45824</v>
      </c>
      <c r="C19" s="19"/>
      <c r="D19" s="152"/>
      <c r="E19" s="106">
        <v>0</v>
      </c>
      <c r="F19" s="106">
        <v>0</v>
      </c>
      <c r="G19" s="204">
        <f t="shared" si="1"/>
        <v>0</v>
      </c>
      <c r="H19" s="106">
        <v>0</v>
      </c>
      <c r="I19" s="106">
        <v>0</v>
      </c>
      <c r="J19" s="204">
        <f t="shared" si="2"/>
        <v>0</v>
      </c>
      <c r="K19" s="204">
        <f t="shared" si="3"/>
        <v>0</v>
      </c>
      <c r="L19" s="204">
        <f t="shared" si="4"/>
        <v>0</v>
      </c>
      <c r="M19" s="204">
        <f t="shared" si="5"/>
        <v>0</v>
      </c>
      <c r="N19" s="19"/>
    </row>
    <row r="20" spans="1:14">
      <c r="A20" s="28">
        <v>17</v>
      </c>
      <c r="B20" s="29">
        <v>45825</v>
      </c>
      <c r="C20" s="19"/>
      <c r="D20" s="152"/>
      <c r="E20" s="106">
        <v>0</v>
      </c>
      <c r="F20" s="106">
        <v>0</v>
      </c>
      <c r="G20" s="204">
        <f t="shared" si="1"/>
        <v>0</v>
      </c>
      <c r="H20" s="106">
        <v>0</v>
      </c>
      <c r="I20" s="106">
        <v>0</v>
      </c>
      <c r="J20" s="204">
        <f t="shared" si="2"/>
        <v>0</v>
      </c>
      <c r="K20" s="204">
        <f t="shared" si="3"/>
        <v>0</v>
      </c>
      <c r="L20" s="204">
        <f t="shared" si="4"/>
        <v>0</v>
      </c>
      <c r="M20" s="204">
        <f t="shared" si="5"/>
        <v>0</v>
      </c>
      <c r="N20" s="19"/>
    </row>
    <row r="21" spans="1:14">
      <c r="A21" s="28">
        <v>18</v>
      </c>
      <c r="B21" s="29">
        <v>45826</v>
      </c>
      <c r="C21" s="19"/>
      <c r="D21" s="152"/>
      <c r="E21" s="106">
        <v>0</v>
      </c>
      <c r="F21" s="106">
        <v>0</v>
      </c>
      <c r="G21" s="204">
        <f t="shared" si="1"/>
        <v>0</v>
      </c>
      <c r="H21" s="106">
        <v>0</v>
      </c>
      <c r="I21" s="106">
        <v>0</v>
      </c>
      <c r="J21" s="204">
        <f t="shared" si="2"/>
        <v>0</v>
      </c>
      <c r="K21" s="204">
        <f t="shared" si="3"/>
        <v>0</v>
      </c>
      <c r="L21" s="204">
        <f t="shared" si="4"/>
        <v>0</v>
      </c>
      <c r="M21" s="204">
        <f t="shared" si="5"/>
        <v>0</v>
      </c>
      <c r="N21" s="19"/>
    </row>
    <row r="22" spans="1:14">
      <c r="A22" s="28">
        <v>19</v>
      </c>
      <c r="B22" s="29">
        <v>45827</v>
      </c>
      <c r="C22" s="19"/>
      <c r="D22" s="152"/>
      <c r="E22" s="106">
        <v>0</v>
      </c>
      <c r="F22" s="106">
        <v>0</v>
      </c>
      <c r="G22" s="204">
        <f t="shared" si="1"/>
        <v>0</v>
      </c>
      <c r="H22" s="106">
        <v>0</v>
      </c>
      <c r="I22" s="106">
        <v>0</v>
      </c>
      <c r="J22" s="204">
        <f t="shared" si="2"/>
        <v>0</v>
      </c>
      <c r="K22" s="204">
        <f t="shared" si="3"/>
        <v>0</v>
      </c>
      <c r="L22" s="204">
        <f t="shared" si="4"/>
        <v>0</v>
      </c>
      <c r="M22" s="204">
        <f t="shared" si="5"/>
        <v>0</v>
      </c>
      <c r="N22" s="19"/>
    </row>
    <row r="23" spans="1:14">
      <c r="A23" s="28">
        <v>20</v>
      </c>
      <c r="B23" s="29">
        <v>45828</v>
      </c>
      <c r="C23" s="19"/>
      <c r="D23" s="152"/>
      <c r="E23" s="106">
        <v>20</v>
      </c>
      <c r="F23" s="106">
        <v>90.88</v>
      </c>
      <c r="G23" s="204">
        <f t="shared" si="1"/>
        <v>1817.6</v>
      </c>
      <c r="H23" s="106">
        <v>0</v>
      </c>
      <c r="I23" s="106">
        <v>0</v>
      </c>
      <c r="J23" s="204">
        <f t="shared" si="2"/>
        <v>0</v>
      </c>
      <c r="K23" s="204">
        <f t="shared" si="3"/>
        <v>1817.6</v>
      </c>
      <c r="L23" s="204">
        <f t="shared" si="4"/>
        <v>1817.6</v>
      </c>
      <c r="M23" s="204">
        <f t="shared" si="5"/>
        <v>1817.6</v>
      </c>
      <c r="N23" s="19">
        <v>0</v>
      </c>
    </row>
    <row r="24" spans="1:14">
      <c r="A24" s="28">
        <v>21</v>
      </c>
      <c r="B24" s="29">
        <v>45829</v>
      </c>
      <c r="C24" s="19"/>
      <c r="D24" s="152"/>
      <c r="E24" s="106">
        <v>100</v>
      </c>
      <c r="F24" s="106">
        <v>90.88</v>
      </c>
      <c r="G24" s="204">
        <f t="shared" si="1"/>
        <v>9088</v>
      </c>
      <c r="H24" s="106">
        <v>0</v>
      </c>
      <c r="I24" s="106">
        <v>0</v>
      </c>
      <c r="J24" s="204">
        <f t="shared" si="2"/>
        <v>0</v>
      </c>
      <c r="K24" s="204">
        <f t="shared" si="3"/>
        <v>9088</v>
      </c>
      <c r="L24" s="204">
        <f t="shared" si="4"/>
        <v>9088</v>
      </c>
      <c r="M24" s="204">
        <f t="shared" si="5"/>
        <v>9088</v>
      </c>
      <c r="N24" s="19"/>
    </row>
    <row r="25" spans="1:14">
      <c r="A25" s="28">
        <v>22</v>
      </c>
      <c r="B25" s="29">
        <v>45830</v>
      </c>
      <c r="C25" s="19"/>
      <c r="D25" s="152"/>
      <c r="E25" s="106">
        <v>0</v>
      </c>
      <c r="F25" s="106">
        <v>0</v>
      </c>
      <c r="G25" s="204">
        <f t="shared" si="1"/>
        <v>0</v>
      </c>
      <c r="H25" s="106">
        <v>0</v>
      </c>
      <c r="I25" s="106">
        <v>0</v>
      </c>
      <c r="J25" s="204">
        <f t="shared" si="2"/>
        <v>0</v>
      </c>
      <c r="K25" s="204">
        <f t="shared" si="3"/>
        <v>0</v>
      </c>
      <c r="L25" s="204">
        <f t="shared" si="4"/>
        <v>0</v>
      </c>
      <c r="M25" s="204">
        <f t="shared" si="5"/>
        <v>0</v>
      </c>
      <c r="N25" s="19"/>
    </row>
    <row r="26" spans="1:14">
      <c r="A26" s="28">
        <v>23</v>
      </c>
      <c r="B26" s="29">
        <v>45831</v>
      </c>
      <c r="C26" s="19"/>
      <c r="D26" s="152"/>
      <c r="E26" s="106">
        <v>38.51</v>
      </c>
      <c r="F26" s="106">
        <v>90.88</v>
      </c>
      <c r="G26" s="204">
        <f t="shared" si="1"/>
        <v>3499.7887999999998</v>
      </c>
      <c r="H26" s="106">
        <v>0</v>
      </c>
      <c r="I26" s="106">
        <v>0</v>
      </c>
      <c r="J26" s="204">
        <f t="shared" si="2"/>
        <v>0</v>
      </c>
      <c r="K26" s="204">
        <f t="shared" si="3"/>
        <v>3499.7887999999998</v>
      </c>
      <c r="L26" s="204">
        <f t="shared" si="4"/>
        <v>3499.7887999999998</v>
      </c>
      <c r="M26" s="204">
        <f t="shared" si="5"/>
        <v>3499.7887999999998</v>
      </c>
      <c r="N26" s="19"/>
    </row>
    <row r="27" spans="1:14">
      <c r="A27" s="28">
        <v>24</v>
      </c>
      <c r="B27" s="29">
        <v>45832</v>
      </c>
      <c r="C27" s="19"/>
      <c r="D27" s="152"/>
      <c r="E27" s="106">
        <v>0</v>
      </c>
      <c r="F27" s="106">
        <v>0</v>
      </c>
      <c r="G27" s="204">
        <f t="shared" si="1"/>
        <v>0</v>
      </c>
      <c r="H27" s="106">
        <v>0</v>
      </c>
      <c r="I27" s="106">
        <v>0</v>
      </c>
      <c r="J27" s="204">
        <f t="shared" si="2"/>
        <v>0</v>
      </c>
      <c r="K27" s="204">
        <f t="shared" si="3"/>
        <v>0</v>
      </c>
      <c r="L27" s="204">
        <f t="shared" si="4"/>
        <v>0</v>
      </c>
      <c r="M27" s="204">
        <f t="shared" si="5"/>
        <v>0</v>
      </c>
      <c r="N27" s="19"/>
    </row>
    <row r="28" spans="1:14">
      <c r="A28" s="28">
        <v>25</v>
      </c>
      <c r="B28" s="29">
        <v>45833</v>
      </c>
      <c r="C28" s="19"/>
      <c r="D28" s="152"/>
      <c r="E28" s="106">
        <v>0</v>
      </c>
      <c r="F28" s="106">
        <v>0</v>
      </c>
      <c r="G28" s="204">
        <f t="shared" si="1"/>
        <v>0</v>
      </c>
      <c r="H28" s="106">
        <v>4.87</v>
      </c>
      <c r="I28" s="106">
        <v>102.77</v>
      </c>
      <c r="J28" s="204">
        <f t="shared" si="2"/>
        <v>500.48989999999998</v>
      </c>
      <c r="K28" s="204">
        <f t="shared" si="3"/>
        <v>500.48989999999998</v>
      </c>
      <c r="L28" s="204">
        <f t="shared" si="4"/>
        <v>500.48989999999998</v>
      </c>
      <c r="M28" s="204">
        <f t="shared" si="5"/>
        <v>500.48989999999998</v>
      </c>
      <c r="N28" s="19"/>
    </row>
    <row r="29" spans="1:14">
      <c r="A29" s="28">
        <v>26</v>
      </c>
      <c r="B29" s="29">
        <v>45834</v>
      </c>
      <c r="C29" s="19"/>
      <c r="D29" s="152"/>
      <c r="E29" s="106">
        <v>0</v>
      </c>
      <c r="F29" s="106">
        <v>0</v>
      </c>
      <c r="G29" s="204">
        <f t="shared" si="1"/>
        <v>0</v>
      </c>
      <c r="H29" s="106">
        <v>0</v>
      </c>
      <c r="I29" s="106">
        <v>0</v>
      </c>
      <c r="J29" s="204">
        <f t="shared" si="2"/>
        <v>0</v>
      </c>
      <c r="K29" s="204">
        <f t="shared" si="3"/>
        <v>0</v>
      </c>
      <c r="L29" s="204">
        <f t="shared" si="4"/>
        <v>0</v>
      </c>
      <c r="M29" s="204">
        <f t="shared" si="5"/>
        <v>0</v>
      </c>
      <c r="N29" s="19"/>
    </row>
    <row r="30" spans="1:14">
      <c r="A30" s="28">
        <v>27</v>
      </c>
      <c r="B30" s="29">
        <v>45835</v>
      </c>
      <c r="C30" s="19"/>
      <c r="D30" s="152"/>
      <c r="E30" s="106">
        <v>74.510000000000005</v>
      </c>
      <c r="F30" s="106">
        <v>90.88</v>
      </c>
      <c r="G30" s="204">
        <f t="shared" si="1"/>
        <v>6771.4688000000006</v>
      </c>
      <c r="H30" s="106">
        <v>0</v>
      </c>
      <c r="I30" s="106">
        <v>0</v>
      </c>
      <c r="J30" s="204">
        <f t="shared" si="2"/>
        <v>0</v>
      </c>
      <c r="K30" s="204">
        <f t="shared" si="3"/>
        <v>6771.4688000000006</v>
      </c>
      <c r="L30" s="204">
        <f t="shared" si="4"/>
        <v>6771.4688000000006</v>
      </c>
      <c r="M30" s="204">
        <f t="shared" si="5"/>
        <v>6771.4688000000006</v>
      </c>
      <c r="N30" s="19"/>
    </row>
    <row r="31" spans="1:14">
      <c r="A31" s="28">
        <v>28</v>
      </c>
      <c r="B31" s="29">
        <v>45836</v>
      </c>
      <c r="C31" s="19"/>
      <c r="D31" s="152"/>
      <c r="E31" s="106">
        <v>0</v>
      </c>
      <c r="F31" s="106">
        <v>0</v>
      </c>
      <c r="G31" s="204">
        <f t="shared" si="1"/>
        <v>0</v>
      </c>
      <c r="H31" s="106">
        <v>0</v>
      </c>
      <c r="I31" s="106">
        <v>0</v>
      </c>
      <c r="J31" s="204">
        <f t="shared" si="2"/>
        <v>0</v>
      </c>
      <c r="K31" s="204">
        <f t="shared" si="3"/>
        <v>0</v>
      </c>
      <c r="L31" s="204">
        <f t="shared" si="4"/>
        <v>0</v>
      </c>
      <c r="M31" s="204">
        <f t="shared" si="5"/>
        <v>0</v>
      </c>
      <c r="N31" s="19"/>
    </row>
    <row r="32" spans="1:14">
      <c r="A32" s="28">
        <v>29</v>
      </c>
      <c r="B32" s="29">
        <v>45837</v>
      </c>
      <c r="C32" s="19"/>
      <c r="D32" s="152"/>
      <c r="E32" s="106">
        <v>0</v>
      </c>
      <c r="F32" s="106">
        <v>0</v>
      </c>
      <c r="G32" s="204">
        <f t="shared" si="1"/>
        <v>0</v>
      </c>
      <c r="H32" s="106">
        <v>0</v>
      </c>
      <c r="I32" s="106">
        <v>0</v>
      </c>
      <c r="J32" s="204">
        <f t="shared" si="2"/>
        <v>0</v>
      </c>
      <c r="K32" s="204">
        <f t="shared" si="3"/>
        <v>0</v>
      </c>
      <c r="L32" s="204">
        <f t="shared" si="4"/>
        <v>0</v>
      </c>
      <c r="M32" s="204">
        <f t="shared" si="5"/>
        <v>0</v>
      </c>
      <c r="N32" s="19"/>
    </row>
    <row r="33" spans="1:14">
      <c r="A33" s="28">
        <v>30</v>
      </c>
      <c r="B33" s="29">
        <v>45838</v>
      </c>
      <c r="C33" s="19"/>
      <c r="D33" s="152"/>
      <c r="E33" s="106">
        <v>30</v>
      </c>
      <c r="F33" s="106">
        <v>90.88</v>
      </c>
      <c r="G33" s="204">
        <f t="shared" si="1"/>
        <v>2726.3999999999996</v>
      </c>
      <c r="H33" s="106">
        <v>0</v>
      </c>
      <c r="I33" s="106">
        <v>0</v>
      </c>
      <c r="J33" s="204">
        <f t="shared" si="2"/>
        <v>0</v>
      </c>
      <c r="K33" s="204">
        <f t="shared" si="3"/>
        <v>2726.3999999999996</v>
      </c>
      <c r="L33" s="204">
        <f t="shared" si="4"/>
        <v>2726.3999999999996</v>
      </c>
      <c r="M33" s="204">
        <f t="shared" si="5"/>
        <v>2726.3999999999996</v>
      </c>
      <c r="N33" s="19"/>
    </row>
    <row r="34" spans="1:14">
      <c r="A34" s="28">
        <v>31</v>
      </c>
      <c r="B34" s="29"/>
      <c r="C34" s="19"/>
      <c r="D34" s="19"/>
      <c r="E34" s="106"/>
      <c r="F34" s="106"/>
      <c r="G34" s="204"/>
      <c r="H34" s="106"/>
      <c r="I34" s="106"/>
      <c r="J34" s="204"/>
      <c r="K34" s="204"/>
      <c r="L34" s="152"/>
      <c r="M34" s="204"/>
      <c r="N34" s="19"/>
    </row>
    <row r="35" spans="1:14">
      <c r="A35" s="51"/>
      <c r="B35" s="51"/>
      <c r="C35" s="51"/>
      <c r="D35" s="51"/>
      <c r="E35" s="51">
        <f>SUM(E4:E34)</f>
        <v>454.02</v>
      </c>
      <c r="F35" s="51"/>
      <c r="G35" s="51">
        <f>SUM(G4:G34)</f>
        <v>41261.337599999999</v>
      </c>
      <c r="H35" s="51">
        <f>SUM(H4:H34)</f>
        <v>9.73</v>
      </c>
      <c r="I35" s="51"/>
      <c r="J35" s="51">
        <f>SUM(J4:J34)</f>
        <v>999.95209999999997</v>
      </c>
      <c r="K35" s="51">
        <f>SUM(K4:K34)</f>
        <v>42261.289700000001</v>
      </c>
      <c r="L35" s="51"/>
      <c r="M35" s="51">
        <f>SUM(M4:M34)</f>
        <v>42261.289700000001</v>
      </c>
      <c r="N35" s="51"/>
    </row>
    <row r="37" spans="1:14">
      <c r="K37" s="24"/>
    </row>
  </sheetData>
  <mergeCells count="1">
    <mergeCell ref="A1:N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FF7BF-4A84-4ADB-87E5-5334AC31BAFD}">
  <dimension ref="A1:U36"/>
  <sheetViews>
    <sheetView workbookViewId="0">
      <pane ySplit="2" topLeftCell="B28" activePane="bottomLeft" state="frozen"/>
      <selection pane="bottomLeft" activeCell="M35" sqref="M35"/>
    </sheetView>
  </sheetViews>
  <sheetFormatPr defaultRowHeight="15"/>
  <cols>
    <col min="1" max="1" width="5.140625" bestFit="1" customWidth="1"/>
    <col min="2" max="2" width="11.5703125" bestFit="1" customWidth="1"/>
    <col min="3" max="3" width="8" bestFit="1" customWidth="1"/>
    <col min="4" max="4" width="25.42578125" customWidth="1"/>
    <col min="5" max="5" width="10.7109375" bestFit="1" customWidth="1"/>
    <col min="6" max="6" width="11.85546875" customWidth="1"/>
    <col min="7" max="7" width="11.85546875" bestFit="1" customWidth="1"/>
    <col min="8" max="8" width="10.7109375" bestFit="1" customWidth="1"/>
    <col min="9" max="9" width="7.140625" bestFit="1" customWidth="1"/>
    <col min="10" max="10" width="8.7109375" bestFit="1" customWidth="1"/>
    <col min="11" max="11" width="13.5703125" bestFit="1" customWidth="1"/>
    <col min="12" max="13" width="15" customWidth="1"/>
    <col min="14" max="14" width="22.5703125" customWidth="1"/>
    <col min="17" max="17" width="9.5703125" bestFit="1" customWidth="1"/>
  </cols>
  <sheetData>
    <row r="1" spans="1:17" s="105" customFormat="1" ht="15.75" customHeight="1">
      <c r="A1" s="476" t="s">
        <v>50</v>
      </c>
      <c r="B1" s="476"/>
      <c r="C1" s="476"/>
      <c r="D1" s="476"/>
      <c r="E1" s="476"/>
      <c r="F1" s="476"/>
      <c r="G1" s="476"/>
      <c r="H1" s="476"/>
      <c r="I1" s="476"/>
      <c r="J1" s="476"/>
      <c r="K1" s="476"/>
      <c r="L1" s="476"/>
      <c r="M1" s="476"/>
      <c r="N1" s="476"/>
    </row>
    <row r="2" spans="1:17">
      <c r="A2" s="76" t="s">
        <v>102</v>
      </c>
      <c r="B2" s="76" t="s">
        <v>103</v>
      </c>
      <c r="C2" s="76" t="s">
        <v>104</v>
      </c>
      <c r="D2" s="76" t="s">
        <v>105</v>
      </c>
      <c r="E2" s="104" t="s">
        <v>106</v>
      </c>
      <c r="F2" s="104" t="s">
        <v>107</v>
      </c>
      <c r="G2" s="104" t="s">
        <v>108</v>
      </c>
      <c r="H2" s="104" t="s">
        <v>109</v>
      </c>
      <c r="I2" s="104" t="s">
        <v>107</v>
      </c>
      <c r="J2" s="104" t="s">
        <v>108</v>
      </c>
      <c r="K2" s="104" t="s">
        <v>110</v>
      </c>
      <c r="L2" s="98" t="s">
        <v>111</v>
      </c>
      <c r="M2" s="98" t="s">
        <v>148</v>
      </c>
      <c r="N2" s="76" t="s">
        <v>113</v>
      </c>
    </row>
    <row r="3" spans="1:17">
      <c r="A3" s="19"/>
      <c r="B3" s="19"/>
      <c r="C3" s="19"/>
      <c r="D3" s="19" t="s">
        <v>114</v>
      </c>
      <c r="E3" s="19"/>
      <c r="F3" s="19"/>
      <c r="G3" s="19"/>
      <c r="H3" s="19"/>
      <c r="I3" s="19"/>
      <c r="J3" s="19"/>
      <c r="K3" s="46">
        <v>107004.03180000013</v>
      </c>
      <c r="L3" s="19"/>
      <c r="M3" s="46">
        <f>+K3</f>
        <v>107004.03180000013</v>
      </c>
      <c r="N3" s="19"/>
    </row>
    <row r="4" spans="1:17">
      <c r="A4" s="28">
        <v>1</v>
      </c>
      <c r="B4" s="29">
        <v>45809</v>
      </c>
      <c r="C4" s="19"/>
      <c r="D4" s="19"/>
      <c r="E4" s="106">
        <v>189.69</v>
      </c>
      <c r="F4" s="106">
        <v>91.26</v>
      </c>
      <c r="G4" s="46">
        <f>E4*F4</f>
        <v>17311.109400000001</v>
      </c>
      <c r="H4" s="53">
        <v>0</v>
      </c>
      <c r="I4" s="53">
        <v>0</v>
      </c>
      <c r="J4" s="46">
        <f>H4*I4</f>
        <v>0</v>
      </c>
      <c r="K4" s="46">
        <f>G4+J4</f>
        <v>17311.109400000001</v>
      </c>
      <c r="L4" s="46">
        <v>107000</v>
      </c>
      <c r="M4" s="46">
        <f>M3+K4-L4</f>
        <v>17315.141200000129</v>
      </c>
      <c r="N4" s="19"/>
    </row>
    <row r="5" spans="1:17">
      <c r="A5" s="28">
        <v>2</v>
      </c>
      <c r="B5" s="29">
        <v>45810</v>
      </c>
      <c r="C5" s="19"/>
      <c r="D5" s="19"/>
      <c r="E5" s="106">
        <v>174.1</v>
      </c>
      <c r="F5" s="106">
        <v>91.26</v>
      </c>
      <c r="G5" s="46">
        <f t="shared" ref="G5:G35" si="0">E5*F5</f>
        <v>15888.366</v>
      </c>
      <c r="H5" s="53">
        <v>10</v>
      </c>
      <c r="I5" s="53">
        <v>103.18</v>
      </c>
      <c r="J5" s="46">
        <f t="shared" ref="J5:J35" si="1">H5*I5</f>
        <v>1031.8000000000002</v>
      </c>
      <c r="K5" s="46">
        <f t="shared" ref="K5:K35" si="2">G5+J5</f>
        <v>16920.166000000001</v>
      </c>
      <c r="L5" s="46">
        <v>0</v>
      </c>
      <c r="M5" s="46">
        <f>M4+K5-L5</f>
        <v>34235.307200000127</v>
      </c>
      <c r="N5" s="19"/>
    </row>
    <row r="6" spans="1:17">
      <c r="A6" s="28">
        <v>3</v>
      </c>
      <c r="B6" s="29">
        <v>45811</v>
      </c>
      <c r="C6" s="19"/>
      <c r="D6" s="19"/>
      <c r="E6" s="106">
        <v>400</v>
      </c>
      <c r="F6" s="106">
        <v>91.26</v>
      </c>
      <c r="G6" s="46">
        <f t="shared" si="0"/>
        <v>36504</v>
      </c>
      <c r="H6" s="53">
        <v>16</v>
      </c>
      <c r="I6" s="53">
        <v>103.18</v>
      </c>
      <c r="J6" s="46">
        <f t="shared" si="1"/>
        <v>1650.88</v>
      </c>
      <c r="K6" s="46">
        <f t="shared" si="2"/>
        <v>38154.879999999997</v>
      </c>
      <c r="L6" s="46">
        <v>0</v>
      </c>
      <c r="M6" s="46">
        <f>M5+K6-L6</f>
        <v>72390.187200000131</v>
      </c>
      <c r="N6" s="19"/>
    </row>
    <row r="7" spans="1:17">
      <c r="A7" s="28">
        <v>4</v>
      </c>
      <c r="B7" s="29">
        <v>45812</v>
      </c>
      <c r="C7" s="19"/>
      <c r="D7" s="19"/>
      <c r="E7" s="106">
        <v>0</v>
      </c>
      <c r="F7" s="106">
        <v>91.26</v>
      </c>
      <c r="G7" s="46">
        <f t="shared" si="0"/>
        <v>0</v>
      </c>
      <c r="H7" s="53">
        <v>0</v>
      </c>
      <c r="I7" s="53">
        <v>103.18</v>
      </c>
      <c r="J7" s="46">
        <f t="shared" si="1"/>
        <v>0</v>
      </c>
      <c r="K7" s="46">
        <f t="shared" si="2"/>
        <v>0</v>
      </c>
      <c r="L7" s="46">
        <v>0</v>
      </c>
      <c r="M7" s="46">
        <f>M6+K7-L7</f>
        <v>72390.187200000131</v>
      </c>
      <c r="N7" s="19"/>
    </row>
    <row r="8" spans="1:17">
      <c r="A8" s="28">
        <v>5</v>
      </c>
      <c r="B8" s="29">
        <v>45813</v>
      </c>
      <c r="C8" s="19"/>
      <c r="D8" s="19"/>
      <c r="E8" s="106">
        <v>287.95</v>
      </c>
      <c r="F8" s="106">
        <v>91.26</v>
      </c>
      <c r="G8" s="46">
        <f t="shared" si="0"/>
        <v>26278.316999999999</v>
      </c>
      <c r="H8" s="53">
        <v>10</v>
      </c>
      <c r="I8" s="53">
        <v>103.18</v>
      </c>
      <c r="J8" s="46">
        <f t="shared" si="1"/>
        <v>1031.8000000000002</v>
      </c>
      <c r="K8" s="46">
        <f t="shared" si="2"/>
        <v>27310.116999999998</v>
      </c>
      <c r="L8" s="46">
        <v>0</v>
      </c>
      <c r="M8" s="46">
        <f>M7+K8-L8</f>
        <v>99700.30420000013</v>
      </c>
      <c r="N8" s="19"/>
    </row>
    <row r="9" spans="1:17">
      <c r="A9" s="28">
        <v>6</v>
      </c>
      <c r="B9" s="29">
        <v>45814</v>
      </c>
      <c r="C9" s="19"/>
      <c r="D9" s="19"/>
      <c r="E9" s="106">
        <v>104.66</v>
      </c>
      <c r="F9" s="106">
        <v>91.26</v>
      </c>
      <c r="G9" s="46">
        <f t="shared" si="0"/>
        <v>9551.2716</v>
      </c>
      <c r="H9" s="53">
        <v>0</v>
      </c>
      <c r="I9" s="53">
        <v>0</v>
      </c>
      <c r="J9" s="46">
        <f t="shared" si="1"/>
        <v>0</v>
      </c>
      <c r="K9" s="46">
        <f t="shared" si="2"/>
        <v>9551.2716</v>
      </c>
      <c r="L9" s="46">
        <v>97300</v>
      </c>
      <c r="M9" s="46">
        <f t="shared" ref="M9:M34" si="3">M8+K9-L9</f>
        <v>11951.575800000137</v>
      </c>
      <c r="N9" s="19"/>
    </row>
    <row r="10" spans="1:17">
      <c r="A10" s="28">
        <v>7</v>
      </c>
      <c r="B10" s="29">
        <v>45815</v>
      </c>
      <c r="C10" s="19"/>
      <c r="D10" s="19"/>
      <c r="E10" s="106">
        <v>219.16</v>
      </c>
      <c r="F10" s="106">
        <v>91.26</v>
      </c>
      <c r="G10" s="46">
        <f t="shared" si="0"/>
        <v>20000.5416</v>
      </c>
      <c r="H10" s="53">
        <v>15</v>
      </c>
      <c r="I10" s="53">
        <v>103.18</v>
      </c>
      <c r="J10" s="46">
        <f t="shared" si="1"/>
        <v>1547.7</v>
      </c>
      <c r="K10" s="46">
        <f t="shared" si="2"/>
        <v>21548.241600000001</v>
      </c>
      <c r="L10" s="46">
        <v>0</v>
      </c>
      <c r="M10" s="46">
        <f t="shared" si="3"/>
        <v>33499.817400000138</v>
      </c>
      <c r="N10" s="19"/>
    </row>
    <row r="11" spans="1:17">
      <c r="A11" s="28">
        <v>8</v>
      </c>
      <c r="B11" s="29">
        <v>45816</v>
      </c>
      <c r="C11" s="19"/>
      <c r="D11" s="19"/>
      <c r="E11" s="106">
        <v>134.81</v>
      </c>
      <c r="F11" s="106">
        <v>91.26</v>
      </c>
      <c r="G11" s="46">
        <f t="shared" si="0"/>
        <v>12302.760600000001</v>
      </c>
      <c r="H11" s="53">
        <v>0</v>
      </c>
      <c r="I11" s="53">
        <v>0</v>
      </c>
      <c r="J11" s="46">
        <f t="shared" si="1"/>
        <v>0</v>
      </c>
      <c r="K11" s="46">
        <f t="shared" si="2"/>
        <v>12302.760600000001</v>
      </c>
      <c r="L11" s="46">
        <v>0</v>
      </c>
      <c r="M11" s="46">
        <f t="shared" si="3"/>
        <v>45802.57800000014</v>
      </c>
      <c r="N11" s="19"/>
    </row>
    <row r="12" spans="1:17">
      <c r="A12" s="28">
        <v>9</v>
      </c>
      <c r="B12" s="29">
        <v>45817</v>
      </c>
      <c r="C12" s="19"/>
      <c r="D12" s="19"/>
      <c r="E12" s="106">
        <v>90</v>
      </c>
      <c r="F12" s="106">
        <v>91.26</v>
      </c>
      <c r="G12" s="46">
        <f t="shared" si="0"/>
        <v>8213.4</v>
      </c>
      <c r="H12" s="53">
        <v>5.23</v>
      </c>
      <c r="I12" s="53">
        <v>103.18</v>
      </c>
      <c r="J12" s="46">
        <f t="shared" si="1"/>
        <v>539.6314000000001</v>
      </c>
      <c r="K12" s="46">
        <f t="shared" si="2"/>
        <v>8753.0313999999998</v>
      </c>
      <c r="L12" s="46">
        <v>0</v>
      </c>
      <c r="M12" s="46">
        <f t="shared" si="3"/>
        <v>54555.609400000139</v>
      </c>
      <c r="N12" s="19"/>
    </row>
    <row r="13" spans="1:17">
      <c r="A13" s="28">
        <v>10</v>
      </c>
      <c r="B13" s="29">
        <v>45818</v>
      </c>
      <c r="C13" s="19"/>
      <c r="D13" s="19"/>
      <c r="E13" s="106">
        <v>612.16999999999996</v>
      </c>
      <c r="F13" s="106">
        <v>91.26</v>
      </c>
      <c r="G13" s="46">
        <f t="shared" si="0"/>
        <v>55866.6342</v>
      </c>
      <c r="H13" s="53">
        <v>10</v>
      </c>
      <c r="I13" s="53">
        <v>103.18</v>
      </c>
      <c r="J13" s="46">
        <f t="shared" si="1"/>
        <v>1031.8000000000002</v>
      </c>
      <c r="K13" s="46">
        <f t="shared" si="2"/>
        <v>56898.434200000003</v>
      </c>
      <c r="L13" s="46">
        <v>0</v>
      </c>
      <c r="M13" s="46">
        <f t="shared" si="3"/>
        <v>111454.04360000015</v>
      </c>
      <c r="N13" s="19"/>
    </row>
    <row r="14" spans="1:17">
      <c r="A14" s="28">
        <v>11</v>
      </c>
      <c r="B14" s="29">
        <v>45819</v>
      </c>
      <c r="C14" s="19"/>
      <c r="D14" s="19"/>
      <c r="E14" s="106">
        <v>548.9</v>
      </c>
      <c r="F14" s="106">
        <v>91.26</v>
      </c>
      <c r="G14" s="46">
        <f t="shared" si="0"/>
        <v>50092.614000000001</v>
      </c>
      <c r="H14" s="53">
        <v>5</v>
      </c>
      <c r="I14" s="53">
        <v>103.18</v>
      </c>
      <c r="J14" s="46">
        <f t="shared" si="1"/>
        <v>515.90000000000009</v>
      </c>
      <c r="K14" s="46">
        <f t="shared" si="2"/>
        <v>50608.514000000003</v>
      </c>
      <c r="L14" s="46">
        <v>0</v>
      </c>
      <c r="M14" s="46">
        <f t="shared" si="3"/>
        <v>162062.55760000015</v>
      </c>
      <c r="N14" s="19"/>
    </row>
    <row r="15" spans="1:17">
      <c r="A15" s="28">
        <v>12</v>
      </c>
      <c r="B15" s="29">
        <v>45820</v>
      </c>
      <c r="C15" s="19"/>
      <c r="D15" s="19"/>
      <c r="E15" s="106">
        <v>63.41</v>
      </c>
      <c r="F15" s="106">
        <v>91.26</v>
      </c>
      <c r="G15" s="46">
        <f t="shared" si="0"/>
        <v>5786.7965999999997</v>
      </c>
      <c r="H15" s="53">
        <v>0</v>
      </c>
      <c r="I15" s="53">
        <v>0</v>
      </c>
      <c r="J15" s="46">
        <f t="shared" si="1"/>
        <v>0</v>
      </c>
      <c r="K15" s="46">
        <f t="shared" si="2"/>
        <v>5786.7965999999997</v>
      </c>
      <c r="L15" s="46">
        <v>0</v>
      </c>
      <c r="M15" s="46">
        <f t="shared" si="3"/>
        <v>167849.35420000015</v>
      </c>
      <c r="N15" s="19"/>
    </row>
    <row r="16" spans="1:17">
      <c r="A16" s="28">
        <v>13</v>
      </c>
      <c r="B16" s="29">
        <v>45821</v>
      </c>
      <c r="C16" s="19"/>
      <c r="D16" s="19"/>
      <c r="E16" s="106">
        <v>325</v>
      </c>
      <c r="F16" s="106">
        <v>91.26</v>
      </c>
      <c r="G16" s="46">
        <f t="shared" si="0"/>
        <v>29659.5</v>
      </c>
      <c r="H16" s="53">
        <v>5</v>
      </c>
      <c r="I16" s="53">
        <v>103.18</v>
      </c>
      <c r="J16" s="46">
        <f t="shared" si="1"/>
        <v>515.90000000000009</v>
      </c>
      <c r="K16" s="46">
        <f t="shared" si="2"/>
        <v>30175.4</v>
      </c>
      <c r="L16" s="46">
        <v>0</v>
      </c>
      <c r="M16" s="46">
        <f t="shared" si="3"/>
        <v>198024.75420000014</v>
      </c>
      <c r="N16" s="19"/>
      <c r="Q16" s="24"/>
    </row>
    <row r="17" spans="1:21">
      <c r="A17" s="28">
        <v>14</v>
      </c>
      <c r="B17" s="29">
        <v>45822</v>
      </c>
      <c r="C17" s="19"/>
      <c r="D17" s="19"/>
      <c r="E17" s="106">
        <v>211.24</v>
      </c>
      <c r="F17" s="106">
        <v>91.26</v>
      </c>
      <c r="G17" s="46">
        <f t="shared" si="0"/>
        <v>19277.762400000003</v>
      </c>
      <c r="H17" s="53">
        <v>12.27</v>
      </c>
      <c r="I17" s="53">
        <v>103.18</v>
      </c>
      <c r="J17" s="46">
        <f>H17*I17</f>
        <v>1266.0186000000001</v>
      </c>
      <c r="K17" s="46">
        <f>G17+J17</f>
        <v>20543.781000000003</v>
      </c>
      <c r="L17" s="46">
        <v>0</v>
      </c>
      <c r="M17" s="46">
        <f t="shared" si="3"/>
        <v>218568.53520000016</v>
      </c>
      <c r="N17" s="19"/>
    </row>
    <row r="18" spans="1:21">
      <c r="A18" s="28">
        <v>15</v>
      </c>
      <c r="B18" s="29">
        <v>45823</v>
      </c>
      <c r="C18" s="19"/>
      <c r="D18" s="19"/>
      <c r="E18" s="106">
        <v>219</v>
      </c>
      <c r="F18" s="106">
        <v>91.26</v>
      </c>
      <c r="G18" s="46">
        <f t="shared" si="0"/>
        <v>19985.940000000002</v>
      </c>
      <c r="H18" s="53">
        <v>5.88</v>
      </c>
      <c r="I18" s="53">
        <v>103.18</v>
      </c>
      <c r="J18" s="46">
        <f t="shared" si="1"/>
        <v>606.69839999999999</v>
      </c>
      <c r="K18" s="46">
        <f t="shared" si="2"/>
        <v>20592.638400000003</v>
      </c>
      <c r="L18" s="46">
        <v>0</v>
      </c>
      <c r="M18" s="46">
        <f t="shared" si="3"/>
        <v>239161.17360000015</v>
      </c>
      <c r="N18" s="19"/>
    </row>
    <row r="19" spans="1:21">
      <c r="A19" s="28">
        <v>16</v>
      </c>
      <c r="B19" s="29">
        <v>45824</v>
      </c>
      <c r="C19" s="19"/>
      <c r="D19" s="19"/>
      <c r="E19" s="106">
        <v>90</v>
      </c>
      <c r="F19" s="106">
        <v>91.26</v>
      </c>
      <c r="G19" s="46">
        <f t="shared" si="0"/>
        <v>8213.4</v>
      </c>
      <c r="H19" s="53">
        <v>0</v>
      </c>
      <c r="I19" s="53">
        <v>0</v>
      </c>
      <c r="J19" s="46">
        <f t="shared" si="1"/>
        <v>0</v>
      </c>
      <c r="K19" s="46">
        <f t="shared" si="2"/>
        <v>8213.4</v>
      </c>
      <c r="L19" s="46">
        <v>0</v>
      </c>
      <c r="M19" s="46">
        <f t="shared" si="3"/>
        <v>247374.57360000015</v>
      </c>
      <c r="N19" s="19"/>
    </row>
    <row r="20" spans="1:21">
      <c r="A20" s="28">
        <v>17</v>
      </c>
      <c r="B20" s="29">
        <v>45825</v>
      </c>
      <c r="C20" s="19"/>
      <c r="D20" s="19"/>
      <c r="E20" s="106">
        <v>135</v>
      </c>
      <c r="F20" s="106">
        <v>91.26</v>
      </c>
      <c r="G20" s="46">
        <f t="shared" si="0"/>
        <v>12320.1</v>
      </c>
      <c r="H20" s="53">
        <v>11</v>
      </c>
      <c r="I20" s="53">
        <v>103.18</v>
      </c>
      <c r="J20" s="46">
        <f t="shared" si="1"/>
        <v>1134.98</v>
      </c>
      <c r="K20" s="46">
        <f t="shared" si="2"/>
        <v>13455.08</v>
      </c>
      <c r="L20" s="46">
        <v>0</v>
      </c>
      <c r="M20" s="46">
        <f t="shared" si="3"/>
        <v>260829.65360000014</v>
      </c>
      <c r="N20" s="19"/>
    </row>
    <row r="21" spans="1:21">
      <c r="A21" s="28">
        <v>18</v>
      </c>
      <c r="B21" s="29">
        <v>45826</v>
      </c>
      <c r="C21" s="19"/>
      <c r="D21" s="19"/>
      <c r="E21" s="106">
        <v>230</v>
      </c>
      <c r="F21" s="106">
        <v>91.26</v>
      </c>
      <c r="G21" s="46">
        <f t="shared" si="0"/>
        <v>20989.800000000003</v>
      </c>
      <c r="H21" s="53">
        <v>20</v>
      </c>
      <c r="I21" s="53">
        <v>103.18</v>
      </c>
      <c r="J21" s="46">
        <f t="shared" si="1"/>
        <v>2063.6000000000004</v>
      </c>
      <c r="K21" s="46">
        <f t="shared" si="2"/>
        <v>23053.4</v>
      </c>
      <c r="L21" s="46">
        <v>0</v>
      </c>
      <c r="M21" s="46">
        <f t="shared" si="3"/>
        <v>283883.05360000016</v>
      </c>
      <c r="N21" s="19"/>
    </row>
    <row r="22" spans="1:21">
      <c r="A22" s="28">
        <v>19</v>
      </c>
      <c r="B22" s="29">
        <v>45827</v>
      </c>
      <c r="C22" s="19"/>
      <c r="D22" s="19"/>
      <c r="E22" s="106">
        <v>387.12</v>
      </c>
      <c r="F22" s="106">
        <v>91.26</v>
      </c>
      <c r="G22" s="46">
        <f t="shared" si="0"/>
        <v>35328.571200000006</v>
      </c>
      <c r="H22" s="53">
        <v>15</v>
      </c>
      <c r="I22" s="53">
        <v>103.18</v>
      </c>
      <c r="J22" s="46">
        <f t="shared" si="1"/>
        <v>1547.7</v>
      </c>
      <c r="K22" s="46">
        <f t="shared" si="2"/>
        <v>36876.271200000003</v>
      </c>
      <c r="L22" s="46">
        <v>0</v>
      </c>
      <c r="M22" s="46">
        <f t="shared" si="3"/>
        <v>320759.32480000018</v>
      </c>
      <c r="N22" s="19"/>
    </row>
    <row r="23" spans="1:21">
      <c r="A23" s="28">
        <v>20</v>
      </c>
      <c r="B23" s="29">
        <v>45828</v>
      </c>
      <c r="C23" s="19"/>
      <c r="D23" s="19"/>
      <c r="E23" s="106">
        <v>50</v>
      </c>
      <c r="F23" s="106">
        <v>91.26</v>
      </c>
      <c r="G23" s="46">
        <f t="shared" si="0"/>
        <v>4563</v>
      </c>
      <c r="H23" s="53">
        <v>20</v>
      </c>
      <c r="I23" s="53">
        <v>103.18</v>
      </c>
      <c r="J23" s="46">
        <f t="shared" si="1"/>
        <v>2063.6000000000004</v>
      </c>
      <c r="K23" s="46">
        <f t="shared" si="2"/>
        <v>6626.6</v>
      </c>
      <c r="L23" s="46">
        <v>0</v>
      </c>
      <c r="M23" s="46">
        <f t="shared" si="3"/>
        <v>327385.92480000015</v>
      </c>
      <c r="N23" s="19"/>
    </row>
    <row r="24" spans="1:21">
      <c r="A24" s="28">
        <v>21</v>
      </c>
      <c r="B24" s="29">
        <v>45829</v>
      </c>
      <c r="C24" s="19"/>
      <c r="D24" s="19"/>
      <c r="E24" s="106">
        <v>170.02</v>
      </c>
      <c r="F24" s="106">
        <v>91.26</v>
      </c>
      <c r="G24" s="46">
        <f t="shared" si="0"/>
        <v>15516.025200000002</v>
      </c>
      <c r="H24" s="53">
        <v>5</v>
      </c>
      <c r="I24" s="53">
        <v>103.18</v>
      </c>
      <c r="J24" s="46">
        <f t="shared" si="1"/>
        <v>515.90000000000009</v>
      </c>
      <c r="K24" s="46">
        <f t="shared" si="2"/>
        <v>16031.925200000001</v>
      </c>
      <c r="L24" s="46">
        <v>0</v>
      </c>
      <c r="M24" s="46">
        <f t="shared" si="3"/>
        <v>343417.85000000015</v>
      </c>
      <c r="N24" s="19"/>
    </row>
    <row r="25" spans="1:21">
      <c r="A25" s="28">
        <v>22</v>
      </c>
      <c r="B25" s="29">
        <v>45830</v>
      </c>
      <c r="C25" s="19"/>
      <c r="D25" s="19"/>
      <c r="E25" s="106">
        <v>218</v>
      </c>
      <c r="F25" s="106">
        <v>91.26</v>
      </c>
      <c r="G25" s="46">
        <f t="shared" si="0"/>
        <v>19894.68</v>
      </c>
      <c r="H25" s="53">
        <v>26</v>
      </c>
      <c r="I25" s="53">
        <v>103.18</v>
      </c>
      <c r="J25" s="46">
        <f t="shared" si="1"/>
        <v>2682.6800000000003</v>
      </c>
      <c r="K25" s="46">
        <f t="shared" si="2"/>
        <v>22577.360000000001</v>
      </c>
      <c r="L25" s="46">
        <v>0</v>
      </c>
      <c r="M25" s="46">
        <f t="shared" si="3"/>
        <v>365995.21000000014</v>
      </c>
      <c r="N25" s="19"/>
    </row>
    <row r="26" spans="1:21">
      <c r="A26" s="28">
        <v>23</v>
      </c>
      <c r="B26" s="29">
        <v>45831</v>
      </c>
      <c r="C26" s="19"/>
      <c r="D26" s="19"/>
      <c r="E26" s="106">
        <v>112.13</v>
      </c>
      <c r="F26" s="106">
        <v>91.26</v>
      </c>
      <c r="G26" s="46">
        <f t="shared" si="0"/>
        <v>10232.9838</v>
      </c>
      <c r="H26" s="53">
        <v>0</v>
      </c>
      <c r="I26" s="53">
        <v>0</v>
      </c>
      <c r="J26" s="46">
        <f t="shared" si="1"/>
        <v>0</v>
      </c>
      <c r="K26" s="46">
        <f t="shared" si="2"/>
        <v>10232.9838</v>
      </c>
      <c r="L26" s="46">
        <v>0</v>
      </c>
      <c r="M26" s="46">
        <f t="shared" si="3"/>
        <v>376228.19380000012</v>
      </c>
      <c r="N26" s="19"/>
      <c r="P26" s="24"/>
    </row>
    <row r="27" spans="1:21">
      <c r="A27" s="28">
        <v>24</v>
      </c>
      <c r="B27" s="29">
        <v>45832</v>
      </c>
      <c r="C27" s="19"/>
      <c r="D27" s="19"/>
      <c r="E27" s="106">
        <v>848</v>
      </c>
      <c r="F27" s="106">
        <v>91.26</v>
      </c>
      <c r="G27" s="46">
        <f t="shared" si="0"/>
        <v>77388.48000000001</v>
      </c>
      <c r="H27" s="53">
        <v>14</v>
      </c>
      <c r="I27" s="53">
        <v>103.18</v>
      </c>
      <c r="J27" s="46">
        <f t="shared" si="1"/>
        <v>1444.52</v>
      </c>
      <c r="K27" s="46">
        <f t="shared" si="2"/>
        <v>78833.000000000015</v>
      </c>
      <c r="L27" s="46">
        <v>0</v>
      </c>
      <c r="M27" s="46">
        <f t="shared" si="3"/>
        <v>455061.19380000012</v>
      </c>
      <c r="N27" s="19"/>
    </row>
    <row r="28" spans="1:21">
      <c r="A28" s="28">
        <v>25</v>
      </c>
      <c r="B28" s="29">
        <v>45833</v>
      </c>
      <c r="C28" s="19"/>
      <c r="D28" s="287"/>
      <c r="E28" s="106">
        <v>510.81</v>
      </c>
      <c r="F28" s="106">
        <v>91.26</v>
      </c>
      <c r="G28" s="46">
        <f t="shared" si="0"/>
        <v>46616.520600000003</v>
      </c>
      <c r="H28" s="53">
        <v>5</v>
      </c>
      <c r="I28" s="53">
        <v>103.18</v>
      </c>
      <c r="J28" s="46">
        <f t="shared" si="1"/>
        <v>515.90000000000009</v>
      </c>
      <c r="K28" s="46">
        <f t="shared" si="2"/>
        <v>47132.420600000005</v>
      </c>
      <c r="L28" s="46">
        <v>160000</v>
      </c>
      <c r="M28" s="46">
        <f t="shared" si="3"/>
        <v>342193.61440000014</v>
      </c>
      <c r="N28" s="19"/>
    </row>
    <row r="29" spans="1:21">
      <c r="A29" s="28">
        <v>26</v>
      </c>
      <c r="B29" s="29">
        <v>45834</v>
      </c>
      <c r="C29" s="19"/>
      <c r="D29" s="19"/>
      <c r="E29" s="106">
        <v>614</v>
      </c>
      <c r="F29" s="106">
        <v>91.26</v>
      </c>
      <c r="G29" s="46">
        <f t="shared" si="0"/>
        <v>56033.640000000007</v>
      </c>
      <c r="H29" s="53">
        <v>0</v>
      </c>
      <c r="I29" s="53">
        <v>0</v>
      </c>
      <c r="J29" s="46">
        <f t="shared" si="1"/>
        <v>0</v>
      </c>
      <c r="K29" s="46">
        <f t="shared" si="2"/>
        <v>56033.640000000007</v>
      </c>
      <c r="L29" s="46">
        <v>0</v>
      </c>
      <c r="M29" s="46">
        <f t="shared" si="3"/>
        <v>398227.25440000015</v>
      </c>
      <c r="N29" s="19"/>
    </row>
    <row r="30" spans="1:21">
      <c r="A30" s="28">
        <v>27</v>
      </c>
      <c r="B30" s="29">
        <v>45835</v>
      </c>
      <c r="C30" s="19"/>
      <c r="D30" s="19"/>
      <c r="E30" s="106">
        <v>585</v>
      </c>
      <c r="F30" s="106">
        <v>91.26</v>
      </c>
      <c r="G30" s="46">
        <f t="shared" si="0"/>
        <v>53387.100000000006</v>
      </c>
      <c r="H30" s="53">
        <v>15</v>
      </c>
      <c r="I30" s="53">
        <v>103.18</v>
      </c>
      <c r="J30" s="46">
        <f t="shared" si="1"/>
        <v>1547.7</v>
      </c>
      <c r="K30" s="46">
        <f t="shared" si="2"/>
        <v>54934.8</v>
      </c>
      <c r="L30" s="46">
        <v>0</v>
      </c>
      <c r="M30" s="46">
        <f t="shared" si="3"/>
        <v>453162.05440000014</v>
      </c>
      <c r="N30" s="19"/>
    </row>
    <row r="31" spans="1:21">
      <c r="A31" s="28">
        <v>28</v>
      </c>
      <c r="B31" s="29">
        <v>45836</v>
      </c>
      <c r="C31" s="19"/>
      <c r="D31" s="19"/>
      <c r="E31" s="106">
        <v>431</v>
      </c>
      <c r="F31" s="106">
        <v>91.26</v>
      </c>
      <c r="G31" s="46">
        <f t="shared" si="0"/>
        <v>39333.060000000005</v>
      </c>
      <c r="H31" s="53">
        <v>20</v>
      </c>
      <c r="I31" s="53">
        <v>103.18</v>
      </c>
      <c r="J31" s="46">
        <f t="shared" si="1"/>
        <v>2063.6000000000004</v>
      </c>
      <c r="K31" s="46">
        <f t="shared" si="2"/>
        <v>41396.660000000003</v>
      </c>
      <c r="L31" s="46">
        <v>0</v>
      </c>
      <c r="M31" s="46">
        <f t="shared" si="3"/>
        <v>494558.71440000017</v>
      </c>
      <c r="N31" s="19"/>
    </row>
    <row r="32" spans="1:21">
      <c r="A32" s="28">
        <v>29</v>
      </c>
      <c r="B32" s="29">
        <v>45837</v>
      </c>
      <c r="C32" s="19"/>
      <c r="D32" s="19"/>
      <c r="E32" s="106">
        <v>192</v>
      </c>
      <c r="F32" s="106">
        <v>91.26</v>
      </c>
      <c r="G32" s="46">
        <f t="shared" si="0"/>
        <v>17521.920000000002</v>
      </c>
      <c r="H32" s="53">
        <v>0</v>
      </c>
      <c r="I32" s="53">
        <v>0</v>
      </c>
      <c r="J32" s="46">
        <f t="shared" si="1"/>
        <v>0</v>
      </c>
      <c r="K32" s="46">
        <f t="shared" si="2"/>
        <v>17521.920000000002</v>
      </c>
      <c r="L32" s="46">
        <v>0</v>
      </c>
      <c r="M32" s="46">
        <f t="shared" si="3"/>
        <v>512080.63440000016</v>
      </c>
      <c r="N32" s="19"/>
      <c r="Q32" s="46"/>
      <c r="U32" s="24"/>
    </row>
    <row r="33" spans="1:17">
      <c r="A33" s="28">
        <v>30</v>
      </c>
      <c r="B33" s="29">
        <v>45838</v>
      </c>
      <c r="C33" s="19"/>
      <c r="D33" s="19"/>
      <c r="E33" s="106">
        <v>390</v>
      </c>
      <c r="F33" s="106">
        <v>91.26</v>
      </c>
      <c r="G33" s="46">
        <f t="shared" si="0"/>
        <v>35591.4</v>
      </c>
      <c r="H33" s="53">
        <v>3</v>
      </c>
      <c r="I33" s="53">
        <v>103.18</v>
      </c>
      <c r="J33" s="46">
        <f t="shared" si="1"/>
        <v>309.54000000000002</v>
      </c>
      <c r="K33" s="46">
        <f t="shared" si="2"/>
        <v>35900.94</v>
      </c>
      <c r="L33" s="46">
        <v>0</v>
      </c>
      <c r="M33" s="46">
        <f t="shared" si="3"/>
        <v>547981.57440000016</v>
      </c>
      <c r="N33" s="19"/>
    </row>
    <row r="34" spans="1:17">
      <c r="A34" s="28">
        <v>31</v>
      </c>
      <c r="B34" s="29">
        <v>45839</v>
      </c>
      <c r="C34" s="19"/>
      <c r="D34" s="19"/>
      <c r="E34" s="106">
        <v>424</v>
      </c>
      <c r="F34" s="106">
        <v>91.26</v>
      </c>
      <c r="G34" s="46">
        <f t="shared" si="0"/>
        <v>38694.240000000005</v>
      </c>
      <c r="H34" s="53">
        <v>11</v>
      </c>
      <c r="I34" s="53">
        <v>103.18</v>
      </c>
      <c r="J34" s="46">
        <f t="shared" si="1"/>
        <v>1134.98</v>
      </c>
      <c r="K34" s="46">
        <f t="shared" si="2"/>
        <v>39829.220000000008</v>
      </c>
      <c r="L34" s="46">
        <v>0</v>
      </c>
      <c r="M34" s="46">
        <f t="shared" si="3"/>
        <v>587810.79440000013</v>
      </c>
      <c r="N34" s="19"/>
      <c r="Q34" s="298"/>
    </row>
    <row r="35" spans="1:17">
      <c r="A35" s="28">
        <v>32</v>
      </c>
      <c r="B35" s="29">
        <v>45840</v>
      </c>
      <c r="C35" s="19"/>
      <c r="D35" s="19"/>
      <c r="E35" s="106">
        <v>0</v>
      </c>
      <c r="F35" s="106">
        <v>0</v>
      </c>
      <c r="G35" s="46">
        <f t="shared" si="0"/>
        <v>0</v>
      </c>
      <c r="H35" s="53">
        <v>0</v>
      </c>
      <c r="I35" s="53">
        <v>0</v>
      </c>
      <c r="J35" s="46">
        <f t="shared" si="1"/>
        <v>0</v>
      </c>
      <c r="K35" s="46">
        <f t="shared" si="2"/>
        <v>0</v>
      </c>
      <c r="L35" s="46">
        <v>0</v>
      </c>
      <c r="M35" s="46">
        <f t="shared" ref="M9:M35" si="4">M34+K35-L35</f>
        <v>587810.79440000013</v>
      </c>
      <c r="N35" s="19"/>
      <c r="Q35" s="298"/>
    </row>
    <row r="36" spans="1:17">
      <c r="A36" s="51"/>
      <c r="B36" s="51"/>
      <c r="C36" s="51"/>
      <c r="D36" s="51"/>
      <c r="E36" s="51">
        <f>SUM(E4:E35)</f>
        <v>8967.1700000000019</v>
      </c>
      <c r="F36" s="51"/>
      <c r="G36" s="51">
        <f>SUM(G4:G35)</f>
        <v>818343.93420000013</v>
      </c>
      <c r="H36" s="51">
        <f>SUM(H4:H35)</f>
        <v>259.38</v>
      </c>
      <c r="I36" s="51"/>
      <c r="J36" s="51">
        <f>SUM(J4:J35)</f>
        <v>26762.828400000002</v>
      </c>
      <c r="K36" s="51">
        <f>SUM(K4:K35)</f>
        <v>845106.76260000025</v>
      </c>
      <c r="L36" s="51">
        <f>SUM(L4:L35)</f>
        <v>364300</v>
      </c>
      <c r="M36" s="51"/>
      <c r="N36" s="51"/>
      <c r="Q36" s="298"/>
    </row>
  </sheetData>
  <mergeCells count="1">
    <mergeCell ref="A1:N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6828F-3061-4216-B142-B3435378C836}">
  <sheetPr>
    <tabColor rgb="FF002060"/>
  </sheetPr>
  <dimension ref="A1:O50"/>
  <sheetViews>
    <sheetView workbookViewId="0">
      <pane ySplit="2" topLeftCell="A15" activePane="bottomLeft" state="frozen"/>
      <selection pane="bottomLeft" activeCell="G46" sqref="G46"/>
    </sheetView>
  </sheetViews>
  <sheetFormatPr defaultRowHeight="15"/>
  <cols>
    <col min="1" max="1" width="6.140625" bestFit="1" customWidth="1"/>
    <col min="2" max="2" width="11.85546875" style="90" bestFit="1" customWidth="1"/>
    <col min="3" max="3" width="8.140625" bestFit="1" customWidth="1"/>
    <col min="4" max="4" width="16" bestFit="1" customWidth="1"/>
    <col min="5" max="5" width="10.85546875" bestFit="1" customWidth="1"/>
    <col min="6" max="6" width="11.85546875" bestFit="1" customWidth="1"/>
    <col min="7" max="7" width="11.85546875" style="216" bestFit="1" customWidth="1"/>
    <col min="8" max="8" width="10.85546875" bestFit="1" customWidth="1"/>
    <col min="9" max="9" width="8.140625" bestFit="1" customWidth="1"/>
    <col min="10" max="10" width="10.85546875" style="216" bestFit="1" customWidth="1"/>
    <col min="11" max="11" width="13.85546875" style="90" bestFit="1" customWidth="1"/>
    <col min="12" max="12" width="12.7109375" style="90" bestFit="1" customWidth="1"/>
    <col min="13" max="13" width="12.7109375" style="90" customWidth="1"/>
    <col min="14" max="14" width="14.140625" bestFit="1" customWidth="1"/>
    <col min="15" max="15" width="10.42578125" customWidth="1"/>
  </cols>
  <sheetData>
    <row r="1" spans="1:15" ht="15.75">
      <c r="A1" s="464" t="s">
        <v>72</v>
      </c>
      <c r="B1" s="464"/>
      <c r="C1" s="464"/>
      <c r="D1" s="464"/>
      <c r="E1" s="464"/>
      <c r="F1" s="464"/>
      <c r="G1" s="464"/>
      <c r="H1" s="464"/>
      <c r="I1" s="464"/>
      <c r="J1" s="464"/>
      <c r="K1" s="464"/>
      <c r="L1" s="464"/>
      <c r="M1" s="464"/>
      <c r="N1" s="464"/>
      <c r="O1" s="65"/>
    </row>
    <row r="2" spans="1:15">
      <c r="A2" s="66" t="s">
        <v>102</v>
      </c>
      <c r="B2" s="67" t="s">
        <v>103</v>
      </c>
      <c r="C2" s="67" t="s">
        <v>104</v>
      </c>
      <c r="D2" s="67" t="s">
        <v>105</v>
      </c>
      <c r="E2" s="112" t="s">
        <v>106</v>
      </c>
      <c r="F2" s="112" t="s">
        <v>107</v>
      </c>
      <c r="G2" s="210" t="s">
        <v>108</v>
      </c>
      <c r="H2" s="112" t="s">
        <v>109</v>
      </c>
      <c r="I2" s="112" t="s">
        <v>107</v>
      </c>
      <c r="J2" s="217" t="s">
        <v>108</v>
      </c>
      <c r="K2" s="113" t="s">
        <v>110</v>
      </c>
      <c r="L2" s="154" t="s">
        <v>111</v>
      </c>
      <c r="M2" s="159" t="s">
        <v>149</v>
      </c>
      <c r="N2" s="114" t="s">
        <v>113</v>
      </c>
      <c r="O2" s="71"/>
    </row>
    <row r="3" spans="1:15">
      <c r="A3" s="256"/>
      <c r="B3"/>
      <c r="D3" s="110" t="s">
        <v>114</v>
      </c>
      <c r="E3" s="19"/>
      <c r="F3" s="19"/>
      <c r="G3" s="211"/>
      <c r="H3" s="19"/>
      <c r="I3" s="19"/>
      <c r="J3" s="211"/>
      <c r="K3" s="265">
        <v>0</v>
      </c>
      <c r="L3" s="19"/>
      <c r="M3" s="163">
        <f>+K3</f>
        <v>0</v>
      </c>
      <c r="N3" s="19"/>
      <c r="O3" s="71"/>
    </row>
    <row r="4" spans="1:15">
      <c r="A4" s="55">
        <v>1</v>
      </c>
      <c r="B4" s="237">
        <v>45809</v>
      </c>
      <c r="C4" s="11"/>
      <c r="D4" s="12"/>
      <c r="E4" s="15">
        <v>0</v>
      </c>
      <c r="F4" s="15">
        <v>0</v>
      </c>
      <c r="G4" s="212">
        <f>E4*F4</f>
        <v>0</v>
      </c>
      <c r="H4" s="156">
        <v>0</v>
      </c>
      <c r="I4" s="156">
        <v>0</v>
      </c>
      <c r="J4" s="218">
        <f>H4*I4</f>
        <v>0</v>
      </c>
      <c r="K4" s="250">
        <f>G4+J4</f>
        <v>0</v>
      </c>
      <c r="L4" s="80">
        <v>0</v>
      </c>
      <c r="M4" s="251">
        <f>M3+K4-L4</f>
        <v>0</v>
      </c>
      <c r="N4" s="158"/>
      <c r="O4" s="81"/>
    </row>
    <row r="5" spans="1:15">
      <c r="A5" s="55">
        <v>2</v>
      </c>
      <c r="B5" s="237">
        <v>45810</v>
      </c>
      <c r="C5" s="253"/>
      <c r="D5" s="12"/>
      <c r="E5" s="15">
        <v>0</v>
      </c>
      <c r="F5" s="15">
        <v>0</v>
      </c>
      <c r="G5" s="212">
        <f t="shared" ref="G5:G33" si="0">E5*F5</f>
        <v>0</v>
      </c>
      <c r="H5" s="156">
        <v>0</v>
      </c>
      <c r="I5" s="156">
        <v>0</v>
      </c>
      <c r="J5" s="218">
        <f t="shared" ref="J5:J33" si="1">H5*I5</f>
        <v>0</v>
      </c>
      <c r="K5" s="250">
        <f t="shared" ref="K5:K33" si="2">G5+J5</f>
        <v>0</v>
      </c>
      <c r="L5" s="80">
        <v>0</v>
      </c>
      <c r="M5" s="251">
        <f>M4+K5-L5</f>
        <v>0</v>
      </c>
      <c r="N5" s="14"/>
      <c r="O5" s="81"/>
    </row>
    <row r="6" spans="1:15">
      <c r="A6" s="55">
        <v>3</v>
      </c>
      <c r="B6" s="237">
        <v>45811</v>
      </c>
      <c r="C6" s="79"/>
      <c r="D6" s="12"/>
      <c r="E6" s="15">
        <v>0</v>
      </c>
      <c r="F6" s="15">
        <v>0</v>
      </c>
      <c r="G6" s="212">
        <f t="shared" si="0"/>
        <v>0</v>
      </c>
      <c r="H6" s="156">
        <v>0</v>
      </c>
      <c r="I6" s="156">
        <v>0</v>
      </c>
      <c r="J6" s="218">
        <f t="shared" si="1"/>
        <v>0</v>
      </c>
      <c r="K6" s="250">
        <f t="shared" si="2"/>
        <v>0</v>
      </c>
      <c r="L6" s="80">
        <v>0</v>
      </c>
      <c r="M6" s="252">
        <f>M5+K6-L6</f>
        <v>0</v>
      </c>
      <c r="N6" s="47"/>
      <c r="O6" s="81"/>
    </row>
    <row r="7" spans="1:15">
      <c r="A7" s="55">
        <v>4</v>
      </c>
      <c r="B7" s="237">
        <v>45812</v>
      </c>
      <c r="C7" s="79"/>
      <c r="D7" s="12"/>
      <c r="E7" s="15">
        <v>121.01</v>
      </c>
      <c r="F7" s="15">
        <v>91.5</v>
      </c>
      <c r="G7" s="212">
        <f t="shared" si="0"/>
        <v>11072.415000000001</v>
      </c>
      <c r="H7" s="156">
        <v>17</v>
      </c>
      <c r="I7" s="156">
        <v>103.42</v>
      </c>
      <c r="J7" s="218">
        <f t="shared" si="1"/>
        <v>1758.14</v>
      </c>
      <c r="K7" s="250">
        <f t="shared" si="2"/>
        <v>12830.555</v>
      </c>
      <c r="L7" s="80">
        <v>0</v>
      </c>
      <c r="M7" s="252">
        <f t="shared" ref="M7:M33" si="3">M6+K7-L7</f>
        <v>12830.555</v>
      </c>
      <c r="N7" s="47"/>
      <c r="O7" s="81"/>
    </row>
    <row r="8" spans="1:15">
      <c r="A8" s="55">
        <v>5</v>
      </c>
      <c r="B8" s="237">
        <v>45813</v>
      </c>
      <c r="C8" s="79"/>
      <c r="D8" s="12"/>
      <c r="E8" s="15">
        <v>1008.38</v>
      </c>
      <c r="F8" s="15">
        <v>91.5</v>
      </c>
      <c r="G8" s="212">
        <f t="shared" si="0"/>
        <v>92266.77</v>
      </c>
      <c r="H8" s="156">
        <v>37</v>
      </c>
      <c r="I8" s="156">
        <v>103.42</v>
      </c>
      <c r="J8" s="218">
        <f t="shared" si="1"/>
        <v>3826.54</v>
      </c>
      <c r="K8" s="250">
        <f t="shared" si="2"/>
        <v>96093.31</v>
      </c>
      <c r="L8" s="80">
        <v>0</v>
      </c>
      <c r="M8" s="251">
        <f t="shared" si="3"/>
        <v>108923.86499999999</v>
      </c>
      <c r="N8" s="248"/>
      <c r="O8" s="81"/>
    </row>
    <row r="9" spans="1:15">
      <c r="A9" s="55">
        <v>6</v>
      </c>
      <c r="B9" s="237">
        <v>45814</v>
      </c>
      <c r="C9" s="254"/>
      <c r="D9" s="12"/>
      <c r="E9" s="15">
        <v>93.3</v>
      </c>
      <c r="F9" s="15">
        <v>91.5</v>
      </c>
      <c r="G9" s="212">
        <f t="shared" si="0"/>
        <v>8536.9499999999989</v>
      </c>
      <c r="H9" s="156">
        <v>15</v>
      </c>
      <c r="I9" s="156">
        <v>103.42</v>
      </c>
      <c r="J9" s="218">
        <f t="shared" si="1"/>
        <v>1551.3</v>
      </c>
      <c r="K9" s="250">
        <f t="shared" si="2"/>
        <v>10088.249999999998</v>
      </c>
      <c r="L9" s="80">
        <v>0</v>
      </c>
      <c r="M9" s="251">
        <f t="shared" si="3"/>
        <v>119012.11499999999</v>
      </c>
      <c r="N9" s="47"/>
      <c r="O9" s="81"/>
    </row>
    <row r="10" spans="1:15">
      <c r="A10" s="55">
        <v>7</v>
      </c>
      <c r="B10" s="237">
        <v>45815</v>
      </c>
      <c r="C10" s="82"/>
      <c r="D10" s="12"/>
      <c r="E10" s="15">
        <v>172.55</v>
      </c>
      <c r="F10" s="15">
        <v>91.5</v>
      </c>
      <c r="G10" s="212">
        <f t="shared" si="0"/>
        <v>15788.325000000001</v>
      </c>
      <c r="H10" s="156">
        <v>20</v>
      </c>
      <c r="I10" s="156">
        <v>103.42</v>
      </c>
      <c r="J10" s="218">
        <f t="shared" si="1"/>
        <v>2068.4</v>
      </c>
      <c r="K10" s="250">
        <f t="shared" si="2"/>
        <v>17856.725000000002</v>
      </c>
      <c r="L10" s="80">
        <v>0</v>
      </c>
      <c r="M10" s="251">
        <f t="shared" si="3"/>
        <v>136868.84</v>
      </c>
      <c r="N10" s="47"/>
      <c r="O10" s="81"/>
    </row>
    <row r="11" spans="1:15">
      <c r="A11" s="55">
        <v>8</v>
      </c>
      <c r="B11" s="237">
        <v>45816</v>
      </c>
      <c r="C11" s="82"/>
      <c r="D11" s="12"/>
      <c r="E11" s="15">
        <v>650</v>
      </c>
      <c r="F11" s="15">
        <v>91.5</v>
      </c>
      <c r="G11" s="212">
        <f t="shared" si="0"/>
        <v>59475</v>
      </c>
      <c r="H11" s="156">
        <v>0</v>
      </c>
      <c r="I11" s="156">
        <v>0</v>
      </c>
      <c r="J11" s="218">
        <f t="shared" si="1"/>
        <v>0</v>
      </c>
      <c r="K11" s="250">
        <f t="shared" si="2"/>
        <v>59475</v>
      </c>
      <c r="L11" s="80">
        <v>0</v>
      </c>
      <c r="M11" s="251">
        <f t="shared" si="3"/>
        <v>196343.84</v>
      </c>
      <c r="N11" s="47"/>
      <c r="O11" s="81"/>
    </row>
    <row r="12" spans="1:15">
      <c r="A12" s="55">
        <v>9</v>
      </c>
      <c r="B12" s="237">
        <v>45817</v>
      </c>
      <c r="C12" s="82"/>
      <c r="D12" s="12"/>
      <c r="E12" s="15">
        <v>675.72</v>
      </c>
      <c r="F12" s="15">
        <v>91.5</v>
      </c>
      <c r="G12" s="212">
        <f t="shared" si="0"/>
        <v>61828.380000000005</v>
      </c>
      <c r="H12" s="156">
        <v>12</v>
      </c>
      <c r="I12" s="156">
        <v>103.42</v>
      </c>
      <c r="J12" s="218">
        <f t="shared" si="1"/>
        <v>1241.04</v>
      </c>
      <c r="K12" s="250">
        <f t="shared" si="2"/>
        <v>63069.420000000006</v>
      </c>
      <c r="L12" s="80">
        <v>0</v>
      </c>
      <c r="M12" s="251">
        <f t="shared" si="3"/>
        <v>259413.26</v>
      </c>
      <c r="N12" s="47"/>
      <c r="O12" s="81"/>
    </row>
    <row r="13" spans="1:15">
      <c r="A13" s="55">
        <v>10</v>
      </c>
      <c r="B13" s="237">
        <v>45818</v>
      </c>
      <c r="C13" s="82"/>
      <c r="D13" s="12"/>
      <c r="E13" s="15">
        <v>184.21</v>
      </c>
      <c r="F13" s="15">
        <v>91.5</v>
      </c>
      <c r="G13" s="212">
        <f t="shared" si="0"/>
        <v>16855.215</v>
      </c>
      <c r="H13" s="156">
        <v>15</v>
      </c>
      <c r="I13" s="156">
        <v>103.42</v>
      </c>
      <c r="J13" s="218">
        <f t="shared" si="1"/>
        <v>1551.3</v>
      </c>
      <c r="K13" s="250">
        <f t="shared" si="2"/>
        <v>18406.514999999999</v>
      </c>
      <c r="L13" s="80">
        <v>0</v>
      </c>
      <c r="M13" s="251">
        <f t="shared" si="3"/>
        <v>277819.77500000002</v>
      </c>
      <c r="N13" s="47"/>
      <c r="O13" s="81"/>
    </row>
    <row r="14" spans="1:15">
      <c r="A14" s="55">
        <v>11</v>
      </c>
      <c r="B14" s="237">
        <v>45819</v>
      </c>
      <c r="C14" s="82"/>
      <c r="D14" s="12"/>
      <c r="E14" s="15">
        <v>169.56</v>
      </c>
      <c r="F14" s="15">
        <v>91.5</v>
      </c>
      <c r="G14" s="212">
        <f t="shared" si="0"/>
        <v>15514.74</v>
      </c>
      <c r="H14" s="156">
        <v>16</v>
      </c>
      <c r="I14" s="156">
        <v>103.42</v>
      </c>
      <c r="J14" s="218">
        <f t="shared" si="1"/>
        <v>1654.72</v>
      </c>
      <c r="K14" s="250">
        <f t="shared" si="2"/>
        <v>17169.46</v>
      </c>
      <c r="L14" s="80">
        <v>0</v>
      </c>
      <c r="M14" s="251">
        <f t="shared" si="3"/>
        <v>294989.23500000004</v>
      </c>
      <c r="N14" s="47"/>
      <c r="O14" s="81"/>
    </row>
    <row r="15" spans="1:15">
      <c r="A15" s="55">
        <v>12</v>
      </c>
      <c r="B15" s="237">
        <v>45820</v>
      </c>
      <c r="C15" s="82"/>
      <c r="D15" s="12"/>
      <c r="E15" s="15">
        <v>100</v>
      </c>
      <c r="F15" s="15">
        <v>91.5</v>
      </c>
      <c r="G15" s="212">
        <f t="shared" si="0"/>
        <v>9150</v>
      </c>
      <c r="H15" s="156">
        <v>0</v>
      </c>
      <c r="I15" s="156">
        <v>0</v>
      </c>
      <c r="J15" s="218">
        <f t="shared" si="1"/>
        <v>0</v>
      </c>
      <c r="K15" s="250">
        <f t="shared" si="2"/>
        <v>9150</v>
      </c>
      <c r="L15" s="80">
        <v>0</v>
      </c>
      <c r="M15" s="251">
        <f t="shared" si="3"/>
        <v>304139.23500000004</v>
      </c>
      <c r="N15" s="47"/>
      <c r="O15" s="81"/>
    </row>
    <row r="16" spans="1:15">
      <c r="A16" s="55">
        <v>13</v>
      </c>
      <c r="B16" s="237">
        <v>45821</v>
      </c>
      <c r="C16" s="82"/>
      <c r="D16" s="12"/>
      <c r="E16" s="15">
        <v>39.340000000000003</v>
      </c>
      <c r="F16" s="15">
        <v>91.5</v>
      </c>
      <c r="G16" s="212">
        <f t="shared" si="0"/>
        <v>3599.61</v>
      </c>
      <c r="H16" s="156">
        <v>11</v>
      </c>
      <c r="I16" s="156">
        <v>103.42</v>
      </c>
      <c r="J16" s="218">
        <f t="shared" si="1"/>
        <v>1137.6200000000001</v>
      </c>
      <c r="K16" s="250">
        <f t="shared" si="2"/>
        <v>4737.2300000000005</v>
      </c>
      <c r="L16" s="80">
        <v>0</v>
      </c>
      <c r="M16" s="251">
        <f t="shared" si="3"/>
        <v>308876.46500000003</v>
      </c>
      <c r="N16" s="47"/>
      <c r="O16" s="81"/>
    </row>
    <row r="17" spans="1:15">
      <c r="A17" s="55">
        <v>14</v>
      </c>
      <c r="B17" s="237">
        <v>45822</v>
      </c>
      <c r="C17" s="82"/>
      <c r="D17" s="12"/>
      <c r="E17" s="15">
        <v>0</v>
      </c>
      <c r="F17" s="15">
        <v>0</v>
      </c>
      <c r="G17" s="212">
        <f t="shared" si="0"/>
        <v>0</v>
      </c>
      <c r="H17" s="156">
        <v>0</v>
      </c>
      <c r="I17" s="156">
        <v>0</v>
      </c>
      <c r="J17" s="218">
        <f t="shared" si="1"/>
        <v>0</v>
      </c>
      <c r="K17" s="250">
        <f t="shared" si="2"/>
        <v>0</v>
      </c>
      <c r="L17" s="80">
        <v>0</v>
      </c>
      <c r="M17" s="251">
        <f t="shared" si="3"/>
        <v>308876.46500000003</v>
      </c>
      <c r="N17" s="47"/>
      <c r="O17" s="81"/>
    </row>
    <row r="18" spans="1:15">
      <c r="A18" s="55">
        <v>15</v>
      </c>
      <c r="B18" s="237">
        <v>45823</v>
      </c>
      <c r="C18" s="82"/>
      <c r="D18" s="12"/>
      <c r="E18" s="15">
        <v>0</v>
      </c>
      <c r="F18" s="15">
        <v>0</v>
      </c>
      <c r="G18" s="212">
        <f t="shared" si="0"/>
        <v>0</v>
      </c>
      <c r="H18" s="156">
        <v>0</v>
      </c>
      <c r="I18" s="156">
        <v>0</v>
      </c>
      <c r="J18" s="218">
        <f t="shared" si="1"/>
        <v>0</v>
      </c>
      <c r="K18" s="250">
        <f t="shared" si="2"/>
        <v>0</v>
      </c>
      <c r="L18" s="80">
        <v>0</v>
      </c>
      <c r="M18" s="251">
        <f t="shared" si="3"/>
        <v>308876.46500000003</v>
      </c>
      <c r="N18" s="47"/>
      <c r="O18" s="81"/>
    </row>
    <row r="19" spans="1:15">
      <c r="A19" s="55">
        <v>16</v>
      </c>
      <c r="B19" s="237">
        <v>45824</v>
      </c>
      <c r="C19" s="82"/>
      <c r="D19" s="12"/>
      <c r="E19" s="15">
        <v>0</v>
      </c>
      <c r="F19" s="15">
        <v>0</v>
      </c>
      <c r="G19" s="212">
        <f t="shared" si="0"/>
        <v>0</v>
      </c>
      <c r="H19" s="156">
        <v>0</v>
      </c>
      <c r="I19" s="156">
        <v>0</v>
      </c>
      <c r="J19" s="218">
        <f t="shared" si="1"/>
        <v>0</v>
      </c>
      <c r="K19" s="250">
        <f t="shared" si="2"/>
        <v>0</v>
      </c>
      <c r="L19" s="80">
        <v>0</v>
      </c>
      <c r="M19" s="251">
        <f t="shared" si="3"/>
        <v>308876.46500000003</v>
      </c>
      <c r="N19" s="47"/>
      <c r="O19" s="81"/>
    </row>
    <row r="20" spans="1:15">
      <c r="A20" s="55">
        <v>17</v>
      </c>
      <c r="B20" s="237">
        <v>45825</v>
      </c>
      <c r="C20" s="82"/>
      <c r="D20" s="12"/>
      <c r="E20" s="15">
        <v>0</v>
      </c>
      <c r="F20" s="15">
        <v>0</v>
      </c>
      <c r="G20" s="212">
        <f t="shared" si="0"/>
        <v>0</v>
      </c>
      <c r="H20" s="156">
        <v>0</v>
      </c>
      <c r="I20" s="156">
        <v>0</v>
      </c>
      <c r="J20" s="218">
        <f t="shared" si="1"/>
        <v>0</v>
      </c>
      <c r="K20" s="250">
        <f t="shared" si="2"/>
        <v>0</v>
      </c>
      <c r="L20" s="80">
        <v>0</v>
      </c>
      <c r="M20" s="251">
        <f t="shared" si="3"/>
        <v>308876.46500000003</v>
      </c>
      <c r="N20" s="47"/>
      <c r="O20" s="81"/>
    </row>
    <row r="21" spans="1:15">
      <c r="A21" s="55">
        <v>18</v>
      </c>
      <c r="B21" s="237">
        <v>45826</v>
      </c>
      <c r="C21" s="82"/>
      <c r="D21" s="12"/>
      <c r="E21" s="15">
        <v>0</v>
      </c>
      <c r="F21" s="15">
        <v>0</v>
      </c>
      <c r="G21" s="212">
        <f t="shared" si="0"/>
        <v>0</v>
      </c>
      <c r="H21" s="156">
        <v>0</v>
      </c>
      <c r="I21" s="156">
        <v>0</v>
      </c>
      <c r="J21" s="218">
        <f t="shared" si="1"/>
        <v>0</v>
      </c>
      <c r="K21" s="250">
        <f t="shared" si="2"/>
        <v>0</v>
      </c>
      <c r="L21" s="80">
        <v>0</v>
      </c>
      <c r="M21" s="251">
        <f t="shared" si="3"/>
        <v>308876.46500000003</v>
      </c>
      <c r="N21" s="47"/>
      <c r="O21" s="81"/>
    </row>
    <row r="22" spans="1:15">
      <c r="A22" s="55">
        <v>19</v>
      </c>
      <c r="B22" s="237">
        <v>45827</v>
      </c>
      <c r="C22" s="82"/>
      <c r="D22" s="12"/>
      <c r="E22" s="15">
        <v>0</v>
      </c>
      <c r="F22" s="15">
        <v>0</v>
      </c>
      <c r="G22" s="212">
        <f t="shared" si="0"/>
        <v>0</v>
      </c>
      <c r="H22" s="156">
        <v>0</v>
      </c>
      <c r="I22" s="156">
        <v>0</v>
      </c>
      <c r="J22" s="218">
        <f t="shared" si="1"/>
        <v>0</v>
      </c>
      <c r="K22" s="250">
        <f t="shared" si="2"/>
        <v>0</v>
      </c>
      <c r="L22" s="80">
        <v>0</v>
      </c>
      <c r="M22" s="251">
        <f t="shared" si="3"/>
        <v>308876.46500000003</v>
      </c>
      <c r="N22" s="47"/>
      <c r="O22" s="81"/>
    </row>
    <row r="23" spans="1:15">
      <c r="A23" s="55">
        <v>20</v>
      </c>
      <c r="B23" s="237">
        <v>45828</v>
      </c>
      <c r="C23" s="82"/>
      <c r="D23" s="12"/>
      <c r="E23" s="15">
        <v>0</v>
      </c>
      <c r="F23" s="15">
        <v>0</v>
      </c>
      <c r="G23" s="212">
        <f t="shared" si="0"/>
        <v>0</v>
      </c>
      <c r="H23" s="156">
        <v>0</v>
      </c>
      <c r="I23" s="156">
        <v>0</v>
      </c>
      <c r="J23" s="218">
        <f t="shared" si="1"/>
        <v>0</v>
      </c>
      <c r="K23" s="250">
        <f t="shared" si="2"/>
        <v>0</v>
      </c>
      <c r="L23" s="80">
        <v>0</v>
      </c>
      <c r="M23" s="251">
        <f t="shared" si="3"/>
        <v>308876.46500000003</v>
      </c>
      <c r="N23" s="47"/>
      <c r="O23" s="81"/>
    </row>
    <row r="24" spans="1:15">
      <c r="A24" s="55">
        <v>21</v>
      </c>
      <c r="B24" s="237">
        <v>45829</v>
      </c>
      <c r="C24" s="82"/>
      <c r="D24" s="12"/>
      <c r="E24" s="15">
        <v>0</v>
      </c>
      <c r="F24" s="15">
        <v>0</v>
      </c>
      <c r="G24" s="212">
        <f t="shared" si="0"/>
        <v>0</v>
      </c>
      <c r="H24" s="156">
        <v>0</v>
      </c>
      <c r="I24" s="156">
        <v>0</v>
      </c>
      <c r="J24" s="218">
        <f t="shared" si="1"/>
        <v>0</v>
      </c>
      <c r="K24" s="250">
        <f t="shared" si="2"/>
        <v>0</v>
      </c>
      <c r="L24" s="80">
        <v>0</v>
      </c>
      <c r="M24" s="251">
        <f t="shared" si="3"/>
        <v>308876.46500000003</v>
      </c>
      <c r="N24" s="47"/>
      <c r="O24" s="81"/>
    </row>
    <row r="25" spans="1:15">
      <c r="A25" s="55">
        <v>22</v>
      </c>
      <c r="B25" s="237">
        <v>45830</v>
      </c>
      <c r="C25" s="222"/>
      <c r="D25" s="12"/>
      <c r="E25" s="15">
        <v>0</v>
      </c>
      <c r="F25" s="15">
        <v>0</v>
      </c>
      <c r="G25" s="212">
        <f t="shared" si="0"/>
        <v>0</v>
      </c>
      <c r="H25" s="156">
        <v>0</v>
      </c>
      <c r="I25" s="156">
        <v>0</v>
      </c>
      <c r="J25" s="218">
        <f t="shared" si="1"/>
        <v>0</v>
      </c>
      <c r="K25" s="250">
        <f t="shared" si="2"/>
        <v>0</v>
      </c>
      <c r="L25" s="80">
        <v>0</v>
      </c>
      <c r="M25" s="251">
        <f t="shared" si="3"/>
        <v>308876.46500000003</v>
      </c>
      <c r="N25" s="47"/>
      <c r="O25" s="81"/>
    </row>
    <row r="26" spans="1:15">
      <c r="A26" s="55">
        <v>23</v>
      </c>
      <c r="B26" s="237">
        <v>45831</v>
      </c>
      <c r="C26" s="79"/>
      <c r="D26" s="12"/>
      <c r="E26" s="15">
        <v>0</v>
      </c>
      <c r="F26" s="15">
        <v>0</v>
      </c>
      <c r="G26" s="212">
        <f t="shared" si="0"/>
        <v>0</v>
      </c>
      <c r="H26" s="156">
        <v>0</v>
      </c>
      <c r="I26" s="156">
        <v>0</v>
      </c>
      <c r="J26" s="218">
        <f t="shared" si="1"/>
        <v>0</v>
      </c>
      <c r="K26" s="250">
        <f t="shared" si="2"/>
        <v>0</v>
      </c>
      <c r="L26" s="80">
        <v>0</v>
      </c>
      <c r="M26" s="251">
        <f t="shared" si="3"/>
        <v>308876.46500000003</v>
      </c>
      <c r="N26" s="207"/>
      <c r="O26" s="81"/>
    </row>
    <row r="27" spans="1:15">
      <c r="A27" s="55">
        <v>24</v>
      </c>
      <c r="B27" s="237">
        <v>45832</v>
      </c>
      <c r="C27" s="79"/>
      <c r="D27" s="12"/>
      <c r="E27" s="15">
        <v>0</v>
      </c>
      <c r="F27" s="15">
        <v>0</v>
      </c>
      <c r="G27" s="212">
        <f t="shared" si="0"/>
        <v>0</v>
      </c>
      <c r="H27" s="156">
        <v>0</v>
      </c>
      <c r="I27" s="156">
        <v>0</v>
      </c>
      <c r="J27" s="218">
        <f t="shared" si="1"/>
        <v>0</v>
      </c>
      <c r="K27" s="250">
        <f t="shared" si="2"/>
        <v>0</v>
      </c>
      <c r="L27" s="80">
        <v>0</v>
      </c>
      <c r="M27" s="251">
        <f t="shared" si="3"/>
        <v>308876.46500000003</v>
      </c>
      <c r="N27" s="207"/>
      <c r="O27" s="81"/>
    </row>
    <row r="28" spans="1:15">
      <c r="A28" s="55">
        <v>25</v>
      </c>
      <c r="B28" s="237">
        <v>45833</v>
      </c>
      <c r="C28" s="79"/>
      <c r="D28" s="12"/>
      <c r="E28" s="15">
        <v>0</v>
      </c>
      <c r="F28" s="15">
        <v>0</v>
      </c>
      <c r="G28" s="212">
        <f t="shared" si="0"/>
        <v>0</v>
      </c>
      <c r="H28" s="156">
        <v>0</v>
      </c>
      <c r="I28" s="156">
        <v>0</v>
      </c>
      <c r="J28" s="218">
        <f t="shared" si="1"/>
        <v>0</v>
      </c>
      <c r="K28" s="250">
        <f t="shared" si="2"/>
        <v>0</v>
      </c>
      <c r="L28" s="80">
        <v>0</v>
      </c>
      <c r="M28" s="251">
        <f t="shared" si="3"/>
        <v>308876.46500000003</v>
      </c>
      <c r="N28" s="207"/>
      <c r="O28" s="81"/>
    </row>
    <row r="29" spans="1:15">
      <c r="A29" s="55">
        <v>26</v>
      </c>
      <c r="B29" s="237">
        <v>45834</v>
      </c>
      <c r="C29" s="79"/>
      <c r="D29" s="12"/>
      <c r="E29" s="15">
        <v>0</v>
      </c>
      <c r="F29" s="15">
        <v>0</v>
      </c>
      <c r="G29" s="212">
        <f t="shared" si="0"/>
        <v>0</v>
      </c>
      <c r="H29" s="156">
        <v>0</v>
      </c>
      <c r="I29" s="156">
        <v>0</v>
      </c>
      <c r="J29" s="218">
        <f t="shared" si="1"/>
        <v>0</v>
      </c>
      <c r="K29" s="250">
        <f t="shared" si="2"/>
        <v>0</v>
      </c>
      <c r="L29" s="80">
        <v>0</v>
      </c>
      <c r="M29" s="251">
        <f t="shared" si="3"/>
        <v>308876.46500000003</v>
      </c>
      <c r="N29" s="207"/>
      <c r="O29" s="81"/>
    </row>
    <row r="30" spans="1:15">
      <c r="A30" s="55">
        <v>27</v>
      </c>
      <c r="B30" s="237">
        <v>45835</v>
      </c>
      <c r="C30" s="79"/>
      <c r="D30" s="12"/>
      <c r="E30" s="15">
        <v>0</v>
      </c>
      <c r="F30" s="15">
        <v>0</v>
      </c>
      <c r="G30" s="212">
        <f t="shared" si="0"/>
        <v>0</v>
      </c>
      <c r="H30" s="156">
        <v>0</v>
      </c>
      <c r="I30" s="156">
        <v>0</v>
      </c>
      <c r="J30" s="218">
        <f t="shared" si="1"/>
        <v>0</v>
      </c>
      <c r="K30" s="250">
        <f t="shared" si="2"/>
        <v>0</v>
      </c>
      <c r="L30" s="80">
        <v>0</v>
      </c>
      <c r="M30" s="251">
        <f t="shared" si="3"/>
        <v>308876.46500000003</v>
      </c>
      <c r="N30" s="207"/>
      <c r="O30" s="81"/>
    </row>
    <row r="31" spans="1:15">
      <c r="A31" s="55">
        <v>28</v>
      </c>
      <c r="B31" s="237">
        <v>45836</v>
      </c>
      <c r="C31" s="79"/>
      <c r="D31" s="12"/>
      <c r="E31" s="15">
        <v>0</v>
      </c>
      <c r="F31" s="15">
        <v>0</v>
      </c>
      <c r="G31" s="212">
        <f t="shared" si="0"/>
        <v>0</v>
      </c>
      <c r="H31" s="156">
        <v>0</v>
      </c>
      <c r="I31" s="156">
        <v>0</v>
      </c>
      <c r="J31" s="218">
        <f t="shared" si="1"/>
        <v>0</v>
      </c>
      <c r="K31" s="250">
        <f t="shared" si="2"/>
        <v>0</v>
      </c>
      <c r="L31" s="80">
        <v>0</v>
      </c>
      <c r="M31" s="251">
        <f t="shared" si="3"/>
        <v>308876.46500000003</v>
      </c>
      <c r="N31" s="207"/>
      <c r="O31" s="81"/>
    </row>
    <row r="32" spans="1:15">
      <c r="A32" s="231">
        <v>29</v>
      </c>
      <c r="B32" s="237">
        <v>45837</v>
      </c>
      <c r="C32" s="79"/>
      <c r="D32" s="12"/>
      <c r="E32" s="15">
        <v>0</v>
      </c>
      <c r="F32" s="15">
        <v>0</v>
      </c>
      <c r="G32" s="212">
        <f t="shared" si="0"/>
        <v>0</v>
      </c>
      <c r="H32" s="156">
        <v>0</v>
      </c>
      <c r="I32" s="156">
        <v>0</v>
      </c>
      <c r="J32" s="218">
        <f t="shared" si="1"/>
        <v>0</v>
      </c>
      <c r="K32" s="250">
        <f t="shared" si="2"/>
        <v>0</v>
      </c>
      <c r="L32" s="80">
        <v>0</v>
      </c>
      <c r="M32" s="251">
        <f t="shared" si="3"/>
        <v>308876.46500000003</v>
      </c>
      <c r="N32" s="207"/>
      <c r="O32" s="81"/>
    </row>
    <row r="33" spans="1:15">
      <c r="A33" s="231">
        <v>30</v>
      </c>
      <c r="B33" s="237">
        <v>45838</v>
      </c>
      <c r="C33" s="79"/>
      <c r="D33" s="12"/>
      <c r="E33" s="15">
        <v>0</v>
      </c>
      <c r="F33" s="15">
        <v>0</v>
      </c>
      <c r="G33" s="212">
        <f t="shared" si="0"/>
        <v>0</v>
      </c>
      <c r="H33" s="156">
        <v>0</v>
      </c>
      <c r="I33" s="156">
        <v>0</v>
      </c>
      <c r="J33" s="218">
        <f t="shared" si="1"/>
        <v>0</v>
      </c>
      <c r="K33" s="250">
        <f t="shared" si="2"/>
        <v>0</v>
      </c>
      <c r="L33" s="80">
        <v>0</v>
      </c>
      <c r="M33" s="251">
        <f t="shared" ref="M33:M34" si="4">M32+K33-L33</f>
        <v>308876.46500000003</v>
      </c>
      <c r="N33" s="207"/>
      <c r="O33" s="81"/>
    </row>
    <row r="34" spans="1:15">
      <c r="A34" s="231">
        <v>31</v>
      </c>
      <c r="B34" s="237"/>
      <c r="C34" s="143"/>
      <c r="D34" s="83"/>
      <c r="E34" s="15">
        <v>0</v>
      </c>
      <c r="F34" s="15">
        <v>0</v>
      </c>
      <c r="G34" s="212">
        <f t="shared" ref="G33:G34" si="5">E34*F34</f>
        <v>0</v>
      </c>
      <c r="H34" s="156">
        <v>0</v>
      </c>
      <c r="I34" s="156">
        <v>0</v>
      </c>
      <c r="J34" s="218">
        <f t="shared" ref="J33:J34" si="6">H34*I34</f>
        <v>0</v>
      </c>
      <c r="K34" s="250">
        <f t="shared" ref="K33:K34" si="7">G34+J34</f>
        <v>0</v>
      </c>
      <c r="L34" s="80">
        <v>0</v>
      </c>
      <c r="M34" s="251">
        <f t="shared" si="4"/>
        <v>308876.46500000003</v>
      </c>
      <c r="N34" s="207"/>
      <c r="O34" s="81"/>
    </row>
    <row r="35" spans="1:15">
      <c r="A35" s="224"/>
      <c r="B35" s="224"/>
      <c r="C35" s="224"/>
      <c r="D35" s="224"/>
      <c r="E35" s="209">
        <f>SUM(E4:E33)</f>
        <v>3214.07</v>
      </c>
      <c r="F35" s="209"/>
      <c r="G35" s="209">
        <f>SUM(G4:G33)</f>
        <v>294087.40499999997</v>
      </c>
      <c r="H35" s="209">
        <f>SUM(H4:H33)</f>
        <v>143</v>
      </c>
      <c r="I35" s="209"/>
      <c r="J35" s="209">
        <f>SUM(J4:J33)</f>
        <v>14789.060000000001</v>
      </c>
      <c r="K35" s="209">
        <f>SUM(K4:K33)</f>
        <v>308876.46500000003</v>
      </c>
      <c r="L35" s="209">
        <f>SUM(L4:L33)</f>
        <v>0</v>
      </c>
      <c r="M35" s="209"/>
      <c r="N35" s="84"/>
      <c r="O35" s="71"/>
    </row>
    <row r="36" spans="1:15">
      <c r="A36" s="85"/>
      <c r="B36" s="86"/>
      <c r="C36" s="85"/>
      <c r="D36" s="85"/>
      <c r="E36" s="87"/>
      <c r="F36" s="87"/>
      <c r="G36" s="213"/>
      <c r="H36" s="87"/>
      <c r="I36" s="87"/>
      <c r="J36" s="213"/>
      <c r="K36" s="88"/>
      <c r="L36" s="88"/>
      <c r="M36" s="88"/>
      <c r="N36" s="87"/>
      <c r="O36" s="81"/>
    </row>
    <row r="37" spans="1:15">
      <c r="A37" s="81"/>
      <c r="B37" s="71"/>
      <c r="C37" s="81"/>
      <c r="D37" s="81"/>
      <c r="E37" s="81"/>
      <c r="F37" s="81"/>
      <c r="G37" s="214"/>
      <c r="H37" s="81"/>
      <c r="I37" s="81"/>
      <c r="J37" s="215"/>
      <c r="K37" s="71"/>
      <c r="L37" s="71"/>
      <c r="M37" s="71"/>
      <c r="N37" s="81"/>
      <c r="O37" s="87"/>
    </row>
    <row r="38" spans="1:15">
      <c r="A38" s="81"/>
      <c r="B38" s="462"/>
      <c r="C38" s="462"/>
      <c r="D38" s="462"/>
      <c r="E38" s="462"/>
      <c r="F38" s="81"/>
      <c r="G38" s="215"/>
      <c r="H38" s="81"/>
      <c r="I38" s="462"/>
      <c r="J38" s="462"/>
      <c r="K38" s="462"/>
      <c r="L38" s="462"/>
      <c r="M38" s="462"/>
      <c r="N38" s="462"/>
      <c r="O38" s="87"/>
    </row>
    <row r="39" spans="1:15">
      <c r="A39" s="81"/>
      <c r="B39" s="71"/>
      <c r="C39" s="81"/>
      <c r="D39" s="81"/>
      <c r="E39" s="81"/>
      <c r="F39" s="81"/>
      <c r="G39" s="215"/>
      <c r="H39" s="81"/>
      <c r="I39" s="81"/>
      <c r="J39" s="215"/>
      <c r="K39" s="71"/>
      <c r="L39" s="71"/>
      <c r="M39" s="71"/>
      <c r="N39" s="81"/>
      <c r="O39" s="87"/>
    </row>
    <row r="47" spans="1:15">
      <c r="L47" s="90">
        <v>3010</v>
      </c>
    </row>
    <row r="48" spans="1:15">
      <c r="L48" s="90">
        <v>4900</v>
      </c>
    </row>
    <row r="49" spans="12:12">
      <c r="L49" s="90">
        <v>6953</v>
      </c>
    </row>
    <row r="50" spans="12:12">
      <c r="L50" s="90">
        <v>7527</v>
      </c>
    </row>
  </sheetData>
  <mergeCells count="3">
    <mergeCell ref="A1:N1"/>
    <mergeCell ref="B38:E38"/>
    <mergeCell ref="I38:N38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756B5-DC1D-4D6F-BCA7-5B2D12E624BC}">
  <sheetPr>
    <tabColor rgb="FF002060"/>
  </sheetPr>
  <dimension ref="A1:P38"/>
  <sheetViews>
    <sheetView topLeftCell="A18" workbookViewId="0">
      <selection activeCell="R18" sqref="R18"/>
    </sheetView>
  </sheetViews>
  <sheetFormatPr defaultColWidth="12.140625" defaultRowHeight="15"/>
  <cols>
    <col min="1" max="1" width="10.42578125" customWidth="1"/>
    <col min="11" max="11" width="13.5703125" bestFit="1" customWidth="1"/>
    <col min="13" max="13" width="13.5703125" bestFit="1" customWidth="1"/>
  </cols>
  <sheetData>
    <row r="1" spans="1:16" ht="15.75">
      <c r="A1" s="464" t="s">
        <v>74</v>
      </c>
      <c r="B1" s="464"/>
      <c r="C1" s="464"/>
      <c r="D1" s="464"/>
      <c r="E1" s="464"/>
      <c r="F1" s="464"/>
      <c r="G1" s="464"/>
      <c r="H1" s="464"/>
      <c r="I1" s="464"/>
      <c r="J1" s="464"/>
      <c r="K1" s="464"/>
      <c r="L1" s="464"/>
      <c r="M1" s="464"/>
      <c r="N1" s="464"/>
    </row>
    <row r="2" spans="1:16" ht="30.75">
      <c r="A2" s="111" t="s">
        <v>102</v>
      </c>
      <c r="B2" s="112" t="s">
        <v>103</v>
      </c>
      <c r="C2" s="112" t="s">
        <v>104</v>
      </c>
      <c r="D2" s="112" t="s">
        <v>105</v>
      </c>
      <c r="E2" s="112" t="s">
        <v>106</v>
      </c>
      <c r="F2" s="112" t="s">
        <v>107</v>
      </c>
      <c r="G2" s="210" t="s">
        <v>108</v>
      </c>
      <c r="H2" s="112" t="s">
        <v>109</v>
      </c>
      <c r="I2" s="112" t="s">
        <v>107</v>
      </c>
      <c r="J2" s="217" t="s">
        <v>108</v>
      </c>
      <c r="K2" s="113" t="s">
        <v>110</v>
      </c>
      <c r="L2" s="154" t="s">
        <v>111</v>
      </c>
      <c r="M2" s="159" t="s">
        <v>149</v>
      </c>
      <c r="N2" s="114" t="s">
        <v>113</v>
      </c>
    </row>
    <row r="3" spans="1:16">
      <c r="A3" s="176"/>
      <c r="B3" s="19"/>
      <c r="C3" s="19"/>
      <c r="D3" s="267" t="s">
        <v>114</v>
      </c>
      <c r="E3" s="19"/>
      <c r="F3" s="19"/>
      <c r="G3" s="211"/>
      <c r="H3" s="19"/>
      <c r="I3" s="19"/>
      <c r="J3" s="211"/>
      <c r="K3" s="367">
        <v>1537988.9636000001</v>
      </c>
      <c r="L3" s="19"/>
      <c r="M3" s="368">
        <f>+K3</f>
        <v>1537988.9636000001</v>
      </c>
      <c r="N3" s="19"/>
    </row>
    <row r="4" spans="1:16">
      <c r="A4" s="231">
        <v>1</v>
      </c>
      <c r="B4" s="266">
        <v>45809</v>
      </c>
      <c r="C4" s="152"/>
      <c r="D4" s="152"/>
      <c r="E4" s="303">
        <v>400</v>
      </c>
      <c r="F4" s="303">
        <v>91.48</v>
      </c>
      <c r="G4" s="338">
        <f>E4*F4</f>
        <v>36592</v>
      </c>
      <c r="H4" s="303">
        <v>5</v>
      </c>
      <c r="I4" s="303">
        <v>103.41</v>
      </c>
      <c r="J4" s="303">
        <f>H4*I4</f>
        <v>517.04999999999995</v>
      </c>
      <c r="K4" s="338">
        <f>G4+J4</f>
        <v>37109.050000000003</v>
      </c>
      <c r="L4" s="152"/>
      <c r="M4" s="368">
        <f>M3+K4-L4</f>
        <v>1575098.0136000002</v>
      </c>
      <c r="N4" s="152"/>
      <c r="O4" s="24"/>
    </row>
    <row r="5" spans="1:16">
      <c r="A5" s="55">
        <v>2</v>
      </c>
      <c r="B5" s="266">
        <v>45810</v>
      </c>
      <c r="C5" s="19"/>
      <c r="D5" s="19"/>
      <c r="E5" s="303">
        <v>337.65</v>
      </c>
      <c r="F5" s="303">
        <v>91.48</v>
      </c>
      <c r="G5" s="338">
        <f t="shared" ref="G5:G37" si="0">E5*F5</f>
        <v>30888.221999999998</v>
      </c>
      <c r="H5" s="303">
        <v>30</v>
      </c>
      <c r="I5" s="303">
        <v>103.41</v>
      </c>
      <c r="J5" s="303">
        <f t="shared" ref="J5:J37" si="1">H5*I5</f>
        <v>3102.2999999999997</v>
      </c>
      <c r="K5" s="338">
        <f t="shared" ref="K5:K37" si="2">G5+J5</f>
        <v>33990.521999999997</v>
      </c>
      <c r="L5" s="19"/>
      <c r="M5" s="368">
        <f t="shared" ref="M5:M37" si="3">M4+K5-L5</f>
        <v>1609088.5356000001</v>
      </c>
      <c r="N5" s="19"/>
    </row>
    <row r="6" spans="1:16">
      <c r="A6" s="55">
        <v>3</v>
      </c>
      <c r="B6" s="266">
        <v>45811</v>
      </c>
      <c r="C6" s="19"/>
      <c r="D6" s="19"/>
      <c r="E6" s="303">
        <v>123.1</v>
      </c>
      <c r="F6" s="303">
        <v>91.48</v>
      </c>
      <c r="G6" s="338">
        <f t="shared" si="0"/>
        <v>11261.188</v>
      </c>
      <c r="H6" s="303">
        <v>12</v>
      </c>
      <c r="I6" s="303">
        <v>103.41</v>
      </c>
      <c r="J6" s="303">
        <f t="shared" si="1"/>
        <v>1240.92</v>
      </c>
      <c r="K6" s="338">
        <f t="shared" si="2"/>
        <v>12502.108</v>
      </c>
      <c r="L6" s="19"/>
      <c r="M6" s="368">
        <f>M5+K6-L6</f>
        <v>1621590.6436000001</v>
      </c>
      <c r="N6" s="19"/>
    </row>
    <row r="7" spans="1:16">
      <c r="A7" s="55">
        <v>4</v>
      </c>
      <c r="B7" s="266">
        <v>45812</v>
      </c>
      <c r="C7" s="19"/>
      <c r="D7" s="19"/>
      <c r="E7" s="436">
        <v>120</v>
      </c>
      <c r="F7" s="303">
        <v>91.48</v>
      </c>
      <c r="G7" s="338">
        <f t="shared" si="0"/>
        <v>10977.6</v>
      </c>
      <c r="H7" s="303">
        <v>6</v>
      </c>
      <c r="I7" s="303">
        <v>103.41</v>
      </c>
      <c r="J7" s="303">
        <f t="shared" si="1"/>
        <v>620.46</v>
      </c>
      <c r="K7" s="338">
        <f t="shared" si="2"/>
        <v>11598.060000000001</v>
      </c>
      <c r="L7" s="19"/>
      <c r="M7" s="368">
        <f t="shared" si="3"/>
        <v>1633188.7036000001</v>
      </c>
      <c r="N7" s="19"/>
    </row>
    <row r="8" spans="1:16">
      <c r="A8" s="55">
        <v>5</v>
      </c>
      <c r="B8" s="266">
        <v>45813</v>
      </c>
      <c r="C8" s="19"/>
      <c r="D8" s="19"/>
      <c r="E8" s="436">
        <v>35.29</v>
      </c>
      <c r="F8" s="303">
        <v>91.48</v>
      </c>
      <c r="G8" s="338">
        <f t="shared" si="0"/>
        <v>3228.3292000000001</v>
      </c>
      <c r="H8" s="303">
        <v>0</v>
      </c>
      <c r="I8" s="303">
        <v>0</v>
      </c>
      <c r="J8" s="303">
        <f t="shared" si="1"/>
        <v>0</v>
      </c>
      <c r="K8" s="338">
        <f t="shared" si="2"/>
        <v>3228.3292000000001</v>
      </c>
      <c r="L8" s="19"/>
      <c r="M8" s="368">
        <f t="shared" si="3"/>
        <v>1636417.0328000002</v>
      </c>
      <c r="N8" s="19"/>
    </row>
    <row r="9" spans="1:16">
      <c r="A9" s="55">
        <v>6</v>
      </c>
      <c r="B9" s="266">
        <v>45814</v>
      </c>
      <c r="C9" s="19"/>
      <c r="D9" s="19"/>
      <c r="E9" s="303">
        <v>0</v>
      </c>
      <c r="F9" s="303">
        <v>0</v>
      </c>
      <c r="G9" s="338">
        <f t="shared" si="0"/>
        <v>0</v>
      </c>
      <c r="H9" s="303">
        <v>0</v>
      </c>
      <c r="I9" s="303">
        <v>0</v>
      </c>
      <c r="J9" s="303">
        <f t="shared" si="1"/>
        <v>0</v>
      </c>
      <c r="K9" s="338">
        <f t="shared" si="2"/>
        <v>0</v>
      </c>
      <c r="L9" s="19">
        <v>1621328</v>
      </c>
      <c r="M9" s="368">
        <f t="shared" si="3"/>
        <v>15089.032800000161</v>
      </c>
      <c r="N9" s="19"/>
    </row>
    <row r="10" spans="1:16">
      <c r="A10" s="55">
        <v>7</v>
      </c>
      <c r="B10" s="266">
        <v>45815</v>
      </c>
      <c r="C10" s="19"/>
      <c r="D10" s="19"/>
      <c r="E10" s="303">
        <v>0</v>
      </c>
      <c r="F10" s="303">
        <v>0</v>
      </c>
      <c r="G10" s="338">
        <f t="shared" si="0"/>
        <v>0</v>
      </c>
      <c r="H10" s="303">
        <v>0</v>
      </c>
      <c r="I10" s="303">
        <v>0</v>
      </c>
      <c r="J10" s="303">
        <f t="shared" si="1"/>
        <v>0</v>
      </c>
      <c r="K10" s="338">
        <f t="shared" si="2"/>
        <v>0</v>
      </c>
      <c r="L10" s="19"/>
      <c r="M10" s="368">
        <f t="shared" si="3"/>
        <v>15089.032800000161</v>
      </c>
      <c r="N10" s="19"/>
    </row>
    <row r="11" spans="1:16">
      <c r="A11" s="55">
        <v>8</v>
      </c>
      <c r="B11" s="266">
        <v>45816</v>
      </c>
      <c r="C11" s="19"/>
      <c r="D11" s="19"/>
      <c r="E11" s="303">
        <v>0</v>
      </c>
      <c r="F11" s="303">
        <v>0</v>
      </c>
      <c r="G11" s="338">
        <f t="shared" si="0"/>
        <v>0</v>
      </c>
      <c r="H11" s="303">
        <v>0</v>
      </c>
      <c r="I11" s="303">
        <v>0</v>
      </c>
      <c r="J11" s="303">
        <f t="shared" si="1"/>
        <v>0</v>
      </c>
      <c r="K11" s="338">
        <f t="shared" si="2"/>
        <v>0</v>
      </c>
      <c r="L11" s="19"/>
      <c r="M11" s="368">
        <f t="shared" si="3"/>
        <v>15089.032800000161</v>
      </c>
      <c r="N11" s="19"/>
    </row>
    <row r="12" spans="1:16">
      <c r="A12" s="55">
        <v>9</v>
      </c>
      <c r="B12" s="266">
        <v>45817</v>
      </c>
      <c r="C12" s="19"/>
      <c r="D12" s="19"/>
      <c r="E12" s="303">
        <v>0</v>
      </c>
      <c r="F12" s="303">
        <v>0</v>
      </c>
      <c r="G12" s="338">
        <f t="shared" si="0"/>
        <v>0</v>
      </c>
      <c r="H12" s="303">
        <v>0</v>
      </c>
      <c r="I12" s="303">
        <v>0</v>
      </c>
      <c r="J12" s="303">
        <f t="shared" si="1"/>
        <v>0</v>
      </c>
      <c r="K12" s="338">
        <f t="shared" si="2"/>
        <v>0</v>
      </c>
      <c r="L12" s="19"/>
      <c r="M12" s="368">
        <f t="shared" si="3"/>
        <v>15089.032800000161</v>
      </c>
      <c r="N12" s="19"/>
    </row>
    <row r="13" spans="1:16">
      <c r="A13" s="55">
        <v>10</v>
      </c>
      <c r="B13" s="266">
        <v>45818</v>
      </c>
      <c r="C13" s="19"/>
      <c r="D13" s="19"/>
      <c r="E13" s="303">
        <v>0</v>
      </c>
      <c r="F13" s="303">
        <v>0</v>
      </c>
      <c r="G13" s="338">
        <f t="shared" si="0"/>
        <v>0</v>
      </c>
      <c r="H13" s="303">
        <v>0</v>
      </c>
      <c r="I13" s="303">
        <v>0</v>
      </c>
      <c r="J13" s="303">
        <f t="shared" si="1"/>
        <v>0</v>
      </c>
      <c r="K13" s="338">
        <f t="shared" si="2"/>
        <v>0</v>
      </c>
      <c r="L13" s="19"/>
      <c r="M13" s="368">
        <f t="shared" si="3"/>
        <v>15089.032800000161</v>
      </c>
      <c r="N13" s="19"/>
    </row>
    <row r="14" spans="1:16">
      <c r="A14" s="55">
        <v>11</v>
      </c>
      <c r="B14" s="266">
        <v>45819</v>
      </c>
      <c r="C14" s="19"/>
      <c r="D14" s="19"/>
      <c r="E14" s="303">
        <v>0</v>
      </c>
      <c r="F14" s="303">
        <v>0</v>
      </c>
      <c r="G14" s="338">
        <f t="shared" si="0"/>
        <v>0</v>
      </c>
      <c r="H14" s="303">
        <v>0</v>
      </c>
      <c r="I14" s="303">
        <v>0</v>
      </c>
      <c r="J14" s="303">
        <f t="shared" si="1"/>
        <v>0</v>
      </c>
      <c r="K14" s="338">
        <f t="shared" si="2"/>
        <v>0</v>
      </c>
      <c r="L14" s="19"/>
      <c r="M14" s="368">
        <f t="shared" si="3"/>
        <v>15089.032800000161</v>
      </c>
      <c r="N14" s="19"/>
    </row>
    <row r="15" spans="1:16">
      <c r="A15" s="55">
        <v>12</v>
      </c>
      <c r="B15" s="266">
        <v>45820</v>
      </c>
      <c r="C15" s="19"/>
      <c r="D15" s="19"/>
      <c r="E15" s="303">
        <v>0</v>
      </c>
      <c r="F15" s="303">
        <v>0</v>
      </c>
      <c r="G15" s="338">
        <f t="shared" si="0"/>
        <v>0</v>
      </c>
      <c r="H15" s="303">
        <v>0</v>
      </c>
      <c r="I15" s="303">
        <v>0</v>
      </c>
      <c r="J15" s="303">
        <f t="shared" si="1"/>
        <v>0</v>
      </c>
      <c r="K15" s="338">
        <f t="shared" si="2"/>
        <v>0</v>
      </c>
      <c r="L15" s="19"/>
      <c r="M15" s="368">
        <f t="shared" si="3"/>
        <v>15089.032800000161</v>
      </c>
      <c r="N15" s="19"/>
      <c r="P15" s="376"/>
    </row>
    <row r="16" spans="1:16">
      <c r="A16" s="55">
        <v>13</v>
      </c>
      <c r="B16" s="266">
        <v>45821</v>
      </c>
      <c r="C16" s="19"/>
      <c r="D16" s="19"/>
      <c r="E16" s="303">
        <v>1046.1400000000001</v>
      </c>
      <c r="F16" s="303">
        <v>91.48</v>
      </c>
      <c r="G16" s="338">
        <f t="shared" si="0"/>
        <v>95700.887200000012</v>
      </c>
      <c r="H16" s="303">
        <v>0</v>
      </c>
      <c r="I16" s="303">
        <v>0</v>
      </c>
      <c r="J16" s="303">
        <f>H16*I16</f>
        <v>0</v>
      </c>
      <c r="K16" s="338">
        <f>G16+J16</f>
        <v>95700.887200000012</v>
      </c>
      <c r="L16" s="19"/>
      <c r="M16" s="368">
        <f>M15+K16-L16</f>
        <v>110789.92000000017</v>
      </c>
      <c r="N16" s="19"/>
    </row>
    <row r="17" spans="1:14">
      <c r="A17" s="55">
        <v>14</v>
      </c>
      <c r="B17" s="266">
        <v>45822</v>
      </c>
      <c r="C17" s="19"/>
      <c r="D17" s="19"/>
      <c r="E17" s="303">
        <v>79.31</v>
      </c>
      <c r="F17" s="303">
        <v>91.48</v>
      </c>
      <c r="G17" s="338">
        <f t="shared" si="0"/>
        <v>7255.278800000001</v>
      </c>
      <c r="H17" s="303">
        <v>22</v>
      </c>
      <c r="I17" s="303">
        <v>103.41</v>
      </c>
      <c r="J17" s="303">
        <f t="shared" si="1"/>
        <v>2275.02</v>
      </c>
      <c r="K17" s="338">
        <f t="shared" si="2"/>
        <v>9530.2988000000005</v>
      </c>
      <c r="L17" s="19"/>
      <c r="M17" s="368">
        <f>M16+K17-L17</f>
        <v>120320.21880000018</v>
      </c>
      <c r="N17" s="19"/>
    </row>
    <row r="18" spans="1:14">
      <c r="A18" s="55"/>
      <c r="B18" s="266">
        <v>45822</v>
      </c>
      <c r="C18" s="19"/>
      <c r="D18" s="19"/>
      <c r="E18" s="303">
        <v>0</v>
      </c>
      <c r="F18" s="303">
        <v>0</v>
      </c>
      <c r="G18" s="338">
        <f t="shared" si="0"/>
        <v>0</v>
      </c>
      <c r="H18" s="303">
        <v>6</v>
      </c>
      <c r="I18" s="303">
        <v>111.17</v>
      </c>
      <c r="J18" s="303">
        <f t="shared" si="1"/>
        <v>667.02</v>
      </c>
      <c r="K18" s="338">
        <f t="shared" si="2"/>
        <v>667.02</v>
      </c>
      <c r="L18" s="19"/>
      <c r="M18" s="368">
        <f t="shared" si="3"/>
        <v>120987.23880000018</v>
      </c>
      <c r="N18" s="19"/>
    </row>
    <row r="19" spans="1:14">
      <c r="A19" s="55">
        <v>15</v>
      </c>
      <c r="B19" s="266">
        <v>45823</v>
      </c>
      <c r="C19" s="19"/>
      <c r="D19" s="19"/>
      <c r="E19" s="303">
        <v>451.27</v>
      </c>
      <c r="F19" s="303">
        <v>91.48</v>
      </c>
      <c r="G19" s="338">
        <f t="shared" si="0"/>
        <v>41282.179600000003</v>
      </c>
      <c r="H19" s="303">
        <v>16</v>
      </c>
      <c r="I19" s="303">
        <v>103.41</v>
      </c>
      <c r="J19" s="303">
        <f t="shared" si="1"/>
        <v>1654.56</v>
      </c>
      <c r="K19" s="338">
        <f t="shared" si="2"/>
        <v>42936.739600000001</v>
      </c>
      <c r="L19" s="19"/>
      <c r="M19" s="368">
        <f t="shared" si="3"/>
        <v>163923.9784000002</v>
      </c>
      <c r="N19" s="19"/>
    </row>
    <row r="20" spans="1:14">
      <c r="A20" s="55">
        <v>16</v>
      </c>
      <c r="B20" s="266">
        <v>45824</v>
      </c>
      <c r="C20" s="19"/>
      <c r="D20" s="19"/>
      <c r="E20" s="303">
        <v>175.25</v>
      </c>
      <c r="F20" s="303">
        <v>91.48</v>
      </c>
      <c r="G20" s="338">
        <f t="shared" si="0"/>
        <v>16031.87</v>
      </c>
      <c r="H20" s="303">
        <v>16</v>
      </c>
      <c r="I20" s="303">
        <v>103.41</v>
      </c>
      <c r="J20" s="303">
        <f t="shared" si="1"/>
        <v>1654.56</v>
      </c>
      <c r="K20" s="338">
        <f t="shared" si="2"/>
        <v>17686.43</v>
      </c>
      <c r="L20" s="19"/>
      <c r="M20" s="368">
        <f t="shared" si="3"/>
        <v>181610.40840000019</v>
      </c>
      <c r="N20" s="19"/>
    </row>
    <row r="21" spans="1:14">
      <c r="A21" s="55">
        <v>17</v>
      </c>
      <c r="B21" s="266">
        <v>45825</v>
      </c>
      <c r="C21" s="19"/>
      <c r="D21" s="19"/>
      <c r="E21" s="303">
        <v>1149.53</v>
      </c>
      <c r="F21" s="303">
        <v>91.48</v>
      </c>
      <c r="G21" s="338">
        <f t="shared" si="0"/>
        <v>105159.00440000001</v>
      </c>
      <c r="H21" s="303">
        <v>24</v>
      </c>
      <c r="I21" s="303">
        <v>103.41</v>
      </c>
      <c r="J21" s="303">
        <f t="shared" si="1"/>
        <v>2481.84</v>
      </c>
      <c r="K21" s="338">
        <f t="shared" si="2"/>
        <v>107640.8444</v>
      </c>
      <c r="L21" s="19"/>
      <c r="M21" s="368">
        <f t="shared" si="3"/>
        <v>289251.25280000019</v>
      </c>
      <c r="N21" s="19"/>
    </row>
    <row r="22" spans="1:14">
      <c r="A22" s="55">
        <v>18</v>
      </c>
      <c r="B22" s="266">
        <v>45826</v>
      </c>
      <c r="C22" s="19"/>
      <c r="D22" s="19"/>
      <c r="E22" s="436">
        <v>950.75</v>
      </c>
      <c r="F22" s="303">
        <v>91.48</v>
      </c>
      <c r="G22" s="338">
        <f t="shared" si="0"/>
        <v>86974.61</v>
      </c>
      <c r="H22" s="303">
        <v>5</v>
      </c>
      <c r="I22" s="303">
        <v>103.41</v>
      </c>
      <c r="J22" s="303">
        <f t="shared" si="1"/>
        <v>517.04999999999995</v>
      </c>
      <c r="K22" s="338">
        <f t="shared" si="2"/>
        <v>87491.66</v>
      </c>
      <c r="L22" s="19"/>
      <c r="M22" s="368">
        <f t="shared" si="3"/>
        <v>376742.91280000017</v>
      </c>
      <c r="N22" s="19"/>
    </row>
    <row r="23" spans="1:14">
      <c r="A23" s="55">
        <v>19</v>
      </c>
      <c r="B23" s="266">
        <v>45827</v>
      </c>
      <c r="C23" s="19"/>
      <c r="D23" s="19"/>
      <c r="E23" s="436">
        <v>864.96</v>
      </c>
      <c r="F23" s="303">
        <v>91.48</v>
      </c>
      <c r="G23" s="338">
        <f t="shared" si="0"/>
        <v>79126.540800000002</v>
      </c>
      <c r="H23" s="303">
        <v>5</v>
      </c>
      <c r="I23" s="303">
        <v>103.41</v>
      </c>
      <c r="J23" s="303">
        <f t="shared" si="1"/>
        <v>517.04999999999995</v>
      </c>
      <c r="K23" s="338">
        <f t="shared" si="2"/>
        <v>79643.590800000005</v>
      </c>
      <c r="L23" s="19"/>
      <c r="M23" s="368">
        <f t="shared" si="3"/>
        <v>456386.50360000017</v>
      </c>
      <c r="N23" s="19"/>
    </row>
    <row r="24" spans="1:14">
      <c r="A24" s="55">
        <v>20</v>
      </c>
      <c r="B24" s="266">
        <v>45828</v>
      </c>
      <c r="C24" s="19"/>
      <c r="D24" s="19"/>
      <c r="E24" s="303">
        <v>116.2</v>
      </c>
      <c r="F24" s="303">
        <v>91.48</v>
      </c>
      <c r="G24" s="338">
        <f t="shared" si="0"/>
        <v>10629.976000000001</v>
      </c>
      <c r="H24" s="303">
        <v>6</v>
      </c>
      <c r="I24" s="303">
        <v>103.41</v>
      </c>
      <c r="J24" s="303">
        <f t="shared" si="1"/>
        <v>620.46</v>
      </c>
      <c r="K24" s="338">
        <f t="shared" si="2"/>
        <v>11250.436000000002</v>
      </c>
      <c r="L24" s="19"/>
      <c r="M24" s="368">
        <f t="shared" si="3"/>
        <v>467636.93960000016</v>
      </c>
      <c r="N24" s="19"/>
    </row>
    <row r="25" spans="1:14">
      <c r="A25" s="55">
        <v>21</v>
      </c>
      <c r="B25" s="266">
        <v>45829</v>
      </c>
      <c r="C25" s="19"/>
      <c r="D25" s="19"/>
      <c r="E25" s="436">
        <v>141.68</v>
      </c>
      <c r="F25" s="303">
        <v>91.48</v>
      </c>
      <c r="G25" s="338">
        <f t="shared" si="0"/>
        <v>12960.886400000001</v>
      </c>
      <c r="H25" s="436">
        <v>27</v>
      </c>
      <c r="I25" s="303">
        <v>103.41</v>
      </c>
      <c r="J25" s="303">
        <f t="shared" si="1"/>
        <v>2792.0699999999997</v>
      </c>
      <c r="K25" s="338">
        <f t="shared" si="2"/>
        <v>15752.956400000001</v>
      </c>
      <c r="L25" s="19"/>
      <c r="M25" s="368">
        <f t="shared" si="3"/>
        <v>483389.89600000018</v>
      </c>
      <c r="N25" s="19"/>
    </row>
    <row r="26" spans="1:14">
      <c r="A26" s="55">
        <v>22</v>
      </c>
      <c r="B26" s="266">
        <v>45830</v>
      </c>
      <c r="C26" s="19"/>
      <c r="D26" s="19"/>
      <c r="E26" s="303">
        <v>764.98</v>
      </c>
      <c r="F26" s="303">
        <v>91.48</v>
      </c>
      <c r="G26" s="338">
        <f t="shared" si="0"/>
        <v>69980.3704</v>
      </c>
      <c r="H26" s="303">
        <v>15</v>
      </c>
      <c r="I26" s="303">
        <v>103.41</v>
      </c>
      <c r="J26" s="303">
        <f t="shared" si="1"/>
        <v>1551.1499999999999</v>
      </c>
      <c r="K26" s="338">
        <f t="shared" si="2"/>
        <v>71531.520399999994</v>
      </c>
      <c r="L26" s="19"/>
      <c r="M26" s="368">
        <f t="shared" si="3"/>
        <v>554921.41640000022</v>
      </c>
      <c r="N26" s="19"/>
    </row>
    <row r="27" spans="1:14">
      <c r="A27" s="55">
        <v>23</v>
      </c>
      <c r="B27" s="266">
        <v>45831</v>
      </c>
      <c r="C27" s="19"/>
      <c r="D27" s="19"/>
      <c r="E27" s="436">
        <v>947.41</v>
      </c>
      <c r="F27" s="303">
        <v>91.48</v>
      </c>
      <c r="G27" s="338">
        <f t="shared" si="0"/>
        <v>86669.066800000001</v>
      </c>
      <c r="H27" s="303">
        <v>37</v>
      </c>
      <c r="I27" s="303">
        <v>103.41</v>
      </c>
      <c r="J27" s="303">
        <f t="shared" si="1"/>
        <v>3826.17</v>
      </c>
      <c r="K27" s="338">
        <f t="shared" si="2"/>
        <v>90495.236799999999</v>
      </c>
      <c r="L27" s="19"/>
      <c r="M27" s="368">
        <f t="shared" si="3"/>
        <v>645416.65320000018</v>
      </c>
      <c r="N27" s="19"/>
    </row>
    <row r="28" spans="1:14">
      <c r="A28" s="55">
        <v>24</v>
      </c>
      <c r="B28" s="266">
        <v>45832</v>
      </c>
      <c r="C28" s="19"/>
      <c r="D28" s="19"/>
      <c r="E28" s="303">
        <v>121.16</v>
      </c>
      <c r="F28" s="303">
        <v>91.48</v>
      </c>
      <c r="G28" s="338">
        <f t="shared" si="0"/>
        <v>11083.7168</v>
      </c>
      <c r="H28" s="303">
        <v>16</v>
      </c>
      <c r="I28" s="303">
        <v>103.41</v>
      </c>
      <c r="J28" s="303">
        <f t="shared" si="1"/>
        <v>1654.56</v>
      </c>
      <c r="K28" s="338">
        <f t="shared" si="2"/>
        <v>12738.2768</v>
      </c>
      <c r="L28" s="19"/>
      <c r="M28" s="368">
        <f t="shared" si="3"/>
        <v>658154.93000000017</v>
      </c>
      <c r="N28" s="19"/>
    </row>
    <row r="29" spans="1:14">
      <c r="A29" s="55">
        <v>25</v>
      </c>
      <c r="B29" s="266">
        <v>45833</v>
      </c>
      <c r="C29" s="107"/>
      <c r="D29" s="107"/>
      <c r="E29" s="303">
        <v>578.15</v>
      </c>
      <c r="F29" s="303">
        <v>91.48</v>
      </c>
      <c r="G29" s="338">
        <f t="shared" si="0"/>
        <v>52889.161999999997</v>
      </c>
      <c r="H29" s="303">
        <v>26</v>
      </c>
      <c r="I29" s="303">
        <v>103.41</v>
      </c>
      <c r="J29" s="303">
        <f t="shared" si="1"/>
        <v>2688.66</v>
      </c>
      <c r="K29" s="338">
        <f t="shared" si="2"/>
        <v>55577.822</v>
      </c>
      <c r="L29" s="19"/>
      <c r="M29" s="368">
        <f t="shared" si="3"/>
        <v>713732.75200000021</v>
      </c>
      <c r="N29" s="107"/>
    </row>
    <row r="30" spans="1:14">
      <c r="A30" s="55">
        <v>26</v>
      </c>
      <c r="B30" s="266">
        <v>45834</v>
      </c>
      <c r="C30" s="19"/>
      <c r="D30" s="19"/>
      <c r="E30" s="303">
        <v>332.89</v>
      </c>
      <c r="F30" s="303">
        <v>91.48</v>
      </c>
      <c r="G30" s="338">
        <f t="shared" si="0"/>
        <v>30452.7772</v>
      </c>
      <c r="H30" s="303">
        <v>21</v>
      </c>
      <c r="I30" s="303">
        <v>103.41</v>
      </c>
      <c r="J30" s="303">
        <f t="shared" si="1"/>
        <v>2171.61</v>
      </c>
      <c r="K30" s="338">
        <f t="shared" si="2"/>
        <v>32624.387200000001</v>
      </c>
      <c r="L30" s="19"/>
      <c r="M30" s="368">
        <f t="shared" si="3"/>
        <v>746357.13920000021</v>
      </c>
      <c r="N30" s="19"/>
    </row>
    <row r="31" spans="1:14">
      <c r="A31" s="55">
        <v>27</v>
      </c>
      <c r="B31" s="266">
        <v>45835</v>
      </c>
      <c r="C31" s="19"/>
      <c r="D31" s="19"/>
      <c r="E31" s="303">
        <v>569.04</v>
      </c>
      <c r="F31" s="303">
        <v>91.48</v>
      </c>
      <c r="G31" s="338">
        <f t="shared" si="0"/>
        <v>52055.779199999997</v>
      </c>
      <c r="H31" s="303">
        <v>0</v>
      </c>
      <c r="I31" s="303">
        <v>0</v>
      </c>
      <c r="J31" s="303">
        <f t="shared" si="1"/>
        <v>0</v>
      </c>
      <c r="K31" s="338">
        <f t="shared" si="2"/>
        <v>52055.779199999997</v>
      </c>
      <c r="L31" s="19"/>
      <c r="M31" s="368">
        <f t="shared" si="3"/>
        <v>798412.9184000002</v>
      </c>
      <c r="N31" s="19"/>
    </row>
    <row r="32" spans="1:14">
      <c r="A32" s="55">
        <v>28</v>
      </c>
      <c r="B32" s="266">
        <v>45836</v>
      </c>
      <c r="C32" s="19"/>
      <c r="D32" s="19"/>
      <c r="E32" s="303">
        <v>707.32</v>
      </c>
      <c r="F32" s="303">
        <v>91.48</v>
      </c>
      <c r="G32" s="338">
        <f t="shared" si="0"/>
        <v>64705.633600000008</v>
      </c>
      <c r="H32" s="303">
        <v>27</v>
      </c>
      <c r="I32" s="303">
        <v>103.41</v>
      </c>
      <c r="J32" s="303">
        <f t="shared" si="1"/>
        <v>2792.0699999999997</v>
      </c>
      <c r="K32" s="338">
        <f t="shared" si="2"/>
        <v>67497.703600000008</v>
      </c>
      <c r="L32" s="19"/>
      <c r="M32" s="368">
        <f t="shared" si="3"/>
        <v>865910.62200000021</v>
      </c>
      <c r="N32" s="19"/>
    </row>
    <row r="33" spans="1:14">
      <c r="A33" s="231">
        <v>29</v>
      </c>
      <c r="B33" s="266">
        <v>45837</v>
      </c>
      <c r="C33" s="19"/>
      <c r="D33" s="19"/>
      <c r="E33" s="303">
        <v>44.3</v>
      </c>
      <c r="F33" s="303">
        <v>91.48</v>
      </c>
      <c r="G33" s="338">
        <f t="shared" si="0"/>
        <v>4052.5639999999999</v>
      </c>
      <c r="H33" s="303">
        <v>5</v>
      </c>
      <c r="I33" s="303">
        <v>103.41</v>
      </c>
      <c r="J33" s="303">
        <f t="shared" si="1"/>
        <v>517.04999999999995</v>
      </c>
      <c r="K33" s="338">
        <f t="shared" si="2"/>
        <v>4569.6139999999996</v>
      </c>
      <c r="L33" s="19"/>
      <c r="M33" s="368">
        <f t="shared" si="3"/>
        <v>870480.23600000015</v>
      </c>
      <c r="N33" s="19"/>
    </row>
    <row r="34" spans="1:14">
      <c r="A34" s="231">
        <v>30</v>
      </c>
      <c r="B34" s="266">
        <v>45838</v>
      </c>
      <c r="C34" s="19"/>
      <c r="D34" s="19"/>
      <c r="E34" s="303">
        <v>358.42</v>
      </c>
      <c r="F34" s="303">
        <v>91.48</v>
      </c>
      <c r="G34" s="338">
        <f t="shared" si="0"/>
        <v>32788.261600000005</v>
      </c>
      <c r="H34" s="303">
        <v>35</v>
      </c>
      <c r="I34" s="303">
        <v>103.41</v>
      </c>
      <c r="J34" s="303">
        <f t="shared" si="1"/>
        <v>3619.35</v>
      </c>
      <c r="K34" s="338">
        <f t="shared" si="2"/>
        <v>36407.611600000004</v>
      </c>
      <c r="L34" s="19"/>
      <c r="M34" s="368">
        <f t="shared" si="3"/>
        <v>906887.84760000021</v>
      </c>
      <c r="N34" s="19"/>
    </row>
    <row r="35" spans="1:14">
      <c r="A35" s="231">
        <v>31</v>
      </c>
      <c r="B35" s="266"/>
      <c r="C35" s="19"/>
      <c r="D35" s="19"/>
      <c r="E35" s="303">
        <v>0</v>
      </c>
      <c r="F35" s="303">
        <v>0</v>
      </c>
      <c r="G35" s="338">
        <f t="shared" si="0"/>
        <v>0</v>
      </c>
      <c r="H35" s="303">
        <v>0</v>
      </c>
      <c r="I35" s="303">
        <v>0</v>
      </c>
      <c r="J35" s="303">
        <f t="shared" si="1"/>
        <v>0</v>
      </c>
      <c r="K35" s="338">
        <f t="shared" si="2"/>
        <v>0</v>
      </c>
      <c r="L35" s="19"/>
      <c r="M35" s="368">
        <f t="shared" si="3"/>
        <v>906887.84760000021</v>
      </c>
      <c r="N35" s="107"/>
    </row>
    <row r="36" spans="1:14">
      <c r="A36" s="54"/>
      <c r="B36" s="266"/>
      <c r="C36" s="19"/>
      <c r="D36" s="19"/>
      <c r="E36" s="303">
        <v>0</v>
      </c>
      <c r="F36" s="303">
        <v>0</v>
      </c>
      <c r="G36" s="338">
        <f t="shared" si="0"/>
        <v>0</v>
      </c>
      <c r="H36" s="303">
        <v>0</v>
      </c>
      <c r="I36" s="303">
        <v>0</v>
      </c>
      <c r="J36" s="303">
        <f t="shared" si="1"/>
        <v>0</v>
      </c>
      <c r="K36" s="338">
        <f t="shared" si="2"/>
        <v>0</v>
      </c>
      <c r="L36" s="19"/>
      <c r="M36" s="368">
        <f t="shared" si="3"/>
        <v>906887.84760000021</v>
      </c>
      <c r="N36" s="19"/>
    </row>
    <row r="37" spans="1:14">
      <c r="A37" s="54"/>
      <c r="B37" s="266"/>
      <c r="C37" s="19"/>
      <c r="D37" s="19"/>
      <c r="E37" s="303">
        <v>0</v>
      </c>
      <c r="F37" s="303">
        <v>0</v>
      </c>
      <c r="G37" s="338">
        <f t="shared" si="0"/>
        <v>0</v>
      </c>
      <c r="H37" s="303">
        <v>0</v>
      </c>
      <c r="I37" s="303">
        <v>0</v>
      </c>
      <c r="J37" s="303">
        <f t="shared" si="1"/>
        <v>0</v>
      </c>
      <c r="K37" s="338">
        <f t="shared" si="2"/>
        <v>0</v>
      </c>
      <c r="L37" s="19"/>
      <c r="M37" s="368">
        <f t="shared" si="3"/>
        <v>906887.84760000021</v>
      </c>
      <c r="N37" s="19"/>
    </row>
    <row r="38" spans="1:14">
      <c r="A38" s="206"/>
      <c r="B38" s="206"/>
      <c r="C38" s="206"/>
      <c r="D38" s="206"/>
      <c r="E38" s="206">
        <f>SUM(E4:E35)</f>
        <v>10414.799999999997</v>
      </c>
      <c r="F38" s="206"/>
      <c r="G38" s="206">
        <f>SUM(G4:G35)</f>
        <v>952745.9040000001</v>
      </c>
      <c r="H38" s="206">
        <f>SUM(H4:H35)</f>
        <v>362</v>
      </c>
      <c r="I38" s="206"/>
      <c r="J38" s="206">
        <f>SUM(J4:J35)</f>
        <v>37480.980000000003</v>
      </c>
      <c r="K38" s="206">
        <f>SUM(K4:K35)</f>
        <v>990226.88400000008</v>
      </c>
      <c r="L38" s="206">
        <f>SUM(L4:L35)</f>
        <v>1621328</v>
      </c>
      <c r="M38" s="206"/>
      <c r="N38" s="206"/>
    </row>
  </sheetData>
  <mergeCells count="1">
    <mergeCell ref="A1:N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926CA-2A8F-4E1A-B43B-A684C6DFAF19}">
  <sheetPr>
    <tabColor theme="3" tint="-0.499984740745262"/>
  </sheetPr>
  <dimension ref="A1:N35"/>
  <sheetViews>
    <sheetView topLeftCell="A24" workbookViewId="0">
      <selection activeCell="R21" sqref="R21"/>
    </sheetView>
  </sheetViews>
  <sheetFormatPr defaultRowHeight="15"/>
  <cols>
    <col min="2" max="2" width="10.5703125" bestFit="1" customWidth="1"/>
    <col min="12" max="12" width="12.42578125" bestFit="1" customWidth="1"/>
    <col min="13" max="13" width="12.140625" customWidth="1"/>
  </cols>
  <sheetData>
    <row r="1" spans="1:14" ht="15.75">
      <c r="A1" s="477" t="s">
        <v>192</v>
      </c>
      <c r="B1" s="477"/>
      <c r="C1" s="477"/>
      <c r="D1" s="477"/>
      <c r="E1" s="477"/>
      <c r="F1" s="477"/>
      <c r="G1" s="477"/>
      <c r="H1" s="477"/>
      <c r="I1" s="477"/>
      <c r="J1" s="477"/>
      <c r="K1" s="477"/>
      <c r="L1" s="477"/>
      <c r="M1" s="477"/>
      <c r="N1" s="477"/>
    </row>
    <row r="2" spans="1:14" ht="30.75">
      <c r="A2" s="139" t="s">
        <v>102</v>
      </c>
      <c r="B2" s="257" t="s">
        <v>103</v>
      </c>
      <c r="C2" s="257" t="s">
        <v>104</v>
      </c>
      <c r="D2" s="257" t="s">
        <v>150</v>
      </c>
      <c r="E2" s="257" t="s">
        <v>106</v>
      </c>
      <c r="F2" s="257" t="s">
        <v>107</v>
      </c>
      <c r="G2" s="257" t="s">
        <v>108</v>
      </c>
      <c r="H2" s="257" t="s">
        <v>109</v>
      </c>
      <c r="I2" s="257" t="s">
        <v>107</v>
      </c>
      <c r="J2" s="257" t="s">
        <v>108</v>
      </c>
      <c r="K2" s="199" t="s">
        <v>110</v>
      </c>
      <c r="L2" s="199" t="s">
        <v>111</v>
      </c>
      <c r="M2" s="199" t="s">
        <v>149</v>
      </c>
      <c r="N2" s="257" t="s">
        <v>113</v>
      </c>
    </row>
    <row r="3" spans="1:14">
      <c r="A3" s="478" t="s">
        <v>114</v>
      </c>
      <c r="B3" s="478"/>
      <c r="C3" s="478"/>
      <c r="D3" s="478"/>
      <c r="E3" s="478"/>
      <c r="F3" s="478"/>
      <c r="G3" s="478"/>
      <c r="H3" s="478"/>
      <c r="I3" s="478"/>
      <c r="J3" s="478"/>
      <c r="K3" s="478"/>
      <c r="L3" s="478"/>
      <c r="M3" s="478">
        <v>0</v>
      </c>
      <c r="N3" s="478"/>
    </row>
    <row r="4" spans="1:14">
      <c r="A4" s="231">
        <v>1</v>
      </c>
      <c r="B4" s="266">
        <v>45809</v>
      </c>
      <c r="C4" s="46">
        <v>0</v>
      </c>
      <c r="D4" s="46"/>
      <c r="E4" s="46">
        <v>65.72</v>
      </c>
      <c r="F4" s="46">
        <v>91.3</v>
      </c>
      <c r="G4" s="46">
        <f>E4*F4</f>
        <v>6000.2359999999999</v>
      </c>
      <c r="H4" s="46">
        <v>0</v>
      </c>
      <c r="I4" s="46">
        <v>0</v>
      </c>
      <c r="J4" s="46">
        <f>H4*I4</f>
        <v>0</v>
      </c>
      <c r="K4" s="46">
        <f>G4+J4</f>
        <v>6000.2359999999999</v>
      </c>
      <c r="L4" s="46">
        <f>+K4</f>
        <v>6000.2359999999999</v>
      </c>
      <c r="M4" s="46">
        <f>M3+K4-L4</f>
        <v>0</v>
      </c>
      <c r="N4" s="46"/>
    </row>
    <row r="5" spans="1:14">
      <c r="A5" s="55">
        <v>2</v>
      </c>
      <c r="B5" s="266">
        <v>45810</v>
      </c>
      <c r="C5" s="46">
        <v>0</v>
      </c>
      <c r="D5" s="46"/>
      <c r="E5" s="46">
        <v>65.72</v>
      </c>
      <c r="F5" s="46">
        <v>91.3</v>
      </c>
      <c r="G5" s="46">
        <f t="shared" ref="G5:G34" si="0">E5*F5</f>
        <v>6000.2359999999999</v>
      </c>
      <c r="H5" s="46">
        <v>0</v>
      </c>
      <c r="I5" s="46">
        <v>0</v>
      </c>
      <c r="J5" s="46">
        <f t="shared" ref="J5:J34" si="1">H5*I5</f>
        <v>0</v>
      </c>
      <c r="K5" s="46">
        <f t="shared" ref="K5:K34" si="2">G5+J5</f>
        <v>6000.2359999999999</v>
      </c>
      <c r="L5" s="46">
        <f>+K5</f>
        <v>6000.2359999999999</v>
      </c>
      <c r="M5" s="46">
        <f t="shared" ref="L5:M34" si="3">M4+K5-L5</f>
        <v>0</v>
      </c>
      <c r="N5" s="46"/>
    </row>
    <row r="6" spans="1:14">
      <c r="A6" s="55">
        <v>3</v>
      </c>
      <c r="B6" s="266">
        <v>45811</v>
      </c>
      <c r="C6" s="46">
        <v>0</v>
      </c>
      <c r="D6" s="46"/>
      <c r="E6" s="46">
        <v>100</v>
      </c>
      <c r="F6" s="46">
        <v>91.3</v>
      </c>
      <c r="G6" s="46">
        <f t="shared" si="0"/>
        <v>9130</v>
      </c>
      <c r="H6" s="46">
        <v>0</v>
      </c>
      <c r="I6" s="46">
        <v>0</v>
      </c>
      <c r="J6" s="46">
        <f t="shared" si="1"/>
        <v>0</v>
      </c>
      <c r="K6" s="46">
        <f t="shared" si="2"/>
        <v>9130</v>
      </c>
      <c r="L6" s="46">
        <f>+K6</f>
        <v>9130</v>
      </c>
      <c r="M6" s="46">
        <f t="shared" si="3"/>
        <v>0</v>
      </c>
      <c r="N6" s="46"/>
    </row>
    <row r="7" spans="1:14">
      <c r="A7" s="55">
        <v>4</v>
      </c>
      <c r="B7" s="266">
        <v>45812</v>
      </c>
      <c r="C7" s="46">
        <v>0</v>
      </c>
      <c r="D7" s="46"/>
      <c r="E7" s="46">
        <v>0</v>
      </c>
      <c r="F7" s="46">
        <v>0</v>
      </c>
      <c r="G7" s="46">
        <f t="shared" si="0"/>
        <v>0</v>
      </c>
      <c r="H7" s="46">
        <v>0</v>
      </c>
      <c r="I7" s="46">
        <v>0</v>
      </c>
      <c r="J7" s="46">
        <f t="shared" si="1"/>
        <v>0</v>
      </c>
      <c r="K7" s="46">
        <f t="shared" si="2"/>
        <v>0</v>
      </c>
      <c r="L7" s="46">
        <v>0</v>
      </c>
      <c r="M7" s="46">
        <f t="shared" si="3"/>
        <v>0</v>
      </c>
      <c r="N7" s="46"/>
    </row>
    <row r="8" spans="1:14">
      <c r="A8" s="55">
        <v>5</v>
      </c>
      <c r="B8" s="266">
        <v>45813</v>
      </c>
      <c r="C8" s="46">
        <v>0</v>
      </c>
      <c r="D8" s="46"/>
      <c r="E8" s="46">
        <v>0</v>
      </c>
      <c r="F8" s="46">
        <v>0</v>
      </c>
      <c r="G8" s="46">
        <f t="shared" si="0"/>
        <v>0</v>
      </c>
      <c r="H8" s="46">
        <v>0</v>
      </c>
      <c r="I8" s="46">
        <v>0</v>
      </c>
      <c r="J8" s="46">
        <f t="shared" si="1"/>
        <v>0</v>
      </c>
      <c r="K8" s="46">
        <f t="shared" si="2"/>
        <v>0</v>
      </c>
      <c r="L8" s="46">
        <v>0</v>
      </c>
      <c r="M8" s="46">
        <f t="shared" si="3"/>
        <v>0</v>
      </c>
      <c r="N8" s="46"/>
    </row>
    <row r="9" spans="1:14">
      <c r="A9" s="55">
        <v>6</v>
      </c>
      <c r="B9" s="266">
        <v>45814</v>
      </c>
      <c r="C9" s="46">
        <v>0</v>
      </c>
      <c r="D9" s="46"/>
      <c r="E9" s="46">
        <v>0</v>
      </c>
      <c r="F9" s="46">
        <v>0</v>
      </c>
      <c r="G9" s="46">
        <f t="shared" si="0"/>
        <v>0</v>
      </c>
      <c r="H9" s="46">
        <v>10</v>
      </c>
      <c r="I9" s="46">
        <v>103.22</v>
      </c>
      <c r="J9" s="46">
        <f t="shared" si="1"/>
        <v>1032.2</v>
      </c>
      <c r="K9" s="46">
        <f t="shared" si="2"/>
        <v>1032.2</v>
      </c>
      <c r="L9" s="46">
        <v>1032.2</v>
      </c>
      <c r="M9" s="46">
        <f t="shared" si="3"/>
        <v>0</v>
      </c>
      <c r="N9" s="46"/>
    </row>
    <row r="10" spans="1:14">
      <c r="A10" s="55">
        <v>7</v>
      </c>
      <c r="B10" s="266">
        <v>45815</v>
      </c>
      <c r="C10" s="46">
        <v>0</v>
      </c>
      <c r="D10" s="46"/>
      <c r="E10" s="46">
        <v>0</v>
      </c>
      <c r="F10" s="46">
        <v>0</v>
      </c>
      <c r="G10" s="46">
        <f t="shared" si="0"/>
        <v>0</v>
      </c>
      <c r="H10" s="46">
        <v>0</v>
      </c>
      <c r="I10" s="46">
        <v>0</v>
      </c>
      <c r="J10" s="46">
        <f t="shared" si="1"/>
        <v>0</v>
      </c>
      <c r="K10" s="46">
        <f t="shared" si="2"/>
        <v>0</v>
      </c>
      <c r="L10" s="46">
        <v>0</v>
      </c>
      <c r="M10" s="46">
        <f t="shared" si="3"/>
        <v>0</v>
      </c>
      <c r="N10" s="46"/>
    </row>
    <row r="11" spans="1:14">
      <c r="A11" s="55">
        <v>8</v>
      </c>
      <c r="B11" s="266">
        <v>45816</v>
      </c>
      <c r="C11" s="46">
        <v>0</v>
      </c>
      <c r="D11" s="46"/>
      <c r="E11" s="46">
        <v>0</v>
      </c>
      <c r="F11" s="46">
        <v>0</v>
      </c>
      <c r="G11" s="46">
        <f t="shared" si="0"/>
        <v>0</v>
      </c>
      <c r="H11" s="46">
        <v>0</v>
      </c>
      <c r="I11" s="46">
        <v>0</v>
      </c>
      <c r="J11" s="46">
        <f t="shared" si="1"/>
        <v>0</v>
      </c>
      <c r="K11" s="46">
        <f t="shared" si="2"/>
        <v>0</v>
      </c>
      <c r="L11" s="46">
        <v>0</v>
      </c>
      <c r="M11" s="46">
        <f t="shared" si="3"/>
        <v>0</v>
      </c>
      <c r="N11" s="46"/>
    </row>
    <row r="12" spans="1:14">
      <c r="A12" s="55">
        <v>9</v>
      </c>
      <c r="B12" s="266">
        <v>45817</v>
      </c>
      <c r="C12" s="46">
        <v>0</v>
      </c>
      <c r="D12" s="46"/>
      <c r="E12" s="46">
        <v>30</v>
      </c>
      <c r="F12" s="46">
        <v>91.3</v>
      </c>
      <c r="G12" s="46">
        <f t="shared" si="0"/>
        <v>2739</v>
      </c>
      <c r="H12" s="46">
        <v>0</v>
      </c>
      <c r="I12" s="46">
        <v>0</v>
      </c>
      <c r="J12" s="46">
        <f t="shared" si="1"/>
        <v>0</v>
      </c>
      <c r="K12" s="46">
        <f t="shared" si="2"/>
        <v>2739</v>
      </c>
      <c r="L12" s="46">
        <v>2739</v>
      </c>
      <c r="M12" s="46">
        <f t="shared" si="3"/>
        <v>0</v>
      </c>
      <c r="N12" s="46"/>
    </row>
    <row r="13" spans="1:14">
      <c r="A13" s="55">
        <v>10</v>
      </c>
      <c r="B13" s="266">
        <v>45818</v>
      </c>
      <c r="C13" s="46">
        <v>0</v>
      </c>
      <c r="D13" s="46"/>
      <c r="E13" s="46">
        <v>30</v>
      </c>
      <c r="F13" s="46">
        <v>91.3</v>
      </c>
      <c r="G13" s="46">
        <f t="shared" si="0"/>
        <v>2739</v>
      </c>
      <c r="H13" s="46">
        <v>0</v>
      </c>
      <c r="I13" s="46">
        <v>0</v>
      </c>
      <c r="J13" s="46">
        <f t="shared" si="1"/>
        <v>0</v>
      </c>
      <c r="K13" s="46">
        <f t="shared" si="2"/>
        <v>2739</v>
      </c>
      <c r="L13" s="46">
        <v>2739</v>
      </c>
      <c r="M13" s="46">
        <f t="shared" si="3"/>
        <v>0</v>
      </c>
      <c r="N13" s="46"/>
    </row>
    <row r="14" spans="1:14">
      <c r="A14" s="55">
        <v>11</v>
      </c>
      <c r="B14" s="266">
        <v>45819</v>
      </c>
      <c r="C14" s="46">
        <v>0</v>
      </c>
      <c r="D14" s="46"/>
      <c r="E14" s="46">
        <v>50</v>
      </c>
      <c r="F14" s="46">
        <v>91.3</v>
      </c>
      <c r="G14" s="46">
        <f t="shared" si="0"/>
        <v>4565</v>
      </c>
      <c r="H14" s="46">
        <v>0</v>
      </c>
      <c r="I14" s="46">
        <v>0</v>
      </c>
      <c r="J14" s="46">
        <f t="shared" si="1"/>
        <v>0</v>
      </c>
      <c r="K14" s="46">
        <f t="shared" si="2"/>
        <v>4565</v>
      </c>
      <c r="L14" s="46">
        <v>4565</v>
      </c>
      <c r="M14" s="46">
        <f t="shared" si="3"/>
        <v>0</v>
      </c>
      <c r="N14" s="46"/>
    </row>
    <row r="15" spans="1:14">
      <c r="A15" s="55">
        <v>12</v>
      </c>
      <c r="B15" s="266">
        <v>45820</v>
      </c>
      <c r="C15" s="46">
        <v>0</v>
      </c>
      <c r="D15" s="46"/>
      <c r="E15" s="46">
        <v>0</v>
      </c>
      <c r="F15" s="46">
        <v>0</v>
      </c>
      <c r="G15" s="46">
        <f t="shared" si="0"/>
        <v>0</v>
      </c>
      <c r="H15" s="46">
        <v>0</v>
      </c>
      <c r="I15" s="46">
        <v>0</v>
      </c>
      <c r="J15" s="46">
        <f t="shared" si="1"/>
        <v>0</v>
      </c>
      <c r="K15" s="46">
        <f t="shared" si="2"/>
        <v>0</v>
      </c>
      <c r="L15" s="46">
        <v>0</v>
      </c>
      <c r="M15" s="46">
        <f t="shared" si="3"/>
        <v>0</v>
      </c>
      <c r="N15" s="46"/>
    </row>
    <row r="16" spans="1:14">
      <c r="A16" s="55">
        <v>13</v>
      </c>
      <c r="B16" s="266">
        <v>45821</v>
      </c>
      <c r="C16" s="46">
        <v>0</v>
      </c>
      <c r="D16" s="46"/>
      <c r="E16" s="46">
        <v>0</v>
      </c>
      <c r="F16" s="46">
        <v>0</v>
      </c>
      <c r="G16" s="46">
        <f t="shared" si="0"/>
        <v>0</v>
      </c>
      <c r="H16" s="46">
        <v>0</v>
      </c>
      <c r="I16" s="46">
        <v>0</v>
      </c>
      <c r="J16" s="46">
        <f t="shared" si="1"/>
        <v>0</v>
      </c>
      <c r="K16" s="46">
        <f t="shared" si="2"/>
        <v>0</v>
      </c>
      <c r="L16" s="46">
        <v>0</v>
      </c>
      <c r="M16" s="46">
        <f t="shared" si="3"/>
        <v>0</v>
      </c>
      <c r="N16" s="46"/>
    </row>
    <row r="17" spans="1:14">
      <c r="A17" s="55">
        <v>14</v>
      </c>
      <c r="B17" s="266">
        <v>45822</v>
      </c>
      <c r="C17" s="46">
        <v>0</v>
      </c>
      <c r="D17" s="46"/>
      <c r="E17" s="46">
        <v>0</v>
      </c>
      <c r="F17" s="46">
        <v>0</v>
      </c>
      <c r="G17" s="46">
        <f t="shared" si="0"/>
        <v>0</v>
      </c>
      <c r="H17" s="46">
        <v>0</v>
      </c>
      <c r="I17" s="46">
        <v>0</v>
      </c>
      <c r="J17" s="46">
        <f t="shared" si="1"/>
        <v>0</v>
      </c>
      <c r="K17" s="46">
        <f t="shared" si="2"/>
        <v>0</v>
      </c>
      <c r="L17" s="46">
        <v>0</v>
      </c>
      <c r="M17" s="46">
        <f t="shared" si="3"/>
        <v>0</v>
      </c>
      <c r="N17" s="46"/>
    </row>
    <row r="18" spans="1:14">
      <c r="A18" s="55">
        <v>15</v>
      </c>
      <c r="B18" s="266">
        <v>45823</v>
      </c>
      <c r="C18" s="46">
        <v>0</v>
      </c>
      <c r="D18" s="46"/>
      <c r="E18" s="46">
        <v>30</v>
      </c>
      <c r="F18" s="46">
        <v>91.3</v>
      </c>
      <c r="G18" s="46">
        <f t="shared" si="0"/>
        <v>2739</v>
      </c>
      <c r="H18" s="46">
        <v>6</v>
      </c>
      <c r="I18" s="46">
        <v>103.22</v>
      </c>
      <c r="J18" s="46">
        <f t="shared" si="1"/>
        <v>619.31999999999994</v>
      </c>
      <c r="K18" s="46">
        <f t="shared" si="2"/>
        <v>3358.3199999999997</v>
      </c>
      <c r="L18" s="46">
        <v>3358</v>
      </c>
      <c r="M18" s="46">
        <f t="shared" si="3"/>
        <v>0.31999999999970896</v>
      </c>
      <c r="N18" s="46"/>
    </row>
    <row r="19" spans="1:14">
      <c r="A19" s="55">
        <v>16</v>
      </c>
      <c r="B19" s="266">
        <v>45824</v>
      </c>
      <c r="C19" s="46">
        <v>0</v>
      </c>
      <c r="D19" s="46"/>
      <c r="E19" s="46">
        <v>0</v>
      </c>
      <c r="F19" s="46">
        <v>0</v>
      </c>
      <c r="G19" s="46">
        <f t="shared" si="0"/>
        <v>0</v>
      </c>
      <c r="H19" s="46">
        <v>0</v>
      </c>
      <c r="I19" s="46">
        <v>0</v>
      </c>
      <c r="J19" s="46">
        <f t="shared" si="1"/>
        <v>0</v>
      </c>
      <c r="K19" s="46">
        <f t="shared" si="2"/>
        <v>0</v>
      </c>
      <c r="L19" s="46">
        <v>0</v>
      </c>
      <c r="M19" s="46">
        <f t="shared" si="3"/>
        <v>0.31999999999970896</v>
      </c>
      <c r="N19" s="46"/>
    </row>
    <row r="20" spans="1:14">
      <c r="A20" s="55">
        <v>17</v>
      </c>
      <c r="B20" s="266">
        <v>45825</v>
      </c>
      <c r="C20" s="46">
        <v>0</v>
      </c>
      <c r="D20" s="46"/>
      <c r="E20" s="46">
        <v>0</v>
      </c>
      <c r="F20" s="46">
        <v>0</v>
      </c>
      <c r="G20" s="46">
        <f t="shared" si="0"/>
        <v>0</v>
      </c>
      <c r="H20" s="46">
        <v>5</v>
      </c>
      <c r="I20" s="46">
        <v>103.22</v>
      </c>
      <c r="J20" s="46">
        <f t="shared" si="1"/>
        <v>516.1</v>
      </c>
      <c r="K20" s="46">
        <f t="shared" si="2"/>
        <v>516.1</v>
      </c>
      <c r="L20" s="46">
        <v>516.1</v>
      </c>
      <c r="M20" s="46">
        <f t="shared" si="3"/>
        <v>0.31999999999970896</v>
      </c>
      <c r="N20" s="46"/>
    </row>
    <row r="21" spans="1:14">
      <c r="A21" s="55">
        <v>18</v>
      </c>
      <c r="B21" s="266">
        <v>45826</v>
      </c>
      <c r="C21" s="46">
        <v>0</v>
      </c>
      <c r="D21" s="46"/>
      <c r="E21" s="46">
        <v>0</v>
      </c>
      <c r="F21" s="46">
        <v>0</v>
      </c>
      <c r="G21" s="46">
        <f t="shared" si="0"/>
        <v>0</v>
      </c>
      <c r="H21" s="46">
        <v>5</v>
      </c>
      <c r="I21" s="46">
        <v>103.22</v>
      </c>
      <c r="J21" s="46">
        <f t="shared" si="1"/>
        <v>516.1</v>
      </c>
      <c r="K21" s="46">
        <f t="shared" si="2"/>
        <v>516.1</v>
      </c>
      <c r="L21" s="46">
        <v>516.1</v>
      </c>
      <c r="M21" s="46">
        <f t="shared" si="3"/>
        <v>0.31999999999970896</v>
      </c>
      <c r="N21" s="46"/>
    </row>
    <row r="22" spans="1:14">
      <c r="A22" s="55">
        <v>19</v>
      </c>
      <c r="B22" s="266">
        <v>45827</v>
      </c>
      <c r="C22" s="46">
        <v>0</v>
      </c>
      <c r="D22" s="46"/>
      <c r="E22" s="46">
        <v>50</v>
      </c>
      <c r="F22" s="46">
        <v>91.3</v>
      </c>
      <c r="G22" s="46">
        <f t="shared" si="0"/>
        <v>4565</v>
      </c>
      <c r="H22" s="46">
        <v>0</v>
      </c>
      <c r="I22" s="46">
        <v>0</v>
      </c>
      <c r="J22" s="46">
        <f t="shared" si="1"/>
        <v>0</v>
      </c>
      <c r="K22" s="46">
        <f t="shared" si="2"/>
        <v>4565</v>
      </c>
      <c r="L22" s="46">
        <v>4565.32</v>
      </c>
      <c r="M22" s="46">
        <f t="shared" si="3"/>
        <v>0</v>
      </c>
      <c r="N22" s="46"/>
    </row>
    <row r="23" spans="1:14">
      <c r="A23" s="55">
        <v>20</v>
      </c>
      <c r="B23" s="266">
        <v>45828</v>
      </c>
      <c r="C23" s="46">
        <v>0</v>
      </c>
      <c r="D23" s="46"/>
      <c r="E23" s="46">
        <v>0</v>
      </c>
      <c r="F23" s="46">
        <v>0</v>
      </c>
      <c r="G23" s="46">
        <f t="shared" si="0"/>
        <v>0</v>
      </c>
      <c r="H23" s="46">
        <v>0</v>
      </c>
      <c r="I23" s="46">
        <v>0</v>
      </c>
      <c r="J23" s="46">
        <f t="shared" si="1"/>
        <v>0</v>
      </c>
      <c r="K23" s="46">
        <f t="shared" si="2"/>
        <v>0</v>
      </c>
      <c r="L23" s="46">
        <v>0</v>
      </c>
      <c r="M23" s="46">
        <f t="shared" si="3"/>
        <v>0</v>
      </c>
      <c r="N23" s="46"/>
    </row>
    <row r="24" spans="1:14">
      <c r="A24" s="55">
        <v>21</v>
      </c>
      <c r="B24" s="266">
        <v>45829</v>
      </c>
      <c r="C24" s="46">
        <v>0</v>
      </c>
      <c r="D24" s="46"/>
      <c r="E24" s="46">
        <v>50</v>
      </c>
      <c r="F24" s="46">
        <v>91.3</v>
      </c>
      <c r="G24" s="46">
        <f t="shared" si="0"/>
        <v>4565</v>
      </c>
      <c r="H24" s="46">
        <v>6</v>
      </c>
      <c r="I24" s="46">
        <v>103.22</v>
      </c>
      <c r="J24" s="46">
        <f t="shared" si="1"/>
        <v>619.31999999999994</v>
      </c>
      <c r="K24" s="46">
        <f t="shared" si="2"/>
        <v>5184.32</v>
      </c>
      <c r="L24" s="46">
        <v>5184.32</v>
      </c>
      <c r="M24" s="46">
        <f t="shared" si="3"/>
        <v>0</v>
      </c>
      <c r="N24" s="46"/>
    </row>
    <row r="25" spans="1:14">
      <c r="A25" s="55">
        <v>22</v>
      </c>
      <c r="B25" s="266">
        <v>45830</v>
      </c>
      <c r="C25" s="46">
        <v>0</v>
      </c>
      <c r="D25" s="46"/>
      <c r="E25" s="46">
        <v>0</v>
      </c>
      <c r="F25" s="46">
        <v>0</v>
      </c>
      <c r="G25" s="46">
        <f t="shared" si="0"/>
        <v>0</v>
      </c>
      <c r="H25" s="46">
        <v>0</v>
      </c>
      <c r="I25" s="46">
        <v>103.22</v>
      </c>
      <c r="J25" s="46">
        <f t="shared" si="1"/>
        <v>0</v>
      </c>
      <c r="K25" s="46">
        <f t="shared" si="2"/>
        <v>0</v>
      </c>
      <c r="L25" s="46">
        <v>0</v>
      </c>
      <c r="M25" s="46">
        <f t="shared" si="3"/>
        <v>0</v>
      </c>
      <c r="N25" s="46"/>
    </row>
    <row r="26" spans="1:14">
      <c r="A26" s="55">
        <v>23</v>
      </c>
      <c r="B26" s="266">
        <v>45831</v>
      </c>
      <c r="C26" s="46">
        <v>0</v>
      </c>
      <c r="D26" s="46"/>
      <c r="E26" s="46">
        <v>0</v>
      </c>
      <c r="F26" s="46">
        <v>0</v>
      </c>
      <c r="G26" s="46">
        <f t="shared" si="0"/>
        <v>0</v>
      </c>
      <c r="H26" s="46">
        <v>0</v>
      </c>
      <c r="I26" s="46">
        <v>0</v>
      </c>
      <c r="J26" s="46">
        <f t="shared" si="1"/>
        <v>0</v>
      </c>
      <c r="K26" s="46">
        <f t="shared" si="2"/>
        <v>0</v>
      </c>
      <c r="L26" s="46">
        <v>0</v>
      </c>
      <c r="M26" s="46">
        <f t="shared" si="3"/>
        <v>0</v>
      </c>
      <c r="N26" s="46"/>
    </row>
    <row r="27" spans="1:14">
      <c r="A27" s="55">
        <v>24</v>
      </c>
      <c r="B27" s="266">
        <v>45832</v>
      </c>
      <c r="C27" s="46">
        <v>0</v>
      </c>
      <c r="D27" s="46"/>
      <c r="E27" s="46">
        <v>0</v>
      </c>
      <c r="F27" s="46">
        <v>0</v>
      </c>
      <c r="G27" s="46">
        <f t="shared" si="0"/>
        <v>0</v>
      </c>
      <c r="H27" s="46">
        <v>0</v>
      </c>
      <c r="I27" s="46">
        <v>0</v>
      </c>
      <c r="J27" s="46">
        <f t="shared" si="1"/>
        <v>0</v>
      </c>
      <c r="K27" s="46">
        <f t="shared" si="2"/>
        <v>0</v>
      </c>
      <c r="L27" s="46">
        <v>0</v>
      </c>
      <c r="M27" s="46">
        <f t="shared" si="3"/>
        <v>0</v>
      </c>
      <c r="N27" s="46"/>
    </row>
    <row r="28" spans="1:14">
      <c r="A28" s="268">
        <v>25</v>
      </c>
      <c r="B28" s="266">
        <v>45833</v>
      </c>
      <c r="C28" s="46">
        <v>0</v>
      </c>
      <c r="D28" s="46"/>
      <c r="E28" s="46">
        <v>0</v>
      </c>
      <c r="F28" s="46">
        <v>0</v>
      </c>
      <c r="G28" s="46">
        <f t="shared" si="0"/>
        <v>0</v>
      </c>
      <c r="H28" s="46">
        <v>0</v>
      </c>
      <c r="I28" s="46">
        <v>0</v>
      </c>
      <c r="J28" s="46">
        <f t="shared" si="1"/>
        <v>0</v>
      </c>
      <c r="K28" s="46">
        <f t="shared" si="2"/>
        <v>0</v>
      </c>
      <c r="L28" s="46">
        <v>0</v>
      </c>
      <c r="M28" s="46">
        <f t="shared" si="3"/>
        <v>0</v>
      </c>
      <c r="N28" s="46"/>
    </row>
    <row r="29" spans="1:14">
      <c r="A29" s="268">
        <v>26</v>
      </c>
      <c r="B29" s="266">
        <v>45834</v>
      </c>
      <c r="C29" s="46">
        <v>0</v>
      </c>
      <c r="D29" s="46"/>
      <c r="E29" s="46">
        <v>0</v>
      </c>
      <c r="F29" s="46">
        <v>0</v>
      </c>
      <c r="G29" s="46">
        <f t="shared" si="0"/>
        <v>0</v>
      </c>
      <c r="H29" s="46">
        <v>6</v>
      </c>
      <c r="I29" s="46">
        <v>103.22</v>
      </c>
      <c r="J29" s="46">
        <f t="shared" si="1"/>
        <v>619.31999999999994</v>
      </c>
      <c r="K29" s="46">
        <f t="shared" si="2"/>
        <v>619.31999999999994</v>
      </c>
      <c r="L29" s="46">
        <v>619.32000000000005</v>
      </c>
      <c r="M29" s="46">
        <f t="shared" si="3"/>
        <v>0</v>
      </c>
      <c r="N29" s="46"/>
    </row>
    <row r="30" spans="1:14">
      <c r="A30" s="268">
        <v>27</v>
      </c>
      <c r="B30" s="266">
        <v>45835</v>
      </c>
      <c r="C30" s="46">
        <v>0</v>
      </c>
      <c r="D30" s="46"/>
      <c r="E30" s="46">
        <v>70</v>
      </c>
      <c r="F30" s="46">
        <v>91.3</v>
      </c>
      <c r="G30" s="46">
        <f t="shared" si="0"/>
        <v>6391</v>
      </c>
      <c r="H30" s="46">
        <v>0</v>
      </c>
      <c r="I30" s="46">
        <v>0</v>
      </c>
      <c r="J30" s="46">
        <f t="shared" si="1"/>
        <v>0</v>
      </c>
      <c r="K30" s="46">
        <f t="shared" si="2"/>
        <v>6391</v>
      </c>
      <c r="L30" s="46">
        <v>6391</v>
      </c>
      <c r="M30" s="46">
        <f t="shared" si="3"/>
        <v>0</v>
      </c>
      <c r="N30" s="46"/>
    </row>
    <row r="31" spans="1:14">
      <c r="A31" s="268">
        <v>28</v>
      </c>
      <c r="B31" s="266">
        <v>45836</v>
      </c>
      <c r="C31" s="46">
        <v>0</v>
      </c>
      <c r="D31" s="46"/>
      <c r="E31" s="46">
        <v>30</v>
      </c>
      <c r="F31" s="46">
        <v>91.3</v>
      </c>
      <c r="G31" s="46">
        <f t="shared" si="0"/>
        <v>2739</v>
      </c>
      <c r="H31" s="46">
        <v>0</v>
      </c>
      <c r="I31" s="46">
        <v>0</v>
      </c>
      <c r="J31" s="46">
        <f t="shared" si="1"/>
        <v>0</v>
      </c>
      <c r="K31" s="46">
        <f t="shared" si="2"/>
        <v>2739</v>
      </c>
      <c r="L31" s="46">
        <v>2739</v>
      </c>
      <c r="M31" s="46">
        <f t="shared" si="3"/>
        <v>0</v>
      </c>
      <c r="N31" s="46"/>
    </row>
    <row r="32" spans="1:14">
      <c r="A32" s="269">
        <v>29</v>
      </c>
      <c r="B32" s="266">
        <v>45837</v>
      </c>
      <c r="C32" s="46">
        <v>0</v>
      </c>
      <c r="D32" s="46"/>
      <c r="E32" s="46">
        <v>0</v>
      </c>
      <c r="F32" s="46">
        <v>0</v>
      </c>
      <c r="G32" s="46">
        <f t="shared" si="0"/>
        <v>0</v>
      </c>
      <c r="H32" s="46">
        <v>0</v>
      </c>
      <c r="I32" s="46">
        <v>0</v>
      </c>
      <c r="J32" s="46">
        <f t="shared" si="1"/>
        <v>0</v>
      </c>
      <c r="K32" s="46">
        <f t="shared" si="2"/>
        <v>0</v>
      </c>
      <c r="L32" s="46">
        <v>0</v>
      </c>
      <c r="M32" s="46">
        <f t="shared" si="3"/>
        <v>0</v>
      </c>
      <c r="N32" s="46"/>
    </row>
    <row r="33" spans="1:14">
      <c r="A33" s="269">
        <v>30</v>
      </c>
      <c r="B33" s="266">
        <v>45838</v>
      </c>
      <c r="C33" s="46">
        <v>0</v>
      </c>
      <c r="D33" s="46"/>
      <c r="E33" s="46">
        <v>0</v>
      </c>
      <c r="F33" s="46">
        <v>0</v>
      </c>
      <c r="G33" s="46">
        <f t="shared" si="0"/>
        <v>0</v>
      </c>
      <c r="H33" s="46">
        <v>0</v>
      </c>
      <c r="I33" s="46">
        <v>0</v>
      </c>
      <c r="J33" s="46">
        <f t="shared" si="1"/>
        <v>0</v>
      </c>
      <c r="K33" s="46">
        <f t="shared" si="2"/>
        <v>0</v>
      </c>
      <c r="L33" s="46">
        <v>0</v>
      </c>
      <c r="M33" s="46">
        <f t="shared" si="3"/>
        <v>0</v>
      </c>
      <c r="N33" s="46"/>
    </row>
    <row r="34" spans="1:14">
      <c r="A34" s="269">
        <v>31</v>
      </c>
      <c r="B34" s="266"/>
      <c r="C34" s="46">
        <v>0</v>
      </c>
      <c r="D34" s="46"/>
      <c r="E34" s="46">
        <v>0</v>
      </c>
      <c r="F34" s="46">
        <v>0</v>
      </c>
      <c r="G34" s="46">
        <f t="shared" si="0"/>
        <v>0</v>
      </c>
      <c r="H34" s="46">
        <v>0</v>
      </c>
      <c r="I34" s="46">
        <v>0</v>
      </c>
      <c r="J34" s="46">
        <f t="shared" si="1"/>
        <v>0</v>
      </c>
      <c r="K34" s="46">
        <f t="shared" si="2"/>
        <v>0</v>
      </c>
      <c r="L34" s="46">
        <v>0</v>
      </c>
      <c r="M34" s="46">
        <f t="shared" si="3"/>
        <v>0</v>
      </c>
      <c r="N34" s="46"/>
    </row>
    <row r="35" spans="1:14">
      <c r="A35" s="206"/>
      <c r="B35" s="206"/>
      <c r="C35" s="206"/>
      <c r="D35" s="206"/>
      <c r="E35" s="206">
        <f>SUM(E4:E34)</f>
        <v>571.44000000000005</v>
      </c>
      <c r="F35" s="206"/>
      <c r="G35" s="206">
        <f>SUM(G4:G34)</f>
        <v>52172.472000000002</v>
      </c>
      <c r="H35" s="206">
        <f>SUM(H4:H34)</f>
        <v>38</v>
      </c>
      <c r="I35" s="206"/>
      <c r="J35" s="206">
        <f>SUM(J4:J34)</f>
        <v>3922.3599999999997</v>
      </c>
      <c r="K35" s="206">
        <f>SUM(K4:K34)</f>
        <v>56094.831999999995</v>
      </c>
      <c r="L35" s="206">
        <f>SUM(L4:L34)</f>
        <v>56094.832000000002</v>
      </c>
      <c r="M35" s="206"/>
      <c r="N35" s="206"/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CEE4-190C-4D69-94E4-049C8E7DD053}">
  <dimension ref="A1:N35"/>
  <sheetViews>
    <sheetView workbookViewId="0">
      <pane ySplit="2" topLeftCell="A21" activePane="bottomLeft" state="frozen"/>
      <selection pane="bottomLeft" activeCell="H43" sqref="H43"/>
    </sheetView>
  </sheetViews>
  <sheetFormatPr defaultRowHeight="15"/>
  <cols>
    <col min="1" max="1" width="5.140625" style="5" bestFit="1" customWidth="1"/>
    <col min="2" max="2" width="11.5703125" style="5" bestFit="1" customWidth="1"/>
    <col min="3" max="3" width="8" style="5" bestFit="1" customWidth="1"/>
    <col min="4" max="4" width="15.140625" style="5" customWidth="1"/>
    <col min="5" max="5" width="10.7109375" style="5" bestFit="1" customWidth="1"/>
    <col min="6" max="6" width="10.42578125" style="5" bestFit="1" customWidth="1"/>
    <col min="7" max="7" width="9.28515625" style="5" bestFit="1" customWidth="1"/>
    <col min="8" max="8" width="10.7109375" style="5" bestFit="1" customWidth="1"/>
    <col min="9" max="9" width="8" style="5" bestFit="1" customWidth="1"/>
    <col min="10" max="10" width="9.28515625" style="5" bestFit="1" customWidth="1"/>
    <col min="11" max="12" width="13.5703125" style="5" bestFit="1" customWidth="1"/>
    <col min="13" max="13" width="13.5703125" style="5" customWidth="1"/>
    <col min="14" max="14" width="19.7109375" style="5" customWidth="1"/>
    <col min="15" max="16384" width="9.140625" style="5"/>
  </cols>
  <sheetData>
    <row r="1" spans="1:14" ht="15.75" customHeight="1">
      <c r="A1" s="479" t="s">
        <v>58</v>
      </c>
      <c r="B1" s="479"/>
      <c r="C1" s="479"/>
      <c r="D1" s="479"/>
      <c r="E1" s="479"/>
      <c r="F1" s="479"/>
      <c r="G1" s="479"/>
      <c r="H1" s="479"/>
      <c r="I1" s="479"/>
      <c r="J1" s="479"/>
      <c r="K1" s="479"/>
      <c r="L1" s="479"/>
      <c r="M1" s="479"/>
      <c r="N1" s="479"/>
    </row>
    <row r="2" spans="1:14">
      <c r="A2" s="76" t="s">
        <v>102</v>
      </c>
      <c r="B2" s="76" t="s">
        <v>103</v>
      </c>
      <c r="C2" s="76" t="s">
        <v>104</v>
      </c>
      <c r="D2" s="76" t="s">
        <v>105</v>
      </c>
      <c r="E2" s="104" t="s">
        <v>106</v>
      </c>
      <c r="F2" s="104" t="s">
        <v>107</v>
      </c>
      <c r="G2" s="104" t="s">
        <v>108</v>
      </c>
      <c r="H2" s="104" t="s">
        <v>109</v>
      </c>
      <c r="I2" s="104" t="s">
        <v>107</v>
      </c>
      <c r="J2" s="104" t="s">
        <v>108</v>
      </c>
      <c r="K2" s="104" t="s">
        <v>110</v>
      </c>
      <c r="L2" s="98" t="s">
        <v>111</v>
      </c>
      <c r="M2" s="98" t="s">
        <v>149</v>
      </c>
      <c r="N2" s="76" t="s">
        <v>113</v>
      </c>
    </row>
    <row r="3" spans="1:14">
      <c r="A3" s="480" t="s">
        <v>114</v>
      </c>
      <c r="B3" s="480"/>
      <c r="C3" s="480"/>
      <c r="D3" s="480"/>
      <c r="E3" s="480"/>
      <c r="F3" s="480"/>
      <c r="G3" s="480"/>
      <c r="H3" s="480"/>
      <c r="I3" s="480"/>
      <c r="J3" s="480"/>
      <c r="K3" s="202">
        <v>0</v>
      </c>
      <c r="L3" s="115"/>
      <c r="M3" s="115">
        <f>+K3</f>
        <v>0</v>
      </c>
    </row>
    <row r="4" spans="1:14">
      <c r="A4" s="28">
        <v>1</v>
      </c>
      <c r="B4" s="29">
        <v>45809</v>
      </c>
      <c r="C4" s="6"/>
      <c r="D4" s="6"/>
      <c r="E4" s="377">
        <v>78</v>
      </c>
      <c r="F4" s="53">
        <v>91.92</v>
      </c>
      <c r="G4" s="78">
        <f>E4*F4</f>
        <v>7169.76</v>
      </c>
      <c r="H4" s="53">
        <v>0</v>
      </c>
      <c r="I4" s="53">
        <v>0</v>
      </c>
      <c r="J4" s="78">
        <f>H4*I4</f>
        <v>0</v>
      </c>
      <c r="K4" s="78">
        <f>G4+J4</f>
        <v>7169.76</v>
      </c>
      <c r="L4" s="78">
        <f>+K4</f>
        <v>7169.76</v>
      </c>
      <c r="M4" s="78">
        <f>M3+K4-L4</f>
        <v>0</v>
      </c>
      <c r="N4" s="6" t="s">
        <v>161</v>
      </c>
    </row>
    <row r="5" spans="1:14">
      <c r="A5" s="28">
        <v>2</v>
      </c>
      <c r="B5" s="29">
        <v>45810</v>
      </c>
      <c r="C5" s="6"/>
      <c r="D5" s="6"/>
      <c r="E5" s="378">
        <v>20</v>
      </c>
      <c r="F5" s="53">
        <v>91.92</v>
      </c>
      <c r="G5" s="78">
        <f t="shared" ref="G5:G34" si="0">E5*F5</f>
        <v>1838.4</v>
      </c>
      <c r="H5" s="53">
        <v>0</v>
      </c>
      <c r="I5" s="53">
        <v>0</v>
      </c>
      <c r="J5" s="78">
        <f t="shared" ref="J5:J34" si="1">H5*I5</f>
        <v>0</v>
      </c>
      <c r="K5" s="78">
        <f t="shared" ref="K5:K34" si="2">G5+J5</f>
        <v>1838.4</v>
      </c>
      <c r="L5" s="78">
        <f t="shared" ref="L5:L34" si="3">+K5</f>
        <v>1838.4</v>
      </c>
      <c r="M5" s="78">
        <f t="shared" ref="M5:M31" si="4">M4+K5-L5</f>
        <v>0</v>
      </c>
      <c r="N5" s="6"/>
    </row>
    <row r="6" spans="1:14">
      <c r="A6" s="28">
        <v>3</v>
      </c>
      <c r="B6" s="29">
        <v>45811</v>
      </c>
      <c r="C6" s="6"/>
      <c r="D6" s="6"/>
      <c r="E6" s="378">
        <v>100</v>
      </c>
      <c r="F6" s="53">
        <v>91.92</v>
      </c>
      <c r="G6" s="78">
        <f t="shared" si="0"/>
        <v>9192</v>
      </c>
      <c r="H6" s="53">
        <v>0</v>
      </c>
      <c r="I6" s="53">
        <v>0</v>
      </c>
      <c r="J6" s="78">
        <f t="shared" si="1"/>
        <v>0</v>
      </c>
      <c r="K6" s="78">
        <f t="shared" si="2"/>
        <v>9192</v>
      </c>
      <c r="L6" s="78">
        <f t="shared" si="3"/>
        <v>9192</v>
      </c>
      <c r="M6" s="78">
        <f t="shared" si="4"/>
        <v>0</v>
      </c>
      <c r="N6" s="6"/>
    </row>
    <row r="7" spans="1:14">
      <c r="A7" s="28">
        <v>4</v>
      </c>
      <c r="B7" s="29">
        <v>45812</v>
      </c>
      <c r="C7" s="6"/>
      <c r="D7" s="6"/>
      <c r="E7" s="53">
        <v>85</v>
      </c>
      <c r="F7" s="53">
        <v>91.92</v>
      </c>
      <c r="G7" s="78">
        <f t="shared" si="0"/>
        <v>7813.2</v>
      </c>
      <c r="H7" s="53">
        <v>0</v>
      </c>
      <c r="I7" s="53">
        <v>0</v>
      </c>
      <c r="J7" s="78">
        <f t="shared" si="1"/>
        <v>0</v>
      </c>
      <c r="K7" s="78">
        <f t="shared" si="2"/>
        <v>7813.2</v>
      </c>
      <c r="L7" s="78">
        <f t="shared" si="3"/>
        <v>7813.2</v>
      </c>
      <c r="M7" s="78">
        <f t="shared" si="4"/>
        <v>0</v>
      </c>
      <c r="N7" s="6"/>
    </row>
    <row r="8" spans="1:14">
      <c r="A8" s="28">
        <v>5</v>
      </c>
      <c r="B8" s="29">
        <v>45813</v>
      </c>
      <c r="C8" s="6"/>
      <c r="D8" s="6"/>
      <c r="E8" s="53">
        <v>60</v>
      </c>
      <c r="F8" s="53">
        <v>91.92</v>
      </c>
      <c r="G8" s="78">
        <f t="shared" si="0"/>
        <v>5515.2</v>
      </c>
      <c r="H8" s="53">
        <v>0</v>
      </c>
      <c r="I8" s="53">
        <v>0</v>
      </c>
      <c r="J8" s="78">
        <f t="shared" si="1"/>
        <v>0</v>
      </c>
      <c r="K8" s="78">
        <f t="shared" si="2"/>
        <v>5515.2</v>
      </c>
      <c r="L8" s="78">
        <f t="shared" si="3"/>
        <v>5515.2</v>
      </c>
      <c r="M8" s="78">
        <f t="shared" si="4"/>
        <v>0</v>
      </c>
      <c r="N8" s="6"/>
    </row>
    <row r="9" spans="1:14">
      <c r="A9" s="28">
        <v>6</v>
      </c>
      <c r="B9" s="29">
        <v>45814</v>
      </c>
      <c r="C9" s="6"/>
      <c r="D9" s="6"/>
      <c r="E9" s="53">
        <v>100</v>
      </c>
      <c r="F9" s="53">
        <v>91.92</v>
      </c>
      <c r="G9" s="78">
        <f t="shared" si="0"/>
        <v>9192</v>
      </c>
      <c r="H9" s="53">
        <v>0</v>
      </c>
      <c r="I9" s="53">
        <v>0</v>
      </c>
      <c r="J9" s="78">
        <f t="shared" si="1"/>
        <v>0</v>
      </c>
      <c r="K9" s="78">
        <f t="shared" si="2"/>
        <v>9192</v>
      </c>
      <c r="L9" s="78">
        <f t="shared" si="3"/>
        <v>9192</v>
      </c>
      <c r="M9" s="78">
        <f t="shared" si="4"/>
        <v>0</v>
      </c>
      <c r="N9" s="6"/>
    </row>
    <row r="10" spans="1:14">
      <c r="A10" s="28">
        <v>7</v>
      </c>
      <c r="B10" s="29">
        <v>45815</v>
      </c>
      <c r="C10" s="6"/>
      <c r="D10" s="6"/>
      <c r="E10" s="53">
        <v>100</v>
      </c>
      <c r="F10" s="53">
        <v>91.92</v>
      </c>
      <c r="G10" s="78">
        <f t="shared" si="0"/>
        <v>9192</v>
      </c>
      <c r="H10" s="53">
        <v>0</v>
      </c>
      <c r="I10" s="53">
        <v>0</v>
      </c>
      <c r="J10" s="78">
        <f t="shared" si="1"/>
        <v>0</v>
      </c>
      <c r="K10" s="78">
        <f t="shared" si="2"/>
        <v>9192</v>
      </c>
      <c r="L10" s="78">
        <f t="shared" si="3"/>
        <v>9192</v>
      </c>
      <c r="M10" s="78">
        <f t="shared" si="4"/>
        <v>0</v>
      </c>
      <c r="N10" s="6"/>
    </row>
    <row r="11" spans="1:14">
      <c r="A11" s="28">
        <v>8</v>
      </c>
      <c r="B11" s="29">
        <v>45816</v>
      </c>
      <c r="C11" s="6"/>
      <c r="D11" s="6"/>
      <c r="E11" s="53">
        <v>0</v>
      </c>
      <c r="F11" s="53">
        <v>0</v>
      </c>
      <c r="G11" s="78">
        <f t="shared" si="0"/>
        <v>0</v>
      </c>
      <c r="H11" s="53">
        <v>6.18</v>
      </c>
      <c r="I11" s="53">
        <v>103.89</v>
      </c>
      <c r="J11" s="78">
        <f t="shared" si="1"/>
        <v>642.04020000000003</v>
      </c>
      <c r="K11" s="78">
        <f t="shared" si="2"/>
        <v>642.04020000000003</v>
      </c>
      <c r="L11" s="78">
        <f t="shared" si="3"/>
        <v>642.04020000000003</v>
      </c>
      <c r="M11" s="78">
        <f t="shared" si="4"/>
        <v>0</v>
      </c>
      <c r="N11" s="6"/>
    </row>
    <row r="12" spans="1:14">
      <c r="A12" s="28">
        <v>9</v>
      </c>
      <c r="B12" s="29">
        <v>45817</v>
      </c>
      <c r="C12" s="6"/>
      <c r="D12" s="6"/>
      <c r="E12" s="53">
        <v>0</v>
      </c>
      <c r="F12" s="53">
        <v>0</v>
      </c>
      <c r="G12" s="78">
        <f t="shared" si="0"/>
        <v>0</v>
      </c>
      <c r="H12" s="53">
        <v>0</v>
      </c>
      <c r="I12" s="53">
        <v>0</v>
      </c>
      <c r="J12" s="78">
        <f t="shared" si="1"/>
        <v>0</v>
      </c>
      <c r="K12" s="78">
        <f t="shared" si="2"/>
        <v>0</v>
      </c>
      <c r="L12" s="78">
        <f t="shared" si="3"/>
        <v>0</v>
      </c>
      <c r="M12" s="78">
        <f t="shared" si="4"/>
        <v>0</v>
      </c>
      <c r="N12" s="6"/>
    </row>
    <row r="13" spans="1:14">
      <c r="A13" s="28">
        <v>10</v>
      </c>
      <c r="B13" s="29">
        <v>45818</v>
      </c>
      <c r="C13" s="6"/>
      <c r="D13" s="6"/>
      <c r="E13" s="53">
        <v>90</v>
      </c>
      <c r="F13" s="53">
        <v>91.92</v>
      </c>
      <c r="G13" s="78">
        <f t="shared" si="0"/>
        <v>8272.7999999999993</v>
      </c>
      <c r="H13" s="53">
        <v>1.44</v>
      </c>
      <c r="I13" s="53">
        <v>103.89</v>
      </c>
      <c r="J13" s="78">
        <f t="shared" si="1"/>
        <v>149.60159999999999</v>
      </c>
      <c r="K13" s="78">
        <f t="shared" si="2"/>
        <v>8422.4015999999992</v>
      </c>
      <c r="L13" s="78">
        <f t="shared" si="3"/>
        <v>8422.4015999999992</v>
      </c>
      <c r="M13" s="78">
        <f t="shared" si="4"/>
        <v>0</v>
      </c>
      <c r="N13" s="6"/>
    </row>
    <row r="14" spans="1:14">
      <c r="A14" s="28">
        <v>11</v>
      </c>
      <c r="B14" s="29">
        <v>45819</v>
      </c>
      <c r="C14" s="6"/>
      <c r="D14" s="6"/>
      <c r="E14" s="53">
        <v>36.130000000000003</v>
      </c>
      <c r="F14" s="53">
        <v>91.92</v>
      </c>
      <c r="G14" s="78">
        <f t="shared" si="0"/>
        <v>3321.0696000000003</v>
      </c>
      <c r="H14" s="53">
        <v>1.88</v>
      </c>
      <c r="I14" s="53">
        <v>103.89</v>
      </c>
      <c r="J14" s="78">
        <f t="shared" si="1"/>
        <v>195.31319999999999</v>
      </c>
      <c r="K14" s="78">
        <f t="shared" si="2"/>
        <v>3516.3828000000003</v>
      </c>
      <c r="L14" s="78">
        <f t="shared" si="3"/>
        <v>3516.3828000000003</v>
      </c>
      <c r="M14" s="78">
        <f t="shared" si="4"/>
        <v>0</v>
      </c>
      <c r="N14" s="6"/>
    </row>
    <row r="15" spans="1:14">
      <c r="A15" s="28">
        <v>12</v>
      </c>
      <c r="B15" s="29">
        <v>45820</v>
      </c>
      <c r="C15" s="6"/>
      <c r="D15" s="6"/>
      <c r="E15" s="53">
        <v>75</v>
      </c>
      <c r="F15" s="53">
        <v>91.92</v>
      </c>
      <c r="G15" s="78">
        <f t="shared" si="0"/>
        <v>6894</v>
      </c>
      <c r="H15" s="53">
        <v>0</v>
      </c>
      <c r="I15" s="53">
        <v>0</v>
      </c>
      <c r="J15" s="78">
        <f t="shared" si="1"/>
        <v>0</v>
      </c>
      <c r="K15" s="78">
        <f t="shared" si="2"/>
        <v>6894</v>
      </c>
      <c r="L15" s="78">
        <f t="shared" si="3"/>
        <v>6894</v>
      </c>
      <c r="M15" s="78">
        <f t="shared" si="4"/>
        <v>0</v>
      </c>
      <c r="N15" s="6"/>
    </row>
    <row r="16" spans="1:14">
      <c r="A16" s="28">
        <v>13</v>
      </c>
      <c r="B16" s="29">
        <v>45821</v>
      </c>
      <c r="C16" s="6"/>
      <c r="D16" s="6"/>
      <c r="E16" s="53">
        <v>0</v>
      </c>
      <c r="F16" s="53">
        <v>0</v>
      </c>
      <c r="G16" s="78">
        <f t="shared" si="0"/>
        <v>0</v>
      </c>
      <c r="H16" s="53">
        <v>12.22</v>
      </c>
      <c r="I16" s="53">
        <v>103.89</v>
      </c>
      <c r="J16" s="78">
        <f t="shared" si="1"/>
        <v>1269.5358000000001</v>
      </c>
      <c r="K16" s="78">
        <f t="shared" si="2"/>
        <v>1269.5358000000001</v>
      </c>
      <c r="L16" s="78">
        <f t="shared" si="3"/>
        <v>1269.5358000000001</v>
      </c>
      <c r="M16" s="78">
        <f t="shared" si="4"/>
        <v>0</v>
      </c>
      <c r="N16" s="6"/>
    </row>
    <row r="17" spans="1:14">
      <c r="A17" s="28">
        <v>14</v>
      </c>
      <c r="B17" s="29">
        <v>45822</v>
      </c>
      <c r="C17" s="201"/>
      <c r="D17" s="6"/>
      <c r="E17" s="53">
        <v>0</v>
      </c>
      <c r="F17" s="53">
        <v>91.92</v>
      </c>
      <c r="G17" s="78">
        <f t="shared" si="0"/>
        <v>0</v>
      </c>
      <c r="H17" s="53">
        <v>10</v>
      </c>
      <c r="I17" s="53">
        <v>103.89</v>
      </c>
      <c r="J17" s="78">
        <f t="shared" si="1"/>
        <v>1038.9000000000001</v>
      </c>
      <c r="K17" s="78">
        <f t="shared" si="2"/>
        <v>1038.9000000000001</v>
      </c>
      <c r="L17" s="78">
        <f t="shared" si="3"/>
        <v>1038.9000000000001</v>
      </c>
      <c r="M17" s="78">
        <f t="shared" si="4"/>
        <v>0</v>
      </c>
      <c r="N17" s="6"/>
    </row>
    <row r="18" spans="1:14">
      <c r="A18" s="28">
        <v>15</v>
      </c>
      <c r="B18" s="29">
        <v>45823</v>
      </c>
      <c r="C18" s="201"/>
      <c r="D18" s="6"/>
      <c r="E18" s="53">
        <v>0</v>
      </c>
      <c r="F18" s="53">
        <v>0</v>
      </c>
      <c r="G18" s="78">
        <f t="shared" si="0"/>
        <v>0</v>
      </c>
      <c r="H18" s="53">
        <v>0</v>
      </c>
      <c r="I18" s="53">
        <v>0</v>
      </c>
      <c r="J18" s="78">
        <f t="shared" si="1"/>
        <v>0</v>
      </c>
      <c r="K18" s="78">
        <f t="shared" si="2"/>
        <v>0</v>
      </c>
      <c r="L18" s="78">
        <f t="shared" si="3"/>
        <v>0</v>
      </c>
      <c r="M18" s="78">
        <f t="shared" si="4"/>
        <v>0</v>
      </c>
      <c r="N18" s="6"/>
    </row>
    <row r="19" spans="1:14">
      <c r="A19" s="28">
        <v>16</v>
      </c>
      <c r="B19" s="29">
        <v>45824</v>
      </c>
      <c r="C19" s="201"/>
      <c r="D19" s="6"/>
      <c r="E19" s="53">
        <v>30</v>
      </c>
      <c r="F19" s="53">
        <v>91.92</v>
      </c>
      <c r="G19" s="78">
        <f t="shared" si="0"/>
        <v>2757.6</v>
      </c>
      <c r="H19" s="53">
        <v>0</v>
      </c>
      <c r="I19" s="53">
        <v>0</v>
      </c>
      <c r="J19" s="78">
        <f t="shared" si="1"/>
        <v>0</v>
      </c>
      <c r="K19" s="78">
        <f t="shared" si="2"/>
        <v>2757.6</v>
      </c>
      <c r="L19" s="78">
        <f t="shared" si="3"/>
        <v>2757.6</v>
      </c>
      <c r="M19" s="78">
        <f t="shared" si="4"/>
        <v>0</v>
      </c>
      <c r="N19" s="6"/>
    </row>
    <row r="20" spans="1:14">
      <c r="A20" s="28">
        <v>17</v>
      </c>
      <c r="B20" s="29">
        <v>45825</v>
      </c>
      <c r="C20" s="201"/>
      <c r="D20" s="6"/>
      <c r="E20" s="53">
        <v>21.81</v>
      </c>
      <c r="F20" s="53">
        <v>91.92</v>
      </c>
      <c r="G20" s="78">
        <f t="shared" si="0"/>
        <v>2004.7751999999998</v>
      </c>
      <c r="H20" s="53">
        <v>0</v>
      </c>
      <c r="I20" s="53">
        <v>0</v>
      </c>
      <c r="J20" s="78">
        <f t="shared" si="1"/>
        <v>0</v>
      </c>
      <c r="K20" s="78">
        <f t="shared" si="2"/>
        <v>2004.7751999999998</v>
      </c>
      <c r="L20" s="78">
        <f t="shared" si="3"/>
        <v>2004.7751999999998</v>
      </c>
      <c r="M20" s="78">
        <f t="shared" si="4"/>
        <v>0</v>
      </c>
      <c r="N20" s="6"/>
    </row>
    <row r="21" spans="1:14">
      <c r="A21" s="28">
        <v>18</v>
      </c>
      <c r="B21" s="29">
        <v>45826</v>
      </c>
      <c r="C21" s="201"/>
      <c r="D21" s="6"/>
      <c r="E21" s="53">
        <v>0</v>
      </c>
      <c r="F21" s="53">
        <v>0</v>
      </c>
      <c r="G21" s="78">
        <f t="shared" si="0"/>
        <v>0</v>
      </c>
      <c r="H21" s="53">
        <v>0</v>
      </c>
      <c r="I21" s="53">
        <v>0</v>
      </c>
      <c r="J21" s="78">
        <f t="shared" si="1"/>
        <v>0</v>
      </c>
      <c r="K21" s="78">
        <f t="shared" si="2"/>
        <v>0</v>
      </c>
      <c r="L21" s="78">
        <f t="shared" si="3"/>
        <v>0</v>
      </c>
      <c r="M21" s="78">
        <f t="shared" si="4"/>
        <v>0</v>
      </c>
      <c r="N21" s="6"/>
    </row>
    <row r="22" spans="1:14">
      <c r="A22" s="28">
        <v>19</v>
      </c>
      <c r="B22" s="29">
        <v>45827</v>
      </c>
      <c r="C22" s="201"/>
      <c r="D22" s="6"/>
      <c r="E22" s="53">
        <v>60</v>
      </c>
      <c r="F22" s="53">
        <v>91.92</v>
      </c>
      <c r="G22" s="78">
        <f t="shared" si="0"/>
        <v>5515.2</v>
      </c>
      <c r="H22" s="53">
        <v>18.170000000000002</v>
      </c>
      <c r="I22" s="53">
        <v>103.96</v>
      </c>
      <c r="J22" s="78">
        <f t="shared" si="1"/>
        <v>1888.9532000000002</v>
      </c>
      <c r="K22" s="78">
        <f t="shared" si="2"/>
        <v>7404.1531999999997</v>
      </c>
      <c r="L22" s="78">
        <f t="shared" si="3"/>
        <v>7404.1531999999997</v>
      </c>
      <c r="M22" s="78">
        <f t="shared" si="4"/>
        <v>0</v>
      </c>
      <c r="N22" s="6"/>
    </row>
    <row r="23" spans="1:14">
      <c r="A23" s="28">
        <v>20</v>
      </c>
      <c r="B23" s="29">
        <v>45828</v>
      </c>
      <c r="C23" s="201"/>
      <c r="D23" s="6"/>
      <c r="E23" s="53">
        <v>30</v>
      </c>
      <c r="F23" s="53">
        <v>91.92</v>
      </c>
      <c r="G23" s="78">
        <f t="shared" si="0"/>
        <v>2757.6</v>
      </c>
      <c r="H23" s="53">
        <v>10</v>
      </c>
      <c r="I23" s="53">
        <v>103.96</v>
      </c>
      <c r="J23" s="78">
        <f t="shared" si="1"/>
        <v>1039.5999999999999</v>
      </c>
      <c r="K23" s="78">
        <f t="shared" si="2"/>
        <v>3797.2</v>
      </c>
      <c r="L23" s="78">
        <f t="shared" si="3"/>
        <v>3797.2</v>
      </c>
      <c r="M23" s="78">
        <f t="shared" si="4"/>
        <v>0</v>
      </c>
      <c r="N23" s="6"/>
    </row>
    <row r="24" spans="1:14">
      <c r="A24" s="28">
        <v>21</v>
      </c>
      <c r="B24" s="29">
        <v>45829</v>
      </c>
      <c r="C24" s="201"/>
      <c r="D24" s="6"/>
      <c r="E24" s="53">
        <v>59.81</v>
      </c>
      <c r="F24" s="53">
        <v>91.92</v>
      </c>
      <c r="G24" s="78">
        <f t="shared" si="0"/>
        <v>5497.7352000000001</v>
      </c>
      <c r="H24" s="53">
        <v>0</v>
      </c>
      <c r="I24" s="53">
        <v>0</v>
      </c>
      <c r="J24" s="78">
        <f t="shared" si="1"/>
        <v>0</v>
      </c>
      <c r="K24" s="78">
        <f t="shared" si="2"/>
        <v>5497.7352000000001</v>
      </c>
      <c r="L24" s="78">
        <f t="shared" si="3"/>
        <v>5497.7352000000001</v>
      </c>
      <c r="M24" s="78">
        <f t="shared" si="4"/>
        <v>0</v>
      </c>
      <c r="N24" s="6"/>
    </row>
    <row r="25" spans="1:14">
      <c r="A25" s="28">
        <v>22</v>
      </c>
      <c r="B25" s="29">
        <v>45830</v>
      </c>
      <c r="C25" s="201"/>
      <c r="D25" s="6"/>
      <c r="E25" s="53">
        <v>30</v>
      </c>
      <c r="F25" s="53">
        <v>91.92</v>
      </c>
      <c r="G25" s="78">
        <f t="shared" si="0"/>
        <v>2757.6</v>
      </c>
      <c r="H25" s="53">
        <v>0</v>
      </c>
      <c r="I25" s="53">
        <v>0</v>
      </c>
      <c r="J25" s="78">
        <f t="shared" si="1"/>
        <v>0</v>
      </c>
      <c r="K25" s="78">
        <f t="shared" si="2"/>
        <v>2757.6</v>
      </c>
      <c r="L25" s="78">
        <f t="shared" si="3"/>
        <v>2757.6</v>
      </c>
      <c r="M25" s="78">
        <f t="shared" si="4"/>
        <v>0</v>
      </c>
      <c r="N25" s="6"/>
    </row>
    <row r="26" spans="1:14">
      <c r="A26" s="28">
        <v>23</v>
      </c>
      <c r="B26" s="29">
        <v>45831</v>
      </c>
      <c r="C26" s="201"/>
      <c r="D26" s="6"/>
      <c r="E26" s="53">
        <v>20</v>
      </c>
      <c r="F26" s="53">
        <v>91.92</v>
      </c>
      <c r="G26" s="78">
        <f t="shared" si="0"/>
        <v>1838.4</v>
      </c>
      <c r="H26" s="53">
        <v>0</v>
      </c>
      <c r="I26" s="53">
        <v>0</v>
      </c>
      <c r="J26" s="78">
        <f t="shared" si="1"/>
        <v>0</v>
      </c>
      <c r="K26" s="78">
        <f t="shared" si="2"/>
        <v>1838.4</v>
      </c>
      <c r="L26" s="78">
        <f t="shared" si="3"/>
        <v>1838.4</v>
      </c>
      <c r="M26" s="78">
        <f t="shared" si="4"/>
        <v>0</v>
      </c>
      <c r="N26" s="6"/>
    </row>
    <row r="27" spans="1:14">
      <c r="A27" s="28">
        <v>24</v>
      </c>
      <c r="B27" s="29">
        <v>45832</v>
      </c>
      <c r="C27" s="201"/>
      <c r="D27" s="6"/>
      <c r="E27" s="53">
        <v>0</v>
      </c>
      <c r="F27" s="53">
        <v>0</v>
      </c>
      <c r="G27" s="78">
        <f t="shared" si="0"/>
        <v>0</v>
      </c>
      <c r="H27" s="53">
        <v>0</v>
      </c>
      <c r="I27" s="53">
        <v>0</v>
      </c>
      <c r="J27" s="78">
        <f t="shared" si="1"/>
        <v>0</v>
      </c>
      <c r="K27" s="78">
        <f t="shared" si="2"/>
        <v>0</v>
      </c>
      <c r="L27" s="78">
        <f t="shared" si="3"/>
        <v>0</v>
      </c>
      <c r="M27" s="78">
        <f t="shared" si="4"/>
        <v>0</v>
      </c>
      <c r="N27" s="6"/>
    </row>
    <row r="28" spans="1:14">
      <c r="A28" s="28">
        <v>25</v>
      </c>
      <c r="B28" s="29">
        <v>45833</v>
      </c>
      <c r="C28" s="201"/>
      <c r="D28" s="6"/>
      <c r="E28" s="53">
        <v>30</v>
      </c>
      <c r="F28" s="53">
        <v>91.92</v>
      </c>
      <c r="G28" s="78">
        <f t="shared" si="0"/>
        <v>2757.6</v>
      </c>
      <c r="H28" s="53">
        <v>6</v>
      </c>
      <c r="I28" s="53">
        <v>103.96</v>
      </c>
      <c r="J28" s="78">
        <f t="shared" si="1"/>
        <v>623.76</v>
      </c>
      <c r="K28" s="78">
        <f t="shared" si="2"/>
        <v>3381.3599999999997</v>
      </c>
      <c r="L28" s="78">
        <f t="shared" si="3"/>
        <v>3381.3599999999997</v>
      </c>
      <c r="M28" s="78">
        <f t="shared" si="4"/>
        <v>0</v>
      </c>
      <c r="N28" s="6"/>
    </row>
    <row r="29" spans="1:14">
      <c r="A29" s="28">
        <v>26</v>
      </c>
      <c r="B29" s="29">
        <v>45834</v>
      </c>
      <c r="C29" s="201"/>
      <c r="D29" s="6"/>
      <c r="E29" s="53">
        <v>15</v>
      </c>
      <c r="F29" s="53">
        <v>91.92</v>
      </c>
      <c r="G29" s="78">
        <f t="shared" si="0"/>
        <v>1378.8</v>
      </c>
      <c r="H29" s="53">
        <v>10</v>
      </c>
      <c r="I29" s="53">
        <v>103.96</v>
      </c>
      <c r="J29" s="78">
        <f t="shared" si="1"/>
        <v>1039.5999999999999</v>
      </c>
      <c r="K29" s="78">
        <f t="shared" si="2"/>
        <v>2418.3999999999996</v>
      </c>
      <c r="L29" s="78">
        <f t="shared" si="3"/>
        <v>2418.3999999999996</v>
      </c>
      <c r="M29" s="78">
        <f t="shared" si="4"/>
        <v>0</v>
      </c>
      <c r="N29" s="6"/>
    </row>
    <row r="30" spans="1:14">
      <c r="A30" s="28">
        <v>27</v>
      </c>
      <c r="B30" s="29">
        <v>45835</v>
      </c>
      <c r="C30" s="201"/>
      <c r="D30" s="6"/>
      <c r="E30" s="53">
        <v>40</v>
      </c>
      <c r="F30" s="53">
        <v>91.92</v>
      </c>
      <c r="G30" s="78">
        <f t="shared" si="0"/>
        <v>3676.8</v>
      </c>
      <c r="H30" s="53">
        <v>10</v>
      </c>
      <c r="I30" s="53">
        <v>103.96</v>
      </c>
      <c r="J30" s="78">
        <f t="shared" si="1"/>
        <v>1039.5999999999999</v>
      </c>
      <c r="K30" s="78">
        <f t="shared" si="2"/>
        <v>4716.3999999999996</v>
      </c>
      <c r="L30" s="78">
        <f t="shared" si="3"/>
        <v>4716.3999999999996</v>
      </c>
      <c r="M30" s="78">
        <f t="shared" si="4"/>
        <v>0</v>
      </c>
      <c r="N30" s="6"/>
    </row>
    <row r="31" spans="1:14">
      <c r="A31" s="263">
        <v>28</v>
      </c>
      <c r="B31" s="29">
        <v>45836</v>
      </c>
      <c r="C31" s="201"/>
      <c r="D31" s="6"/>
      <c r="E31" s="53">
        <v>40</v>
      </c>
      <c r="F31" s="53">
        <v>91.92</v>
      </c>
      <c r="G31" s="78">
        <f t="shared" si="0"/>
        <v>3676.8</v>
      </c>
      <c r="H31" s="53">
        <v>0</v>
      </c>
      <c r="I31" s="53">
        <v>0</v>
      </c>
      <c r="J31" s="78">
        <f t="shared" si="1"/>
        <v>0</v>
      </c>
      <c r="K31" s="78">
        <f t="shared" si="2"/>
        <v>3676.8</v>
      </c>
      <c r="L31" s="78">
        <f t="shared" si="3"/>
        <v>3676.8</v>
      </c>
      <c r="M31" s="78">
        <f t="shared" si="4"/>
        <v>0</v>
      </c>
      <c r="N31" s="6"/>
    </row>
    <row r="32" spans="1:14">
      <c r="A32" s="28">
        <v>29</v>
      </c>
      <c r="B32" s="29">
        <v>45837</v>
      </c>
      <c r="C32" s="201"/>
      <c r="D32" s="6"/>
      <c r="E32" s="53">
        <v>40</v>
      </c>
      <c r="F32" s="53">
        <v>91.92</v>
      </c>
      <c r="G32" s="78">
        <f t="shared" si="0"/>
        <v>3676.8</v>
      </c>
      <c r="H32" s="53">
        <v>0</v>
      </c>
      <c r="I32" s="53">
        <v>0</v>
      </c>
      <c r="J32" s="78">
        <f t="shared" si="1"/>
        <v>0</v>
      </c>
      <c r="K32" s="78">
        <f t="shared" si="2"/>
        <v>3676.8</v>
      </c>
      <c r="L32" s="78">
        <f t="shared" si="3"/>
        <v>3676.8</v>
      </c>
      <c r="M32" s="78">
        <f t="shared" ref="M32:M34" si="5">M31+K32-L32</f>
        <v>0</v>
      </c>
      <c r="N32" s="6"/>
    </row>
    <row r="33" spans="1:14">
      <c r="A33" s="28">
        <v>30</v>
      </c>
      <c r="B33" s="29">
        <v>45838</v>
      </c>
      <c r="C33" s="201"/>
      <c r="D33" s="6"/>
      <c r="E33" s="53">
        <v>75</v>
      </c>
      <c r="F33" s="53">
        <v>91.92</v>
      </c>
      <c r="G33" s="78">
        <f t="shared" si="0"/>
        <v>6894</v>
      </c>
      <c r="H33" s="53">
        <v>5.83</v>
      </c>
      <c r="I33" s="53">
        <v>103.96</v>
      </c>
      <c r="J33" s="78">
        <f t="shared" si="1"/>
        <v>606.08679999999993</v>
      </c>
      <c r="K33" s="78">
        <f t="shared" si="2"/>
        <v>7500.0868</v>
      </c>
      <c r="L33" s="78">
        <f t="shared" si="3"/>
        <v>7500.0868</v>
      </c>
      <c r="M33" s="78">
        <f t="shared" si="5"/>
        <v>0</v>
      </c>
      <c r="N33" s="6"/>
    </row>
    <row r="34" spans="1:14">
      <c r="A34" s="28">
        <v>31</v>
      </c>
      <c r="B34" s="29">
        <v>45839</v>
      </c>
      <c r="C34" s="201"/>
      <c r="D34" s="6"/>
      <c r="E34" s="53">
        <v>0</v>
      </c>
      <c r="F34" s="53">
        <v>0</v>
      </c>
      <c r="G34" s="78">
        <f t="shared" si="0"/>
        <v>0</v>
      </c>
      <c r="H34" s="53">
        <v>0</v>
      </c>
      <c r="I34" s="53">
        <v>0</v>
      </c>
      <c r="J34" s="78">
        <f t="shared" si="1"/>
        <v>0</v>
      </c>
      <c r="K34" s="78">
        <f t="shared" si="2"/>
        <v>0</v>
      </c>
      <c r="L34" s="78">
        <f t="shared" si="3"/>
        <v>0</v>
      </c>
      <c r="M34" s="78">
        <f t="shared" si="5"/>
        <v>0</v>
      </c>
      <c r="N34" s="6"/>
    </row>
    <row r="35" spans="1:14">
      <c r="A35" s="51"/>
      <c r="B35" s="51"/>
      <c r="C35" s="51"/>
      <c r="D35" s="51"/>
      <c r="E35" s="51">
        <f>SUM(E4:E34)</f>
        <v>1235.75</v>
      </c>
      <c r="F35" s="51"/>
      <c r="G35" s="51">
        <f>SUM(G4:G34)</f>
        <v>113590.14000000003</v>
      </c>
      <c r="H35" s="51">
        <f>SUM(H4:H34)</f>
        <v>91.72</v>
      </c>
      <c r="I35" s="51"/>
      <c r="J35" s="51">
        <f>SUM(J4:J34)</f>
        <v>9532.9907999999996</v>
      </c>
      <c r="K35" s="51">
        <f>SUM(K4:K34)</f>
        <v>123123.13079999998</v>
      </c>
      <c r="L35" s="51">
        <f>SUM(L4:L34)</f>
        <v>123123.13079999998</v>
      </c>
      <c r="M35" s="51"/>
      <c r="N35" s="51"/>
    </row>
  </sheetData>
  <mergeCells count="2">
    <mergeCell ref="A1:N1"/>
    <mergeCell ref="A3:J3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29188-699F-49A6-A921-AB82083F0E2A}">
  <dimension ref="A1:O44"/>
  <sheetViews>
    <sheetView workbookViewId="0">
      <pane ySplit="2" topLeftCell="A21" activePane="bottomLeft" state="frozen"/>
      <selection pane="bottomLeft" activeCell="K44" sqref="K44"/>
    </sheetView>
  </sheetViews>
  <sheetFormatPr defaultRowHeight="15"/>
  <cols>
    <col min="1" max="1" width="5.140625" style="90" bestFit="1" customWidth="1"/>
    <col min="2" max="2" width="10.85546875" style="90" bestFit="1" customWidth="1"/>
    <col min="3" max="3" width="16" style="90" bestFit="1" customWidth="1"/>
    <col min="4" max="4" width="13.28515625" style="90" bestFit="1" customWidth="1"/>
    <col min="5" max="6" width="10.7109375" style="90" bestFit="1" customWidth="1"/>
    <col min="7" max="7" width="11.5703125" style="90" bestFit="1" customWidth="1"/>
    <col min="8" max="8" width="10.7109375" style="90" bestFit="1" customWidth="1"/>
    <col min="9" max="9" width="7.140625" style="90" bestFit="1" customWidth="1"/>
    <col min="10" max="10" width="9.7109375" style="90" bestFit="1" customWidth="1"/>
    <col min="11" max="11" width="13.5703125" style="90" bestFit="1" customWidth="1"/>
    <col min="12" max="12" width="13.5703125" style="334" bestFit="1" customWidth="1"/>
    <col min="13" max="13" width="15" style="90" customWidth="1"/>
    <col min="14" max="14" width="14.28515625" style="90" bestFit="1" customWidth="1"/>
    <col min="15" max="16384" width="9.140625" style="90"/>
  </cols>
  <sheetData>
    <row r="1" spans="1:15" ht="15.75">
      <c r="A1" s="464" t="s">
        <v>52</v>
      </c>
      <c r="B1" s="464"/>
      <c r="C1" s="464"/>
      <c r="D1" s="464"/>
      <c r="E1" s="464"/>
      <c r="F1" s="464"/>
      <c r="G1" s="464"/>
      <c r="H1" s="464"/>
      <c r="I1" s="464"/>
      <c r="J1" s="464"/>
      <c r="K1" s="464"/>
      <c r="L1" s="464"/>
      <c r="M1" s="464"/>
      <c r="N1" s="464"/>
      <c r="O1" s="65"/>
    </row>
    <row r="2" spans="1:15">
      <c r="A2" s="111" t="s">
        <v>102</v>
      </c>
      <c r="B2" s="112" t="s">
        <v>103</v>
      </c>
      <c r="C2" s="112" t="s">
        <v>104</v>
      </c>
      <c r="D2" s="112" t="s">
        <v>150</v>
      </c>
      <c r="E2" s="112" t="s">
        <v>106</v>
      </c>
      <c r="F2" s="112" t="s">
        <v>107</v>
      </c>
      <c r="G2" s="112" t="s">
        <v>108</v>
      </c>
      <c r="H2" s="112" t="s">
        <v>109</v>
      </c>
      <c r="I2" s="112" t="s">
        <v>107</v>
      </c>
      <c r="J2" s="153" t="s">
        <v>108</v>
      </c>
      <c r="K2" s="113" t="s">
        <v>110</v>
      </c>
      <c r="L2" s="281" t="s">
        <v>111</v>
      </c>
      <c r="M2" s="159" t="s">
        <v>149</v>
      </c>
      <c r="N2" s="114" t="s">
        <v>113</v>
      </c>
      <c r="O2" s="71"/>
    </row>
    <row r="3" spans="1:15">
      <c r="A3" s="482" t="s">
        <v>114</v>
      </c>
      <c r="B3" s="483"/>
      <c r="C3" s="483"/>
      <c r="D3" s="483"/>
      <c r="E3" s="483"/>
      <c r="F3" s="483"/>
      <c r="G3" s="483"/>
      <c r="H3" s="483"/>
      <c r="I3" s="483"/>
      <c r="J3" s="484"/>
      <c r="K3" s="246">
        <v>22826.330199999971</v>
      </c>
      <c r="L3" s="246"/>
      <c r="M3" s="169">
        <f>+K3</f>
        <v>22826.330199999971</v>
      </c>
      <c r="N3" s="177"/>
      <c r="O3" s="8"/>
    </row>
    <row r="4" spans="1:15">
      <c r="A4" s="28">
        <v>1</v>
      </c>
      <c r="B4" s="29">
        <v>45809</v>
      </c>
      <c r="C4" s="27"/>
      <c r="D4" s="20"/>
      <c r="E4" s="56">
        <v>0</v>
      </c>
      <c r="F4" s="56">
        <v>0</v>
      </c>
      <c r="G4" s="8">
        <f>E4*F4</f>
        <v>0</v>
      </c>
      <c r="H4" s="56">
        <v>0</v>
      </c>
      <c r="I4" s="56">
        <v>0</v>
      </c>
      <c r="J4" s="8">
        <f>H4*I4</f>
        <v>0</v>
      </c>
      <c r="K4" s="8">
        <f>G4+J4</f>
        <v>0</v>
      </c>
      <c r="L4" s="332"/>
      <c r="M4" s="8">
        <f>M3+K4-L4</f>
        <v>22826.330199999971</v>
      </c>
      <c r="N4" s="8"/>
      <c r="O4" s="71"/>
    </row>
    <row r="5" spans="1:15">
      <c r="A5" s="28">
        <v>2</v>
      </c>
      <c r="B5" s="29">
        <v>45810</v>
      </c>
      <c r="C5" s="27"/>
      <c r="D5" s="20"/>
      <c r="E5" s="56">
        <v>0</v>
      </c>
      <c r="F5" s="56">
        <v>0</v>
      </c>
      <c r="G5" s="8">
        <f t="shared" ref="G5:G34" si="0">E5*F5</f>
        <v>0</v>
      </c>
      <c r="H5" s="56">
        <v>0</v>
      </c>
      <c r="I5" s="56">
        <v>0</v>
      </c>
      <c r="J5" s="8">
        <f t="shared" ref="J5:J34" si="1">H5*I5</f>
        <v>0</v>
      </c>
      <c r="K5" s="8">
        <f t="shared" ref="K5:K34" si="2">G5+J5</f>
        <v>0</v>
      </c>
      <c r="L5" s="332"/>
      <c r="M5" s="8">
        <f t="shared" ref="M5:M16" si="3">M4+K5-L5</f>
        <v>22826.330199999971</v>
      </c>
      <c r="N5" s="8"/>
      <c r="O5" s="71"/>
    </row>
    <row r="6" spans="1:15">
      <c r="A6" s="28">
        <v>3</v>
      </c>
      <c r="B6" s="29">
        <v>45811</v>
      </c>
      <c r="C6" s="27"/>
      <c r="D6" s="20"/>
      <c r="E6" s="56">
        <v>30</v>
      </c>
      <c r="F6" s="56">
        <v>91.77</v>
      </c>
      <c r="G6" s="8">
        <f t="shared" si="0"/>
        <v>2753.1</v>
      </c>
      <c r="H6" s="56">
        <v>10</v>
      </c>
      <c r="I6" s="56">
        <v>103.73</v>
      </c>
      <c r="J6" s="8">
        <f t="shared" si="1"/>
        <v>1037.3</v>
      </c>
      <c r="K6" s="8">
        <f t="shared" si="2"/>
        <v>3790.3999999999996</v>
      </c>
      <c r="L6" s="332"/>
      <c r="M6" s="8">
        <f t="shared" si="3"/>
        <v>26616.730199999969</v>
      </c>
      <c r="N6" s="8"/>
      <c r="O6" s="71"/>
    </row>
    <row r="7" spans="1:15">
      <c r="A7" s="28">
        <v>4</v>
      </c>
      <c r="B7" s="29">
        <v>45812</v>
      </c>
      <c r="C7" s="27"/>
      <c r="D7" s="20"/>
      <c r="E7" s="56">
        <v>32</v>
      </c>
      <c r="F7" s="56">
        <v>91.77</v>
      </c>
      <c r="G7" s="8">
        <f t="shared" si="0"/>
        <v>2936.64</v>
      </c>
      <c r="H7" s="56">
        <v>0</v>
      </c>
      <c r="I7" s="56">
        <v>0</v>
      </c>
      <c r="J7" s="8">
        <f t="shared" si="1"/>
        <v>0</v>
      </c>
      <c r="K7" s="8">
        <f t="shared" si="2"/>
        <v>2936.64</v>
      </c>
      <c r="L7" s="332"/>
      <c r="M7" s="8">
        <f t="shared" si="3"/>
        <v>29553.370199999968</v>
      </c>
      <c r="N7" s="8"/>
      <c r="O7" s="71"/>
    </row>
    <row r="8" spans="1:15">
      <c r="A8" s="28">
        <v>5</v>
      </c>
      <c r="B8" s="29">
        <v>45813</v>
      </c>
      <c r="C8" s="27"/>
      <c r="D8" s="20"/>
      <c r="E8" s="56">
        <v>0</v>
      </c>
      <c r="F8" s="56">
        <v>0</v>
      </c>
      <c r="G8" s="8">
        <f t="shared" si="0"/>
        <v>0</v>
      </c>
      <c r="H8" s="56">
        <v>0</v>
      </c>
      <c r="I8" s="56">
        <v>0</v>
      </c>
      <c r="J8" s="8">
        <f t="shared" si="1"/>
        <v>0</v>
      </c>
      <c r="K8" s="8">
        <f t="shared" si="2"/>
        <v>0</v>
      </c>
      <c r="L8" s="332"/>
      <c r="M8" s="8">
        <f t="shared" si="3"/>
        <v>29553.370199999968</v>
      </c>
      <c r="N8" s="8"/>
      <c r="O8" s="71"/>
    </row>
    <row r="9" spans="1:15">
      <c r="A9" s="28">
        <v>6</v>
      </c>
      <c r="B9" s="29">
        <v>45814</v>
      </c>
      <c r="C9" s="27"/>
      <c r="D9" s="20"/>
      <c r="E9" s="56">
        <v>0</v>
      </c>
      <c r="F9" s="56">
        <v>0</v>
      </c>
      <c r="G9" s="8">
        <f t="shared" si="0"/>
        <v>0</v>
      </c>
      <c r="H9" s="56">
        <v>0</v>
      </c>
      <c r="I9" s="56">
        <v>0</v>
      </c>
      <c r="J9" s="8">
        <f t="shared" si="1"/>
        <v>0</v>
      </c>
      <c r="K9" s="8">
        <f t="shared" si="2"/>
        <v>0</v>
      </c>
      <c r="L9" s="332"/>
      <c r="M9" s="8">
        <f t="shared" si="3"/>
        <v>29553.370199999968</v>
      </c>
      <c r="N9" s="8"/>
      <c r="O9" s="71"/>
    </row>
    <row r="10" spans="1:15">
      <c r="A10" s="28">
        <v>7</v>
      </c>
      <c r="B10" s="29">
        <v>45815</v>
      </c>
      <c r="C10" s="27"/>
      <c r="D10" s="20"/>
      <c r="E10" s="56">
        <v>30</v>
      </c>
      <c r="F10" s="56">
        <v>91.77</v>
      </c>
      <c r="G10" s="8">
        <f t="shared" si="0"/>
        <v>2753.1</v>
      </c>
      <c r="H10" s="56">
        <v>0</v>
      </c>
      <c r="I10" s="56">
        <v>103.53</v>
      </c>
      <c r="J10" s="8">
        <f t="shared" si="1"/>
        <v>0</v>
      </c>
      <c r="K10" s="8">
        <f t="shared" si="2"/>
        <v>2753.1</v>
      </c>
      <c r="L10" s="332"/>
      <c r="M10" s="8">
        <f t="shared" si="3"/>
        <v>32306.470199999967</v>
      </c>
      <c r="N10" s="8"/>
      <c r="O10" s="71"/>
    </row>
    <row r="11" spans="1:15">
      <c r="A11" s="28">
        <v>8</v>
      </c>
      <c r="B11" s="29">
        <v>45816</v>
      </c>
      <c r="C11" s="27"/>
      <c r="D11" s="20"/>
      <c r="E11" s="56">
        <v>0</v>
      </c>
      <c r="F11" s="56">
        <v>0</v>
      </c>
      <c r="G11" s="8">
        <f t="shared" si="0"/>
        <v>0</v>
      </c>
      <c r="H11" s="56">
        <v>4</v>
      </c>
      <c r="I11" s="56">
        <v>103.53</v>
      </c>
      <c r="J11" s="8">
        <f t="shared" si="1"/>
        <v>414.12</v>
      </c>
      <c r="K11" s="8">
        <f t="shared" si="2"/>
        <v>414.12</v>
      </c>
      <c r="L11" s="332"/>
      <c r="M11" s="8">
        <f t="shared" si="3"/>
        <v>32720.590199999966</v>
      </c>
      <c r="N11" s="8"/>
      <c r="O11" s="71"/>
    </row>
    <row r="12" spans="1:15">
      <c r="A12" s="28">
        <v>9</v>
      </c>
      <c r="B12" s="29">
        <v>45817</v>
      </c>
      <c r="C12" s="27"/>
      <c r="D12" s="20"/>
      <c r="E12" s="56">
        <v>20</v>
      </c>
      <c r="F12" s="56">
        <v>91.77</v>
      </c>
      <c r="G12" s="8">
        <f t="shared" si="0"/>
        <v>1835.3999999999999</v>
      </c>
      <c r="H12" s="56">
        <v>0</v>
      </c>
      <c r="I12" s="56">
        <v>0</v>
      </c>
      <c r="J12" s="8">
        <f t="shared" si="1"/>
        <v>0</v>
      </c>
      <c r="K12" s="8">
        <f t="shared" si="2"/>
        <v>1835.3999999999999</v>
      </c>
      <c r="L12" s="332"/>
      <c r="M12" s="8">
        <f t="shared" si="3"/>
        <v>34555.990199999964</v>
      </c>
      <c r="N12" s="8"/>
      <c r="O12" s="71"/>
    </row>
    <row r="13" spans="1:15">
      <c r="A13" s="28">
        <v>10</v>
      </c>
      <c r="B13" s="29">
        <v>45818</v>
      </c>
      <c r="C13" s="27"/>
      <c r="D13" s="20"/>
      <c r="E13" s="56"/>
      <c r="F13" s="56">
        <v>91.77</v>
      </c>
      <c r="G13" s="8">
        <f t="shared" si="0"/>
        <v>0</v>
      </c>
      <c r="H13" s="56">
        <v>0</v>
      </c>
      <c r="I13" s="56">
        <v>0</v>
      </c>
      <c r="J13" s="8">
        <f t="shared" si="1"/>
        <v>0</v>
      </c>
      <c r="K13" s="8">
        <f t="shared" si="2"/>
        <v>0</v>
      </c>
      <c r="L13" s="332"/>
      <c r="M13" s="8">
        <f t="shared" si="3"/>
        <v>34555.990199999964</v>
      </c>
      <c r="N13" s="21"/>
      <c r="O13" s="71"/>
    </row>
    <row r="14" spans="1:15">
      <c r="A14" s="28">
        <v>11</v>
      </c>
      <c r="B14" s="29">
        <v>45819</v>
      </c>
      <c r="C14" s="27"/>
      <c r="D14" s="20"/>
      <c r="E14" s="56">
        <v>0</v>
      </c>
      <c r="F14" s="56">
        <v>0</v>
      </c>
      <c r="G14" s="8">
        <f t="shared" si="0"/>
        <v>0</v>
      </c>
      <c r="H14" s="56">
        <v>0</v>
      </c>
      <c r="I14" s="56">
        <v>0</v>
      </c>
      <c r="J14" s="8">
        <f t="shared" si="1"/>
        <v>0</v>
      </c>
      <c r="K14" s="8">
        <f t="shared" si="2"/>
        <v>0</v>
      </c>
      <c r="L14" s="332"/>
      <c r="M14" s="8">
        <f t="shared" si="3"/>
        <v>34555.990199999964</v>
      </c>
      <c r="N14" s="21"/>
      <c r="O14" s="71"/>
    </row>
    <row r="15" spans="1:15">
      <c r="A15" s="28">
        <v>12</v>
      </c>
      <c r="B15" s="29">
        <v>45820</v>
      </c>
      <c r="C15" s="27"/>
      <c r="D15" s="20"/>
      <c r="E15" s="56">
        <v>0</v>
      </c>
      <c r="F15" s="56">
        <v>0</v>
      </c>
      <c r="G15" s="8">
        <f t="shared" si="0"/>
        <v>0</v>
      </c>
      <c r="H15" s="56">
        <v>0</v>
      </c>
      <c r="I15" s="56">
        <v>0</v>
      </c>
      <c r="J15" s="8">
        <f t="shared" si="1"/>
        <v>0</v>
      </c>
      <c r="K15" s="8">
        <f t="shared" si="2"/>
        <v>0</v>
      </c>
      <c r="L15" s="332"/>
      <c r="M15" s="8">
        <f t="shared" si="3"/>
        <v>34555.990199999964</v>
      </c>
      <c r="N15" s="21"/>
      <c r="O15" s="71"/>
    </row>
    <row r="16" spans="1:15">
      <c r="A16" s="28">
        <v>13</v>
      </c>
      <c r="B16" s="29">
        <v>45821</v>
      </c>
      <c r="C16" s="27"/>
      <c r="D16" s="20"/>
      <c r="E16" s="56">
        <v>0</v>
      </c>
      <c r="F16" s="56">
        <v>0</v>
      </c>
      <c r="G16" s="8">
        <f t="shared" si="0"/>
        <v>0</v>
      </c>
      <c r="H16" s="56">
        <v>5</v>
      </c>
      <c r="I16" s="56">
        <v>103.53</v>
      </c>
      <c r="J16" s="8">
        <f t="shared" si="1"/>
        <v>517.65</v>
      </c>
      <c r="K16" s="8">
        <f t="shared" si="2"/>
        <v>517.65</v>
      </c>
      <c r="L16" s="332"/>
      <c r="M16" s="8">
        <f>M15+K16-L16</f>
        <v>35073.640199999965</v>
      </c>
      <c r="N16" s="21"/>
      <c r="O16" s="71"/>
    </row>
    <row r="17" spans="1:15">
      <c r="A17" s="28">
        <v>14</v>
      </c>
      <c r="B17" s="29">
        <v>45822</v>
      </c>
      <c r="C17" s="27"/>
      <c r="D17" s="20"/>
      <c r="E17" s="56">
        <v>0</v>
      </c>
      <c r="F17" s="56">
        <v>0</v>
      </c>
      <c r="G17" s="8">
        <f t="shared" si="0"/>
        <v>0</v>
      </c>
      <c r="H17" s="56">
        <v>0</v>
      </c>
      <c r="I17" s="56">
        <v>0</v>
      </c>
      <c r="J17" s="8">
        <f t="shared" si="1"/>
        <v>0</v>
      </c>
      <c r="K17" s="8">
        <f t="shared" si="2"/>
        <v>0</v>
      </c>
      <c r="L17" s="332"/>
      <c r="M17" s="8">
        <f>M16+K17-L17</f>
        <v>35073.640199999965</v>
      </c>
      <c r="N17" s="21"/>
      <c r="O17" s="71"/>
    </row>
    <row r="18" spans="1:15">
      <c r="A18" s="28">
        <v>15</v>
      </c>
      <c r="B18" s="29">
        <v>45823</v>
      </c>
      <c r="C18" s="27"/>
      <c r="D18" s="20"/>
      <c r="E18" s="56">
        <v>0</v>
      </c>
      <c r="F18" s="56">
        <v>0</v>
      </c>
      <c r="G18" s="8">
        <f t="shared" si="0"/>
        <v>0</v>
      </c>
      <c r="H18" s="56">
        <v>0</v>
      </c>
      <c r="I18" s="56">
        <v>0</v>
      </c>
      <c r="J18" s="8">
        <f t="shared" si="1"/>
        <v>0</v>
      </c>
      <c r="K18" s="8">
        <f t="shared" si="2"/>
        <v>0</v>
      </c>
      <c r="L18" s="332"/>
      <c r="M18" s="8">
        <f>M17+K18-L18</f>
        <v>35073.640199999965</v>
      </c>
      <c r="N18" s="21"/>
      <c r="O18" s="71"/>
    </row>
    <row r="19" spans="1:15">
      <c r="A19" s="28">
        <v>16</v>
      </c>
      <c r="B19" s="29">
        <v>45824</v>
      </c>
      <c r="C19" s="27"/>
      <c r="D19" s="20"/>
      <c r="E19" s="56">
        <v>0</v>
      </c>
      <c r="F19" s="56">
        <v>0</v>
      </c>
      <c r="G19" s="8">
        <f t="shared" si="0"/>
        <v>0</v>
      </c>
      <c r="H19" s="56">
        <v>0</v>
      </c>
      <c r="I19" s="56">
        <v>0</v>
      </c>
      <c r="J19" s="8">
        <f t="shared" si="1"/>
        <v>0</v>
      </c>
      <c r="K19" s="8">
        <f t="shared" si="2"/>
        <v>0</v>
      </c>
      <c r="L19" s="332"/>
      <c r="M19" s="8">
        <f>M18+K19-L19</f>
        <v>35073.640199999965</v>
      </c>
      <c r="N19" s="21"/>
      <c r="O19" s="71"/>
    </row>
    <row r="20" spans="1:15">
      <c r="A20" s="28">
        <v>17</v>
      </c>
      <c r="B20" s="29">
        <v>45825</v>
      </c>
      <c r="C20" s="27"/>
      <c r="D20" s="20"/>
      <c r="E20" s="56">
        <v>47.4</v>
      </c>
      <c r="F20" s="56">
        <v>91.77</v>
      </c>
      <c r="G20" s="8">
        <f t="shared" si="0"/>
        <v>4349.8979999999992</v>
      </c>
      <c r="H20" s="56">
        <v>0</v>
      </c>
      <c r="I20" s="56">
        <v>0</v>
      </c>
      <c r="J20" s="8">
        <f t="shared" si="1"/>
        <v>0</v>
      </c>
      <c r="K20" s="8">
        <f t="shared" si="2"/>
        <v>4349.8979999999992</v>
      </c>
      <c r="L20" s="332"/>
      <c r="M20" s="8">
        <f>M19+K20-L20</f>
        <v>39423.538199999966</v>
      </c>
      <c r="N20" s="21"/>
      <c r="O20" s="71"/>
    </row>
    <row r="21" spans="1:15">
      <c r="A21" s="28">
        <v>18</v>
      </c>
      <c r="B21" s="29">
        <v>45826</v>
      </c>
      <c r="C21" s="27"/>
      <c r="D21" s="20"/>
      <c r="E21" s="56">
        <v>0</v>
      </c>
      <c r="F21" s="56">
        <v>0</v>
      </c>
      <c r="G21" s="8">
        <f t="shared" si="0"/>
        <v>0</v>
      </c>
      <c r="H21" s="56">
        <v>0</v>
      </c>
      <c r="I21" s="56">
        <v>0</v>
      </c>
      <c r="J21" s="8">
        <f t="shared" si="1"/>
        <v>0</v>
      </c>
      <c r="K21" s="8">
        <f t="shared" si="2"/>
        <v>0</v>
      </c>
      <c r="L21" s="332"/>
      <c r="M21" s="8">
        <f>M20+K21-L21</f>
        <v>39423.538199999966</v>
      </c>
      <c r="N21" s="21"/>
      <c r="O21" s="71"/>
    </row>
    <row r="22" spans="1:15">
      <c r="A22" s="28">
        <v>19</v>
      </c>
      <c r="B22" s="29">
        <v>45827</v>
      </c>
      <c r="C22" s="27"/>
      <c r="D22" s="20"/>
      <c r="E22" s="56">
        <v>0</v>
      </c>
      <c r="F22" s="56">
        <v>0</v>
      </c>
      <c r="G22" s="8">
        <f t="shared" si="0"/>
        <v>0</v>
      </c>
      <c r="H22" s="56">
        <v>0</v>
      </c>
      <c r="I22" s="56">
        <v>0</v>
      </c>
      <c r="J22" s="8">
        <f t="shared" si="1"/>
        <v>0</v>
      </c>
      <c r="K22" s="8">
        <f t="shared" si="2"/>
        <v>0</v>
      </c>
      <c r="L22" s="332"/>
      <c r="M22" s="8">
        <f>M21+K22-L22</f>
        <v>39423.538199999966</v>
      </c>
      <c r="N22" s="21"/>
      <c r="O22" s="71"/>
    </row>
    <row r="23" spans="1:15">
      <c r="A23" s="28">
        <v>20</v>
      </c>
      <c r="B23" s="29">
        <v>45828</v>
      </c>
      <c r="C23" s="27"/>
      <c r="D23" s="20"/>
      <c r="E23" s="56">
        <v>20</v>
      </c>
      <c r="F23" s="56">
        <v>91.77</v>
      </c>
      <c r="G23" s="8">
        <f t="shared" si="0"/>
        <v>1835.3999999999999</v>
      </c>
      <c r="H23" s="56">
        <v>0</v>
      </c>
      <c r="I23" s="56">
        <v>0</v>
      </c>
      <c r="J23" s="8">
        <f t="shared" si="1"/>
        <v>0</v>
      </c>
      <c r="K23" s="8">
        <f t="shared" si="2"/>
        <v>1835.3999999999999</v>
      </c>
      <c r="L23" s="332"/>
      <c r="M23" s="8">
        <f>M22+K23-L23</f>
        <v>41258.938199999968</v>
      </c>
      <c r="N23" s="21"/>
      <c r="O23" s="71"/>
    </row>
    <row r="24" spans="1:15">
      <c r="A24" s="28">
        <v>21</v>
      </c>
      <c r="B24" s="29">
        <v>45829</v>
      </c>
      <c r="C24" s="27"/>
      <c r="D24" s="20"/>
      <c r="E24" s="56">
        <v>10</v>
      </c>
      <c r="F24" s="56">
        <v>91.77</v>
      </c>
      <c r="G24" s="8">
        <f t="shared" si="0"/>
        <v>917.69999999999993</v>
      </c>
      <c r="H24" s="56">
        <v>6</v>
      </c>
      <c r="I24" s="56">
        <v>103.73</v>
      </c>
      <c r="J24" s="8">
        <f t="shared" si="1"/>
        <v>622.38</v>
      </c>
      <c r="K24" s="8">
        <f t="shared" si="2"/>
        <v>1540.08</v>
      </c>
      <c r="L24" s="332"/>
      <c r="M24" s="8">
        <f>M23+K24-L24</f>
        <v>42799.01819999997</v>
      </c>
      <c r="N24" s="21"/>
      <c r="O24" s="71"/>
    </row>
    <row r="25" spans="1:15">
      <c r="A25" s="28">
        <v>22</v>
      </c>
      <c r="B25" s="29">
        <v>45830</v>
      </c>
      <c r="C25" s="27"/>
      <c r="D25" s="20"/>
      <c r="E25" s="56">
        <v>30</v>
      </c>
      <c r="F25" s="56">
        <v>91.77</v>
      </c>
      <c r="G25" s="8">
        <f t="shared" si="0"/>
        <v>2753.1</v>
      </c>
      <c r="H25" s="56">
        <v>0</v>
      </c>
      <c r="I25" s="56">
        <v>0</v>
      </c>
      <c r="J25" s="8">
        <f t="shared" si="1"/>
        <v>0</v>
      </c>
      <c r="K25" s="8">
        <f t="shared" si="2"/>
        <v>2753.1</v>
      </c>
      <c r="L25" s="332"/>
      <c r="M25" s="8">
        <f t="shared" ref="M25:M34" si="4">M24+K25-L25</f>
        <v>45552.118199999968</v>
      </c>
      <c r="N25" s="21"/>
      <c r="O25" s="71"/>
    </row>
    <row r="26" spans="1:15">
      <c r="A26" s="28">
        <v>23</v>
      </c>
      <c r="B26" s="29">
        <v>45831</v>
      </c>
      <c r="C26" s="27"/>
      <c r="D26" s="20"/>
      <c r="E26" s="56">
        <v>20</v>
      </c>
      <c r="F26" s="56">
        <v>91.77</v>
      </c>
      <c r="G26" s="8">
        <f t="shared" si="0"/>
        <v>1835.3999999999999</v>
      </c>
      <c r="H26" s="56">
        <v>0</v>
      </c>
      <c r="I26" s="56">
        <v>0</v>
      </c>
      <c r="J26" s="8">
        <f t="shared" si="1"/>
        <v>0</v>
      </c>
      <c r="K26" s="8">
        <f t="shared" si="2"/>
        <v>1835.3999999999999</v>
      </c>
      <c r="L26" s="332"/>
      <c r="M26" s="8">
        <f t="shared" si="4"/>
        <v>47387.51819999997</v>
      </c>
      <c r="N26" s="21"/>
      <c r="O26" s="71"/>
    </row>
    <row r="27" spans="1:15">
      <c r="A27" s="28">
        <v>24</v>
      </c>
      <c r="B27" s="29">
        <v>45832</v>
      </c>
      <c r="C27" s="27"/>
      <c r="D27" s="20"/>
      <c r="E27" s="56">
        <v>20</v>
      </c>
      <c r="F27" s="56">
        <v>91.77</v>
      </c>
      <c r="G27" s="8">
        <f t="shared" si="0"/>
        <v>1835.3999999999999</v>
      </c>
      <c r="H27" s="56">
        <v>0</v>
      </c>
      <c r="I27" s="56">
        <v>0</v>
      </c>
      <c r="J27" s="8">
        <f t="shared" si="1"/>
        <v>0</v>
      </c>
      <c r="K27" s="8">
        <f t="shared" si="2"/>
        <v>1835.3999999999999</v>
      </c>
      <c r="L27" s="332"/>
      <c r="M27" s="8">
        <f t="shared" si="4"/>
        <v>49222.918199999971</v>
      </c>
      <c r="N27" s="21"/>
      <c r="O27" s="71"/>
    </row>
    <row r="28" spans="1:15">
      <c r="A28" s="28">
        <v>25</v>
      </c>
      <c r="B28" s="29">
        <v>45833</v>
      </c>
      <c r="C28" s="27"/>
      <c r="D28" s="20"/>
      <c r="E28" s="56">
        <v>50</v>
      </c>
      <c r="F28" s="56">
        <v>91.77</v>
      </c>
      <c r="G28" s="8">
        <f t="shared" si="0"/>
        <v>4588.5</v>
      </c>
      <c r="H28" s="56">
        <v>0</v>
      </c>
      <c r="I28" s="56">
        <v>0</v>
      </c>
      <c r="J28" s="8">
        <f t="shared" si="1"/>
        <v>0</v>
      </c>
      <c r="K28" s="8">
        <f t="shared" si="2"/>
        <v>4588.5</v>
      </c>
      <c r="L28" s="332"/>
      <c r="M28" s="8">
        <f t="shared" si="4"/>
        <v>53811.418199999971</v>
      </c>
      <c r="N28" s="21"/>
      <c r="O28" s="71"/>
    </row>
    <row r="29" spans="1:15">
      <c r="A29" s="28">
        <v>26</v>
      </c>
      <c r="B29" s="29">
        <v>45834</v>
      </c>
      <c r="C29" s="27"/>
      <c r="D29" s="20"/>
      <c r="E29" s="56">
        <v>0</v>
      </c>
      <c r="F29" s="56">
        <v>0</v>
      </c>
      <c r="G29" s="8">
        <f t="shared" si="0"/>
        <v>0</v>
      </c>
      <c r="H29" s="56">
        <v>0</v>
      </c>
      <c r="I29" s="56">
        <v>0</v>
      </c>
      <c r="J29" s="8">
        <f t="shared" si="1"/>
        <v>0</v>
      </c>
      <c r="K29" s="8">
        <f t="shared" si="2"/>
        <v>0</v>
      </c>
      <c r="L29" s="332"/>
      <c r="M29" s="8">
        <f t="shared" si="4"/>
        <v>53811.418199999971</v>
      </c>
      <c r="N29" s="21"/>
      <c r="O29" s="71"/>
    </row>
    <row r="30" spans="1:15">
      <c r="A30" s="28">
        <v>27</v>
      </c>
      <c r="B30" s="29">
        <v>45835</v>
      </c>
      <c r="C30" s="27"/>
      <c r="D30" s="20"/>
      <c r="E30" s="56">
        <v>15</v>
      </c>
      <c r="F30" s="56">
        <v>91.77</v>
      </c>
      <c r="G30" s="8">
        <f t="shared" si="0"/>
        <v>1376.55</v>
      </c>
      <c r="H30" s="56">
        <v>0</v>
      </c>
      <c r="I30" s="56">
        <v>103.73</v>
      </c>
      <c r="J30" s="8">
        <f t="shared" si="1"/>
        <v>0</v>
      </c>
      <c r="K30" s="8">
        <f t="shared" si="2"/>
        <v>1376.55</v>
      </c>
      <c r="L30" s="332"/>
      <c r="M30" s="8">
        <f t="shared" si="4"/>
        <v>55187.968199999974</v>
      </c>
      <c r="N30" s="21"/>
      <c r="O30" s="71"/>
    </row>
    <row r="31" spans="1:15">
      <c r="A31" s="263">
        <v>28</v>
      </c>
      <c r="B31" s="29">
        <v>45836</v>
      </c>
      <c r="C31" s="27"/>
      <c r="D31" s="20"/>
      <c r="E31" s="56">
        <v>40</v>
      </c>
      <c r="F31" s="56">
        <v>91.77</v>
      </c>
      <c r="G31" s="8">
        <f t="shared" si="0"/>
        <v>3670.7999999999997</v>
      </c>
      <c r="H31" s="56">
        <v>0</v>
      </c>
      <c r="I31" s="56">
        <v>0</v>
      </c>
      <c r="J31" s="8">
        <f t="shared" si="1"/>
        <v>0</v>
      </c>
      <c r="K31" s="8">
        <f t="shared" si="2"/>
        <v>3670.7999999999997</v>
      </c>
      <c r="L31" s="332"/>
      <c r="M31" s="8">
        <f t="shared" si="4"/>
        <v>58858.768199999977</v>
      </c>
      <c r="N31" s="21"/>
      <c r="O31" s="71"/>
    </row>
    <row r="32" spans="1:15">
      <c r="A32" s="28">
        <v>29</v>
      </c>
      <c r="B32" s="29">
        <v>45837</v>
      </c>
      <c r="C32" s="27"/>
      <c r="D32" s="20"/>
      <c r="E32" s="56">
        <v>0</v>
      </c>
      <c r="F32" s="56">
        <v>0</v>
      </c>
      <c r="G32" s="8">
        <f t="shared" si="0"/>
        <v>0</v>
      </c>
      <c r="H32" s="56">
        <v>5</v>
      </c>
      <c r="I32" s="56">
        <v>103.73</v>
      </c>
      <c r="J32" s="8">
        <f t="shared" si="1"/>
        <v>518.65</v>
      </c>
      <c r="K32" s="8">
        <f t="shared" si="2"/>
        <v>518.65</v>
      </c>
      <c r="L32" s="332"/>
      <c r="M32" s="8">
        <f t="shared" si="4"/>
        <v>59377.418199999978</v>
      </c>
      <c r="N32" s="21"/>
      <c r="O32" s="71"/>
    </row>
    <row r="33" spans="1:15">
      <c r="A33" s="28">
        <v>30</v>
      </c>
      <c r="B33" s="29">
        <v>45838</v>
      </c>
      <c r="C33" s="27"/>
      <c r="D33" s="20"/>
      <c r="E33" s="56">
        <v>0</v>
      </c>
      <c r="F33" s="56">
        <v>0</v>
      </c>
      <c r="G33" s="8">
        <f t="shared" si="0"/>
        <v>0</v>
      </c>
      <c r="H33" s="56">
        <v>6</v>
      </c>
      <c r="I33" s="56">
        <v>103.73</v>
      </c>
      <c r="J33" s="8">
        <f t="shared" si="1"/>
        <v>622.38</v>
      </c>
      <c r="K33" s="8">
        <f t="shared" si="2"/>
        <v>622.38</v>
      </c>
      <c r="L33" s="332"/>
      <c r="M33" s="8">
        <f t="shared" si="4"/>
        <v>59999.798199999976</v>
      </c>
      <c r="N33" s="21"/>
      <c r="O33" s="71"/>
    </row>
    <row r="34" spans="1:15">
      <c r="A34" s="28">
        <v>31</v>
      </c>
      <c r="B34" s="29"/>
      <c r="C34" s="27"/>
      <c r="D34" s="20"/>
      <c r="E34" s="56">
        <v>0</v>
      </c>
      <c r="F34" s="56">
        <v>0</v>
      </c>
      <c r="G34" s="8">
        <f t="shared" si="0"/>
        <v>0</v>
      </c>
      <c r="H34" s="56">
        <v>0</v>
      </c>
      <c r="I34" s="56">
        <v>0</v>
      </c>
      <c r="J34" s="8">
        <f t="shared" si="1"/>
        <v>0</v>
      </c>
      <c r="K34" s="8">
        <f t="shared" si="2"/>
        <v>0</v>
      </c>
      <c r="L34" s="332"/>
      <c r="M34" s="8">
        <f t="shared" si="4"/>
        <v>59999.798199999976</v>
      </c>
      <c r="N34" s="21"/>
      <c r="O34" s="71"/>
    </row>
    <row r="35" spans="1:15">
      <c r="A35" s="181"/>
      <c r="B35" s="181"/>
      <c r="C35" s="181"/>
      <c r="D35" s="181"/>
      <c r="E35" s="182">
        <f>SUM(E4:E34)</f>
        <v>364.4</v>
      </c>
      <c r="F35" s="182"/>
      <c r="G35" s="182">
        <f>SUM(G4:G34)</f>
        <v>33440.988000000005</v>
      </c>
      <c r="H35" s="182">
        <f>SUM(H4:H34)</f>
        <v>36</v>
      </c>
      <c r="I35" s="182"/>
      <c r="J35" s="182">
        <f>SUM(J4:J34)</f>
        <v>3732.4800000000005</v>
      </c>
      <c r="K35" s="182">
        <f>SUM(K4:K34)</f>
        <v>37173.468000000001</v>
      </c>
      <c r="L35" s="182">
        <f>SUM(L4:L34)</f>
        <v>0</v>
      </c>
      <c r="M35" s="182"/>
      <c r="N35" s="182"/>
      <c r="O35" s="71"/>
    </row>
    <row r="36" spans="1:15">
      <c r="A36" s="86"/>
      <c r="B36" s="86"/>
      <c r="C36" s="86"/>
      <c r="D36" s="86"/>
      <c r="E36" s="88"/>
      <c r="F36" s="88"/>
      <c r="G36" s="88"/>
      <c r="H36" s="88"/>
      <c r="I36" s="88"/>
      <c r="J36" s="88"/>
      <c r="K36" s="88"/>
      <c r="L36" s="333"/>
      <c r="M36" s="88"/>
      <c r="N36" s="88"/>
      <c r="O36" s="71"/>
    </row>
    <row r="37" spans="1:15">
      <c r="E37" s="361"/>
      <c r="F37" s="361"/>
      <c r="G37" s="361"/>
      <c r="H37" s="361"/>
      <c r="I37" s="361"/>
      <c r="J37" s="361"/>
      <c r="K37" s="361"/>
      <c r="L37" s="361"/>
      <c r="O37" s="71"/>
    </row>
    <row r="38" spans="1:15">
      <c r="O38" s="71"/>
    </row>
    <row r="39" spans="1:15">
      <c r="O39" s="71"/>
    </row>
    <row r="40" spans="1:15">
      <c r="O40" s="71"/>
    </row>
    <row r="41" spans="1:15">
      <c r="O41" s="71"/>
    </row>
    <row r="42" spans="1:15">
      <c r="A42" s="71"/>
      <c r="B42" s="71"/>
      <c r="C42" s="71"/>
      <c r="D42" s="71"/>
      <c r="E42" s="71"/>
      <c r="F42" s="71"/>
      <c r="G42" s="94"/>
      <c r="H42" s="71"/>
      <c r="I42" s="71"/>
      <c r="J42" s="71"/>
      <c r="K42" s="71"/>
      <c r="L42" s="86"/>
      <c r="M42" s="71"/>
      <c r="N42" s="71"/>
      <c r="O42" s="88"/>
    </row>
    <row r="43" spans="1:15">
      <c r="A43" s="71"/>
      <c r="B43" s="481"/>
      <c r="C43" s="481"/>
      <c r="D43" s="481"/>
      <c r="E43" s="481"/>
      <c r="F43" s="71"/>
      <c r="G43" s="71"/>
      <c r="H43" s="71"/>
      <c r="I43" s="481"/>
      <c r="J43" s="481"/>
      <c r="K43" s="481"/>
      <c r="L43" s="481"/>
      <c r="M43" s="481"/>
      <c r="N43" s="481"/>
      <c r="O43" s="88"/>
    </row>
    <row r="44" spans="1:15">
      <c r="A44" s="71"/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86"/>
      <c r="M44" s="71"/>
      <c r="N44" s="71"/>
      <c r="O44" s="88"/>
    </row>
  </sheetData>
  <mergeCells count="4">
    <mergeCell ref="A1:N1"/>
    <mergeCell ref="B43:E43"/>
    <mergeCell ref="I43:N43"/>
    <mergeCell ref="A3:J3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A71A1-D77D-459B-9B4B-82B2DEA70DBC}">
  <dimension ref="A1:Q44"/>
  <sheetViews>
    <sheetView workbookViewId="0">
      <pane ySplit="2" topLeftCell="A34" activePane="bottomLeft" state="frozen"/>
      <selection pane="bottomLeft" activeCell="M34" sqref="M34"/>
    </sheetView>
  </sheetViews>
  <sheetFormatPr defaultRowHeight="15"/>
  <cols>
    <col min="1" max="1" width="5.140625" style="81" bestFit="1" customWidth="1"/>
    <col min="2" max="2" width="10.85546875" style="81" bestFit="1" customWidth="1"/>
    <col min="3" max="3" width="8" style="81" bestFit="1" customWidth="1"/>
    <col min="4" max="4" width="16" style="81" bestFit="1" customWidth="1"/>
    <col min="5" max="5" width="10.7109375" style="81" bestFit="1" customWidth="1"/>
    <col min="6" max="6" width="14.5703125" style="81" bestFit="1" customWidth="1"/>
    <col min="7" max="7" width="11.85546875" style="81" bestFit="1" customWidth="1"/>
    <col min="8" max="8" width="10.7109375" style="81" bestFit="1" customWidth="1"/>
    <col min="9" max="9" width="7.140625" style="81" bestFit="1" customWidth="1"/>
    <col min="10" max="10" width="10.85546875" style="81" bestFit="1" customWidth="1"/>
    <col min="11" max="11" width="14.5703125" style="81" bestFit="1" customWidth="1"/>
    <col min="12" max="12" width="13.5703125" style="81" bestFit="1" customWidth="1"/>
    <col min="13" max="13" width="13.5703125" style="81" customWidth="1"/>
    <col min="14" max="14" width="14.140625" style="81" bestFit="1" customWidth="1"/>
    <col min="15" max="15" width="11.28515625" style="81" customWidth="1"/>
    <col min="16" max="16" width="9.140625" style="81" customWidth="1"/>
    <col min="17" max="16384" width="9.140625" style="81"/>
  </cols>
  <sheetData>
    <row r="1" spans="1:17" ht="15.75">
      <c r="A1" s="458" t="s">
        <v>54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95"/>
    </row>
    <row r="2" spans="1:17">
      <c r="A2" s="76" t="s">
        <v>102</v>
      </c>
      <c r="B2" s="96" t="s">
        <v>103</v>
      </c>
      <c r="C2" s="96" t="s">
        <v>104</v>
      </c>
      <c r="D2" s="96" t="s">
        <v>105</v>
      </c>
      <c r="E2" s="96" t="s">
        <v>106</v>
      </c>
      <c r="F2" s="96" t="s">
        <v>107</v>
      </c>
      <c r="G2" s="96" t="s">
        <v>108</v>
      </c>
      <c r="H2" s="96" t="s">
        <v>109</v>
      </c>
      <c r="I2" s="96" t="s">
        <v>107</v>
      </c>
      <c r="J2" s="97" t="s">
        <v>108</v>
      </c>
      <c r="K2" s="76" t="s">
        <v>110</v>
      </c>
      <c r="L2" s="98" t="s">
        <v>111</v>
      </c>
      <c r="M2" s="98" t="s">
        <v>149</v>
      </c>
      <c r="N2" s="96" t="s">
        <v>113</v>
      </c>
      <c r="O2" s="71"/>
    </row>
    <row r="3" spans="1:17">
      <c r="A3" s="445" t="s">
        <v>114</v>
      </c>
      <c r="B3" s="446"/>
      <c r="C3" s="446"/>
      <c r="D3" s="446"/>
      <c r="E3" s="446"/>
      <c r="F3" s="446"/>
      <c r="G3" s="446"/>
      <c r="H3" s="446"/>
      <c r="I3" s="446"/>
      <c r="J3" s="461"/>
      <c r="K3" s="184">
        <v>241437.62800000017</v>
      </c>
      <c r="L3" s="79"/>
      <c r="M3" s="180">
        <f>+K3</f>
        <v>241437.62800000017</v>
      </c>
      <c r="N3" s="79"/>
      <c r="O3" s="71"/>
    </row>
    <row r="4" spans="1:17">
      <c r="A4" s="28">
        <v>1</v>
      </c>
      <c r="B4" s="29">
        <v>45809</v>
      </c>
      <c r="C4" s="79"/>
      <c r="D4" s="180"/>
      <c r="E4" s="185">
        <v>270</v>
      </c>
      <c r="F4" s="185">
        <v>91.93</v>
      </c>
      <c r="G4" s="8">
        <f>E4*F4</f>
        <v>24821.100000000002</v>
      </c>
      <c r="H4" s="185">
        <v>0</v>
      </c>
      <c r="I4" s="185">
        <v>0</v>
      </c>
      <c r="J4" s="8">
        <f>H4*I4</f>
        <v>0</v>
      </c>
      <c r="K4" s="8">
        <f>G4+J4</f>
        <v>24821.100000000002</v>
      </c>
      <c r="L4" s="186">
        <v>0</v>
      </c>
      <c r="M4" s="186">
        <f>M3+K4-L4</f>
        <v>266258.72800000018</v>
      </c>
      <c r="N4" s="47"/>
    </row>
    <row r="5" spans="1:17">
      <c r="A5" s="28">
        <v>2</v>
      </c>
      <c r="B5" s="29">
        <v>45810</v>
      </c>
      <c r="C5" s="79"/>
      <c r="D5" s="180"/>
      <c r="E5" s="185">
        <v>0</v>
      </c>
      <c r="F5" s="185">
        <v>0</v>
      </c>
      <c r="G5" s="8">
        <f t="shared" ref="G5:G33" si="0">E5*F5</f>
        <v>0</v>
      </c>
      <c r="H5" s="185">
        <v>0</v>
      </c>
      <c r="I5" s="185">
        <v>0</v>
      </c>
      <c r="J5" s="8">
        <f t="shared" ref="J5:J33" si="1">H5*I5</f>
        <v>0</v>
      </c>
      <c r="K5" s="8">
        <f t="shared" ref="K5:K33" si="2">G5+J5</f>
        <v>0</v>
      </c>
      <c r="L5" s="186">
        <v>0</v>
      </c>
      <c r="M5" s="186">
        <f>M4+K5-L5</f>
        <v>266258.72800000018</v>
      </c>
      <c r="N5" s="47"/>
    </row>
    <row r="6" spans="1:17">
      <c r="A6" s="28">
        <v>3</v>
      </c>
      <c r="B6" s="29">
        <v>45811</v>
      </c>
      <c r="C6" s="79"/>
      <c r="D6" s="180"/>
      <c r="E6" s="185">
        <v>230</v>
      </c>
      <c r="F6" s="185">
        <v>91.93</v>
      </c>
      <c r="G6" s="8">
        <f t="shared" si="0"/>
        <v>21143.9</v>
      </c>
      <c r="H6" s="185">
        <v>30</v>
      </c>
      <c r="I6" s="185">
        <v>103.89</v>
      </c>
      <c r="J6" s="8">
        <f t="shared" si="1"/>
        <v>3116.7</v>
      </c>
      <c r="K6" s="8">
        <f t="shared" si="2"/>
        <v>24260.600000000002</v>
      </c>
      <c r="L6" s="186">
        <v>0</v>
      </c>
      <c r="M6" s="186">
        <f>M5+K6-L6</f>
        <v>290519.32800000015</v>
      </c>
      <c r="N6" s="47"/>
    </row>
    <row r="7" spans="1:17">
      <c r="A7" s="28">
        <v>4</v>
      </c>
      <c r="B7" s="29">
        <v>45812</v>
      </c>
      <c r="C7" s="79"/>
      <c r="D7" s="180"/>
      <c r="E7" s="185">
        <v>0</v>
      </c>
      <c r="F7" s="185">
        <v>0</v>
      </c>
      <c r="G7" s="8">
        <f t="shared" si="0"/>
        <v>0</v>
      </c>
      <c r="H7" s="185">
        <v>0</v>
      </c>
      <c r="I7" s="185">
        <v>0</v>
      </c>
      <c r="J7" s="8">
        <f t="shared" si="1"/>
        <v>0</v>
      </c>
      <c r="K7" s="8">
        <f t="shared" si="2"/>
        <v>0</v>
      </c>
      <c r="L7" s="186">
        <v>0</v>
      </c>
      <c r="M7" s="186">
        <f>M6+K7-L7</f>
        <v>290519.32800000015</v>
      </c>
      <c r="N7" s="47"/>
    </row>
    <row r="8" spans="1:17">
      <c r="A8" s="28">
        <v>5</v>
      </c>
      <c r="B8" s="29">
        <v>45813</v>
      </c>
      <c r="C8" s="79"/>
      <c r="D8" s="180"/>
      <c r="E8" s="185">
        <v>0</v>
      </c>
      <c r="F8" s="185">
        <v>0</v>
      </c>
      <c r="G8" s="8">
        <f t="shared" si="0"/>
        <v>0</v>
      </c>
      <c r="H8" s="185">
        <v>0</v>
      </c>
      <c r="I8" s="185">
        <v>0</v>
      </c>
      <c r="J8" s="8">
        <f t="shared" si="1"/>
        <v>0</v>
      </c>
      <c r="K8" s="8">
        <f t="shared" si="2"/>
        <v>0</v>
      </c>
      <c r="L8" s="186">
        <v>287745</v>
      </c>
      <c r="M8" s="186">
        <f>M7+K8-L8</f>
        <v>2774.3280000001541</v>
      </c>
      <c r="N8" s="47"/>
    </row>
    <row r="9" spans="1:17">
      <c r="A9" s="28">
        <v>6</v>
      </c>
      <c r="B9" s="29">
        <v>45814</v>
      </c>
      <c r="C9" s="79"/>
      <c r="D9" s="180"/>
      <c r="E9" s="185">
        <v>0</v>
      </c>
      <c r="F9" s="185">
        <v>0</v>
      </c>
      <c r="G9" s="8">
        <f t="shared" si="0"/>
        <v>0</v>
      </c>
      <c r="H9" s="185">
        <v>0</v>
      </c>
      <c r="I9" s="185">
        <v>0</v>
      </c>
      <c r="J9" s="8">
        <f t="shared" si="1"/>
        <v>0</v>
      </c>
      <c r="K9" s="8">
        <f t="shared" si="2"/>
        <v>0</v>
      </c>
      <c r="L9" s="186">
        <v>0</v>
      </c>
      <c r="M9" s="186">
        <f>M8+K9-L9</f>
        <v>2774.3280000001541</v>
      </c>
      <c r="N9" s="47"/>
    </row>
    <row r="10" spans="1:17">
      <c r="A10" s="28">
        <v>7</v>
      </c>
      <c r="B10" s="29">
        <v>45815</v>
      </c>
      <c r="C10" s="79"/>
      <c r="D10" s="180"/>
      <c r="E10" s="185">
        <v>200</v>
      </c>
      <c r="F10" s="185">
        <v>91.93</v>
      </c>
      <c r="G10" s="8">
        <f t="shared" si="0"/>
        <v>18386</v>
      </c>
      <c r="H10" s="185">
        <v>0</v>
      </c>
      <c r="I10" s="185">
        <v>0</v>
      </c>
      <c r="J10" s="8">
        <f t="shared" si="1"/>
        <v>0</v>
      </c>
      <c r="K10" s="8">
        <f t="shared" si="2"/>
        <v>18386</v>
      </c>
      <c r="L10" s="186">
        <v>0</v>
      </c>
      <c r="M10" s="186">
        <f>M9+K10-L10</f>
        <v>21160.328000000154</v>
      </c>
      <c r="N10" s="47"/>
    </row>
    <row r="11" spans="1:17">
      <c r="A11" s="28">
        <v>8</v>
      </c>
      <c r="B11" s="29">
        <v>45816</v>
      </c>
      <c r="C11" s="79"/>
      <c r="D11" s="180"/>
      <c r="E11" s="185">
        <v>0</v>
      </c>
      <c r="F11" s="185">
        <v>0</v>
      </c>
      <c r="G11" s="8">
        <f t="shared" si="0"/>
        <v>0</v>
      </c>
      <c r="H11" s="185">
        <v>0</v>
      </c>
      <c r="I11" s="185">
        <v>0</v>
      </c>
      <c r="J11" s="8">
        <f t="shared" si="1"/>
        <v>0</v>
      </c>
      <c r="K11" s="8">
        <f t="shared" si="2"/>
        <v>0</v>
      </c>
      <c r="L11" s="186">
        <v>0</v>
      </c>
      <c r="M11" s="186">
        <f>M10+K11-L11</f>
        <v>21160.328000000154</v>
      </c>
      <c r="N11" s="47" t="s">
        <v>193</v>
      </c>
      <c r="P11" s="296"/>
      <c r="Q11" s="297"/>
    </row>
    <row r="12" spans="1:17">
      <c r="A12" s="28">
        <v>9</v>
      </c>
      <c r="B12" s="29">
        <v>45817</v>
      </c>
      <c r="C12" s="79"/>
      <c r="D12" s="180"/>
      <c r="E12" s="185">
        <v>0</v>
      </c>
      <c r="F12" s="185">
        <v>91.93</v>
      </c>
      <c r="G12" s="8">
        <f t="shared" si="0"/>
        <v>0</v>
      </c>
      <c r="H12" s="185">
        <v>30</v>
      </c>
      <c r="I12" s="185">
        <v>103.89</v>
      </c>
      <c r="J12" s="8">
        <f t="shared" si="1"/>
        <v>3116.7</v>
      </c>
      <c r="K12" s="8">
        <f t="shared" si="2"/>
        <v>3116.7</v>
      </c>
      <c r="L12" s="186">
        <v>0</v>
      </c>
      <c r="M12" s="186">
        <f>M11+K12-L12</f>
        <v>24277.028000000155</v>
      </c>
      <c r="N12" s="47"/>
    </row>
    <row r="13" spans="1:17">
      <c r="A13" s="28">
        <v>10</v>
      </c>
      <c r="B13" s="29">
        <v>45818</v>
      </c>
      <c r="C13" s="79"/>
      <c r="D13" s="180"/>
      <c r="E13" s="185">
        <v>0</v>
      </c>
      <c r="F13" s="185">
        <v>0</v>
      </c>
      <c r="G13" s="8">
        <f t="shared" si="0"/>
        <v>0</v>
      </c>
      <c r="H13" s="185">
        <v>0</v>
      </c>
      <c r="I13" s="185">
        <v>0</v>
      </c>
      <c r="J13" s="8">
        <f t="shared" si="1"/>
        <v>0</v>
      </c>
      <c r="K13" s="8">
        <f t="shared" si="2"/>
        <v>0</v>
      </c>
      <c r="L13" s="186">
        <v>0</v>
      </c>
      <c r="M13" s="186">
        <f>M12+K13-L13</f>
        <v>24277.028000000155</v>
      </c>
      <c r="N13" s="47"/>
    </row>
    <row r="14" spans="1:17">
      <c r="A14" s="28">
        <v>11</v>
      </c>
      <c r="B14" s="29">
        <v>45819</v>
      </c>
      <c r="C14" s="79"/>
      <c r="D14" s="180"/>
      <c r="E14" s="185">
        <v>0</v>
      </c>
      <c r="F14" s="185">
        <v>0</v>
      </c>
      <c r="G14" s="8">
        <f t="shared" si="0"/>
        <v>0</v>
      </c>
      <c r="H14" s="185">
        <v>0</v>
      </c>
      <c r="I14" s="185">
        <v>0</v>
      </c>
      <c r="J14" s="8">
        <f t="shared" si="1"/>
        <v>0</v>
      </c>
      <c r="K14" s="8">
        <f t="shared" si="2"/>
        <v>0</v>
      </c>
      <c r="L14" s="186">
        <v>0</v>
      </c>
      <c r="M14" s="186">
        <f>M13+K14-L14</f>
        <v>24277.028000000155</v>
      </c>
      <c r="N14" s="47"/>
    </row>
    <row r="15" spans="1:17">
      <c r="A15" s="28">
        <v>12</v>
      </c>
      <c r="B15" s="29">
        <v>45820</v>
      </c>
      <c r="C15" s="79"/>
      <c r="D15" s="180"/>
      <c r="E15" s="185">
        <v>285</v>
      </c>
      <c r="F15" s="185">
        <v>91.93</v>
      </c>
      <c r="G15" s="8">
        <f t="shared" si="0"/>
        <v>26200.050000000003</v>
      </c>
      <c r="H15" s="185">
        <v>10</v>
      </c>
      <c r="I15" s="185">
        <v>103.89</v>
      </c>
      <c r="J15" s="8">
        <f t="shared" si="1"/>
        <v>1038.9000000000001</v>
      </c>
      <c r="K15" s="8">
        <f t="shared" si="2"/>
        <v>27238.950000000004</v>
      </c>
      <c r="L15" s="186">
        <v>0</v>
      </c>
      <c r="M15" s="186">
        <f>M14+K15-L15</f>
        <v>51515.978000000163</v>
      </c>
      <c r="N15" s="47"/>
    </row>
    <row r="16" spans="1:17">
      <c r="A16" s="28">
        <v>13</v>
      </c>
      <c r="B16" s="29">
        <v>45821</v>
      </c>
      <c r="C16" s="79"/>
      <c r="D16" s="180"/>
      <c r="E16" s="185">
        <v>0</v>
      </c>
      <c r="F16" s="185">
        <v>0</v>
      </c>
      <c r="G16" s="8">
        <f t="shared" si="0"/>
        <v>0</v>
      </c>
      <c r="H16" s="185">
        <v>0</v>
      </c>
      <c r="I16" s="185">
        <v>0</v>
      </c>
      <c r="J16" s="8">
        <f t="shared" si="1"/>
        <v>0</v>
      </c>
      <c r="K16" s="8">
        <f t="shared" si="2"/>
        <v>0</v>
      </c>
      <c r="L16" s="186">
        <v>0</v>
      </c>
      <c r="M16" s="186">
        <f>M15+K16-L16</f>
        <v>51515.978000000163</v>
      </c>
      <c r="N16" s="47"/>
    </row>
    <row r="17" spans="1:14">
      <c r="A17" s="28">
        <v>14</v>
      </c>
      <c r="B17" s="29">
        <v>45822</v>
      </c>
      <c r="C17" s="79"/>
      <c r="D17" s="180"/>
      <c r="E17" s="185">
        <v>310</v>
      </c>
      <c r="F17" s="185">
        <v>91.93</v>
      </c>
      <c r="G17" s="8">
        <f t="shared" si="0"/>
        <v>28498.300000000003</v>
      </c>
      <c r="H17" s="185">
        <v>20</v>
      </c>
      <c r="I17" s="185">
        <v>103.89</v>
      </c>
      <c r="J17" s="8">
        <f t="shared" si="1"/>
        <v>2077.8000000000002</v>
      </c>
      <c r="K17" s="8">
        <f t="shared" si="2"/>
        <v>30576.100000000002</v>
      </c>
      <c r="L17" s="186">
        <v>0</v>
      </c>
      <c r="M17" s="186">
        <f>M16+K17-L17</f>
        <v>82092.078000000169</v>
      </c>
      <c r="N17" s="47"/>
    </row>
    <row r="18" spans="1:14">
      <c r="A18" s="28">
        <v>15</v>
      </c>
      <c r="B18" s="29">
        <v>45823</v>
      </c>
      <c r="C18" s="79"/>
      <c r="D18" s="180"/>
      <c r="E18" s="185">
        <v>35</v>
      </c>
      <c r="F18" s="185">
        <v>91.93</v>
      </c>
      <c r="G18" s="8">
        <f t="shared" si="0"/>
        <v>3217.55</v>
      </c>
      <c r="H18" s="185">
        <v>0</v>
      </c>
      <c r="I18" s="185">
        <v>0</v>
      </c>
      <c r="J18" s="8">
        <f t="shared" si="1"/>
        <v>0</v>
      </c>
      <c r="K18" s="8">
        <f t="shared" si="2"/>
        <v>3217.55</v>
      </c>
      <c r="L18" s="186">
        <v>0</v>
      </c>
      <c r="M18" s="186">
        <f>M17+K18-L18</f>
        <v>85309.628000000172</v>
      </c>
      <c r="N18" s="47"/>
    </row>
    <row r="19" spans="1:14">
      <c r="A19" s="28">
        <v>16</v>
      </c>
      <c r="B19" s="29">
        <v>45824</v>
      </c>
      <c r="C19" s="79"/>
      <c r="D19" s="180"/>
      <c r="E19" s="185">
        <v>0</v>
      </c>
      <c r="F19" s="185">
        <v>0</v>
      </c>
      <c r="G19" s="8">
        <f t="shared" si="0"/>
        <v>0</v>
      </c>
      <c r="H19" s="185">
        <v>0</v>
      </c>
      <c r="I19" s="185">
        <v>0</v>
      </c>
      <c r="J19" s="8">
        <f t="shared" si="1"/>
        <v>0</v>
      </c>
      <c r="K19" s="8">
        <f t="shared" si="2"/>
        <v>0</v>
      </c>
      <c r="L19" s="186">
        <v>0</v>
      </c>
      <c r="M19" s="186">
        <f>M18+K19-L19</f>
        <v>85309.628000000172</v>
      </c>
      <c r="N19" s="47"/>
    </row>
    <row r="20" spans="1:14">
      <c r="A20" s="28">
        <v>17</v>
      </c>
      <c r="B20" s="29">
        <v>45825</v>
      </c>
      <c r="C20" s="79"/>
      <c r="D20" s="180"/>
      <c r="E20" s="185">
        <v>297.39</v>
      </c>
      <c r="F20" s="185">
        <v>91.93</v>
      </c>
      <c r="G20" s="8">
        <f t="shared" si="0"/>
        <v>27339.062700000002</v>
      </c>
      <c r="H20" s="185">
        <v>30</v>
      </c>
      <c r="I20" s="185">
        <v>103.89</v>
      </c>
      <c r="J20" s="8">
        <f t="shared" si="1"/>
        <v>3116.7</v>
      </c>
      <c r="K20" s="8">
        <f t="shared" si="2"/>
        <v>30455.762700000003</v>
      </c>
      <c r="L20" s="186">
        <v>0</v>
      </c>
      <c r="M20" s="186">
        <f t="shared" ref="M20:M34" si="3">M19+K20-L20</f>
        <v>115765.39070000018</v>
      </c>
      <c r="N20" s="47"/>
    </row>
    <row r="21" spans="1:14">
      <c r="A21" s="28">
        <v>18</v>
      </c>
      <c r="B21" s="29">
        <v>45826</v>
      </c>
      <c r="C21" s="79"/>
      <c r="D21" s="180"/>
      <c r="E21" s="185">
        <v>0</v>
      </c>
      <c r="F21" s="185">
        <v>0</v>
      </c>
      <c r="G21" s="8">
        <f t="shared" si="0"/>
        <v>0</v>
      </c>
      <c r="H21" s="185">
        <v>0</v>
      </c>
      <c r="I21" s="185">
        <v>0</v>
      </c>
      <c r="J21" s="8">
        <f t="shared" si="1"/>
        <v>0</v>
      </c>
      <c r="K21" s="8">
        <f t="shared" si="2"/>
        <v>0</v>
      </c>
      <c r="L21" s="186">
        <v>0</v>
      </c>
      <c r="M21" s="186">
        <f t="shared" si="3"/>
        <v>115765.39070000018</v>
      </c>
      <c r="N21" s="47"/>
    </row>
    <row r="22" spans="1:14">
      <c r="A22" s="28">
        <v>19</v>
      </c>
      <c r="B22" s="29">
        <v>45827</v>
      </c>
      <c r="C22" s="79"/>
      <c r="D22" s="180"/>
      <c r="E22" s="185">
        <v>0</v>
      </c>
      <c r="F22" s="185">
        <v>0</v>
      </c>
      <c r="G22" s="8">
        <f t="shared" si="0"/>
        <v>0</v>
      </c>
      <c r="H22" s="185">
        <v>0</v>
      </c>
      <c r="I22" s="185">
        <v>0</v>
      </c>
      <c r="J22" s="8">
        <f t="shared" si="1"/>
        <v>0</v>
      </c>
      <c r="K22" s="8">
        <f t="shared" si="2"/>
        <v>0</v>
      </c>
      <c r="L22" s="186">
        <v>0</v>
      </c>
      <c r="M22" s="186">
        <f t="shared" si="3"/>
        <v>115765.39070000018</v>
      </c>
      <c r="N22" s="47"/>
    </row>
    <row r="23" spans="1:14">
      <c r="A23" s="28">
        <v>20</v>
      </c>
      <c r="B23" s="29">
        <v>45828</v>
      </c>
      <c r="C23" s="79"/>
      <c r="D23" s="180"/>
      <c r="E23" s="185">
        <v>85</v>
      </c>
      <c r="F23" s="185">
        <v>91.93</v>
      </c>
      <c r="G23" s="8">
        <f t="shared" si="0"/>
        <v>7814.05</v>
      </c>
      <c r="H23" s="185">
        <v>20</v>
      </c>
      <c r="I23" s="185">
        <v>103.89</v>
      </c>
      <c r="J23" s="8">
        <f t="shared" si="1"/>
        <v>2077.8000000000002</v>
      </c>
      <c r="K23" s="8">
        <f t="shared" si="2"/>
        <v>9891.85</v>
      </c>
      <c r="L23" s="186">
        <v>0</v>
      </c>
      <c r="M23" s="186">
        <f t="shared" si="3"/>
        <v>125657.24070000018</v>
      </c>
      <c r="N23" s="47"/>
    </row>
    <row r="24" spans="1:14">
      <c r="A24" s="28">
        <v>21</v>
      </c>
      <c r="B24" s="29">
        <v>45829</v>
      </c>
      <c r="C24" s="79"/>
      <c r="D24" s="180"/>
      <c r="E24" s="185">
        <v>375</v>
      </c>
      <c r="F24" s="185">
        <v>91.93</v>
      </c>
      <c r="G24" s="8">
        <f t="shared" si="0"/>
        <v>34473.75</v>
      </c>
      <c r="H24" s="185">
        <v>0</v>
      </c>
      <c r="I24" s="185">
        <v>0</v>
      </c>
      <c r="J24" s="8">
        <f t="shared" si="1"/>
        <v>0</v>
      </c>
      <c r="K24" s="8">
        <f t="shared" si="2"/>
        <v>34473.75</v>
      </c>
      <c r="L24" s="186">
        <v>0</v>
      </c>
      <c r="M24" s="186">
        <f t="shared" si="3"/>
        <v>160130.9907000002</v>
      </c>
      <c r="N24" s="47"/>
    </row>
    <row r="25" spans="1:14">
      <c r="A25" s="28">
        <v>22</v>
      </c>
      <c r="B25" s="29">
        <v>45830</v>
      </c>
      <c r="C25" s="79"/>
      <c r="D25" s="180"/>
      <c r="E25" s="185">
        <v>0</v>
      </c>
      <c r="F25" s="185">
        <v>0</v>
      </c>
      <c r="G25" s="8">
        <f t="shared" si="0"/>
        <v>0</v>
      </c>
      <c r="H25" s="185">
        <v>0</v>
      </c>
      <c r="I25" s="185">
        <v>0</v>
      </c>
      <c r="J25" s="8">
        <f t="shared" si="1"/>
        <v>0</v>
      </c>
      <c r="K25" s="8">
        <f t="shared" si="2"/>
        <v>0</v>
      </c>
      <c r="L25" s="186">
        <v>0</v>
      </c>
      <c r="M25" s="186">
        <f t="shared" si="3"/>
        <v>160130.9907000002</v>
      </c>
      <c r="N25" s="47"/>
    </row>
    <row r="26" spans="1:14">
      <c r="A26" s="28">
        <v>23</v>
      </c>
      <c r="B26" s="29">
        <v>45831</v>
      </c>
      <c r="C26" s="79"/>
      <c r="D26" s="180"/>
      <c r="E26" s="185">
        <v>0</v>
      </c>
      <c r="F26" s="185">
        <v>0</v>
      </c>
      <c r="G26" s="8">
        <f t="shared" si="0"/>
        <v>0</v>
      </c>
      <c r="H26" s="185">
        <v>0</v>
      </c>
      <c r="I26" s="185">
        <v>0</v>
      </c>
      <c r="J26" s="8">
        <f t="shared" si="1"/>
        <v>0</v>
      </c>
      <c r="K26" s="8">
        <f t="shared" si="2"/>
        <v>0</v>
      </c>
      <c r="L26" s="186">
        <v>0</v>
      </c>
      <c r="M26" s="186">
        <f t="shared" si="3"/>
        <v>160130.9907000002</v>
      </c>
      <c r="N26" s="47"/>
    </row>
    <row r="27" spans="1:14">
      <c r="A27" s="28">
        <v>24</v>
      </c>
      <c r="B27" s="29">
        <v>45832</v>
      </c>
      <c r="C27" s="79"/>
      <c r="D27" s="180"/>
      <c r="E27" s="185">
        <v>0</v>
      </c>
      <c r="F27" s="185">
        <v>0</v>
      </c>
      <c r="G27" s="8">
        <f t="shared" si="0"/>
        <v>0</v>
      </c>
      <c r="H27" s="185">
        <v>0</v>
      </c>
      <c r="I27" s="185">
        <v>0</v>
      </c>
      <c r="J27" s="8">
        <f t="shared" si="1"/>
        <v>0</v>
      </c>
      <c r="K27" s="8">
        <f t="shared" si="2"/>
        <v>0</v>
      </c>
      <c r="L27" s="186">
        <v>0</v>
      </c>
      <c r="M27" s="186">
        <f t="shared" si="3"/>
        <v>160130.9907000002</v>
      </c>
      <c r="N27" s="47"/>
    </row>
    <row r="28" spans="1:14">
      <c r="A28" s="28">
        <v>25</v>
      </c>
      <c r="B28" s="29">
        <v>45833</v>
      </c>
      <c r="C28" s="79"/>
      <c r="D28" s="180"/>
      <c r="E28" s="185">
        <v>0</v>
      </c>
      <c r="F28" s="185">
        <v>0</v>
      </c>
      <c r="G28" s="8">
        <f t="shared" si="0"/>
        <v>0</v>
      </c>
      <c r="H28" s="185">
        <v>0</v>
      </c>
      <c r="I28" s="185">
        <v>0</v>
      </c>
      <c r="J28" s="8">
        <f t="shared" si="1"/>
        <v>0</v>
      </c>
      <c r="K28" s="8">
        <f t="shared" si="2"/>
        <v>0</v>
      </c>
      <c r="L28" s="186">
        <v>0</v>
      </c>
      <c r="M28" s="186">
        <f t="shared" si="3"/>
        <v>160130.9907000002</v>
      </c>
      <c r="N28" s="47"/>
    </row>
    <row r="29" spans="1:14">
      <c r="A29" s="28">
        <v>26</v>
      </c>
      <c r="B29" s="29">
        <v>45834</v>
      </c>
      <c r="C29" s="230"/>
      <c r="D29" s="180"/>
      <c r="E29" s="185">
        <v>305</v>
      </c>
      <c r="F29" s="185">
        <v>91.93</v>
      </c>
      <c r="G29" s="8">
        <f t="shared" si="0"/>
        <v>28038.65</v>
      </c>
      <c r="H29" s="185">
        <v>30</v>
      </c>
      <c r="I29" s="185">
        <v>103.89</v>
      </c>
      <c r="J29" s="8">
        <f t="shared" si="1"/>
        <v>3116.7</v>
      </c>
      <c r="K29" s="8">
        <f t="shared" si="2"/>
        <v>31155.350000000002</v>
      </c>
      <c r="L29" s="186">
        <v>0</v>
      </c>
      <c r="M29" s="186">
        <f t="shared" si="3"/>
        <v>191286.3407000002</v>
      </c>
      <c r="N29" s="47"/>
    </row>
    <row r="30" spans="1:14">
      <c r="A30" s="28">
        <v>27</v>
      </c>
      <c r="B30" s="29">
        <v>45835</v>
      </c>
      <c r="C30" s="79"/>
      <c r="D30" s="180"/>
      <c r="E30" s="185">
        <v>0</v>
      </c>
      <c r="F30" s="185">
        <v>0</v>
      </c>
      <c r="G30" s="8">
        <f t="shared" si="0"/>
        <v>0</v>
      </c>
      <c r="H30" s="185">
        <v>0</v>
      </c>
      <c r="I30" s="185">
        <v>0</v>
      </c>
      <c r="J30" s="8">
        <f t="shared" si="1"/>
        <v>0</v>
      </c>
      <c r="K30" s="8">
        <f t="shared" si="2"/>
        <v>0</v>
      </c>
      <c r="L30" s="186">
        <v>0</v>
      </c>
      <c r="M30" s="186">
        <f t="shared" si="3"/>
        <v>191286.3407000002</v>
      </c>
      <c r="N30" s="47"/>
    </row>
    <row r="31" spans="1:14">
      <c r="A31" s="28">
        <v>28</v>
      </c>
      <c r="B31" s="29">
        <v>45836</v>
      </c>
      <c r="C31" s="79"/>
      <c r="D31" s="180"/>
      <c r="E31" s="185">
        <v>0</v>
      </c>
      <c r="F31" s="185">
        <v>0</v>
      </c>
      <c r="G31" s="8">
        <f t="shared" si="0"/>
        <v>0</v>
      </c>
      <c r="H31" s="185">
        <v>0</v>
      </c>
      <c r="I31" s="185">
        <v>0</v>
      </c>
      <c r="J31" s="8">
        <f t="shared" si="1"/>
        <v>0</v>
      </c>
      <c r="K31" s="8">
        <f t="shared" si="2"/>
        <v>0</v>
      </c>
      <c r="L31" s="186">
        <v>0</v>
      </c>
      <c r="M31" s="186">
        <f t="shared" si="3"/>
        <v>191286.3407000002</v>
      </c>
      <c r="N31" s="47"/>
    </row>
    <row r="32" spans="1:14">
      <c r="A32" s="28">
        <v>29</v>
      </c>
      <c r="B32" s="29">
        <v>45837</v>
      </c>
      <c r="C32" s="79"/>
      <c r="D32" s="180"/>
      <c r="E32" s="185">
        <v>470</v>
      </c>
      <c r="F32" s="185">
        <v>91.93</v>
      </c>
      <c r="G32" s="8">
        <f t="shared" si="0"/>
        <v>43207.100000000006</v>
      </c>
      <c r="H32" s="185">
        <v>20</v>
      </c>
      <c r="I32" s="185">
        <v>103.89</v>
      </c>
      <c r="J32" s="8">
        <f t="shared" si="1"/>
        <v>2077.8000000000002</v>
      </c>
      <c r="K32" s="8">
        <f t="shared" si="2"/>
        <v>45284.900000000009</v>
      </c>
      <c r="L32" s="186">
        <v>0</v>
      </c>
      <c r="M32" s="186">
        <f t="shared" si="3"/>
        <v>236571.2407000002</v>
      </c>
      <c r="N32" s="47"/>
    </row>
    <row r="33" spans="1:15">
      <c r="A33" s="28">
        <v>30</v>
      </c>
      <c r="B33" s="29">
        <v>45838</v>
      </c>
      <c r="C33" s="79"/>
      <c r="D33" s="180"/>
      <c r="E33" s="185">
        <v>0</v>
      </c>
      <c r="F33" s="185">
        <v>0</v>
      </c>
      <c r="G33" s="8">
        <f t="shared" si="0"/>
        <v>0</v>
      </c>
      <c r="H33" s="185">
        <v>0</v>
      </c>
      <c r="I33" s="185">
        <v>0</v>
      </c>
      <c r="J33" s="8">
        <f t="shared" si="1"/>
        <v>0</v>
      </c>
      <c r="K33" s="8">
        <f t="shared" si="2"/>
        <v>0</v>
      </c>
      <c r="L33" s="186">
        <v>0</v>
      </c>
      <c r="M33" s="186">
        <f t="shared" si="3"/>
        <v>236571.2407000002</v>
      </c>
      <c r="N33" s="47"/>
    </row>
    <row r="34" spans="1:15">
      <c r="A34" s="28">
        <v>31</v>
      </c>
      <c r="B34" s="29"/>
      <c r="C34" s="79"/>
      <c r="D34" s="180"/>
      <c r="E34" s="185">
        <v>0</v>
      </c>
      <c r="F34" s="185">
        <v>0</v>
      </c>
      <c r="G34" s="8">
        <f t="shared" ref="G5:G34" si="4">E34*F34</f>
        <v>0</v>
      </c>
      <c r="H34" s="185">
        <v>0</v>
      </c>
      <c r="I34" s="185">
        <v>0</v>
      </c>
      <c r="J34" s="8">
        <f t="shared" ref="J5:J34" si="5">H34*I34</f>
        <v>0</v>
      </c>
      <c r="K34" s="8">
        <f t="shared" ref="K5:K34" si="6">G34+J34</f>
        <v>0</v>
      </c>
      <c r="L34" s="186">
        <v>0</v>
      </c>
      <c r="M34" s="186">
        <f t="shared" si="3"/>
        <v>236571.2407000002</v>
      </c>
      <c r="N34" s="47"/>
    </row>
    <row r="35" spans="1:15">
      <c r="A35" s="181"/>
      <c r="B35" s="181"/>
      <c r="C35" s="181"/>
      <c r="D35" s="181"/>
      <c r="E35" s="182">
        <f>SUM(E4:E34)</f>
        <v>2862.39</v>
      </c>
      <c r="F35" s="182"/>
      <c r="G35" s="182">
        <f>SUM(G4:G34)</f>
        <v>263139.51269999996</v>
      </c>
      <c r="H35" s="182">
        <f>SUM(H4:H34)</f>
        <v>190</v>
      </c>
      <c r="I35" s="75"/>
      <c r="J35" s="182">
        <f>SUM(J4:J34)</f>
        <v>19739.099999999999</v>
      </c>
      <c r="K35" s="182">
        <f>SUM(K4:K34)</f>
        <v>282878.6127</v>
      </c>
      <c r="L35" s="182">
        <f>SUM(L4:L34)</f>
        <v>287745</v>
      </c>
      <c r="M35" s="75"/>
      <c r="N35" s="75"/>
      <c r="O35" s="71"/>
    </row>
    <row r="36" spans="1:15">
      <c r="A36" s="85"/>
      <c r="B36" s="86"/>
      <c r="C36" s="85"/>
      <c r="D36" s="85"/>
      <c r="E36" s="87"/>
      <c r="F36" s="87"/>
      <c r="G36" s="87"/>
      <c r="H36" s="87"/>
      <c r="I36" s="87"/>
      <c r="J36" s="88"/>
      <c r="K36" s="88"/>
      <c r="L36" s="88"/>
      <c r="M36" s="88"/>
      <c r="N36" s="87"/>
    </row>
    <row r="42" spans="1:15">
      <c r="B42" s="71"/>
      <c r="G42" s="89"/>
      <c r="J42" s="71"/>
      <c r="K42" s="71"/>
      <c r="L42" s="71"/>
      <c r="M42" s="71"/>
      <c r="O42" s="87"/>
    </row>
    <row r="43" spans="1:15">
      <c r="B43" s="462"/>
      <c r="C43" s="462"/>
      <c r="D43" s="462"/>
      <c r="E43" s="462"/>
      <c r="I43" s="462"/>
      <c r="J43" s="462"/>
      <c r="K43" s="462"/>
      <c r="L43" s="462"/>
      <c r="M43" s="462"/>
      <c r="N43" s="462"/>
      <c r="O43" s="87"/>
    </row>
    <row r="44" spans="1:15">
      <c r="B44" s="71"/>
      <c r="J44" s="71"/>
      <c r="K44" s="71"/>
      <c r="L44" s="71"/>
      <c r="M44" s="71"/>
      <c r="O44" s="87"/>
    </row>
  </sheetData>
  <mergeCells count="4">
    <mergeCell ref="A1:N1"/>
    <mergeCell ref="B43:E43"/>
    <mergeCell ref="I43:N43"/>
    <mergeCell ref="A3:J3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A35F0-7189-4495-B3AE-C2E9CF5D0A6B}">
  <dimension ref="A1:O35"/>
  <sheetViews>
    <sheetView topLeftCell="A13" workbookViewId="0">
      <selection activeCell="Q13" sqref="Q13"/>
    </sheetView>
  </sheetViews>
  <sheetFormatPr defaultRowHeight="15"/>
  <cols>
    <col min="2" max="2" width="14.42578125" customWidth="1"/>
    <col min="4" max="4" width="19.140625" customWidth="1"/>
    <col min="5" max="5" width="17.7109375" customWidth="1"/>
    <col min="6" max="6" width="12.28515625" customWidth="1"/>
    <col min="7" max="7" width="12.85546875" style="24" customWidth="1"/>
    <col min="8" max="8" width="12" style="24" customWidth="1"/>
    <col min="9" max="9" width="9.140625" style="24"/>
    <col min="10" max="10" width="11.140625" style="24" customWidth="1"/>
    <col min="11" max="11" width="12" style="24" customWidth="1"/>
    <col min="12" max="12" width="11.85546875" style="24" customWidth="1"/>
    <col min="13" max="13" width="13.85546875" customWidth="1"/>
  </cols>
  <sheetData>
    <row r="1" spans="1:14" ht="15.75">
      <c r="A1" s="464" t="s">
        <v>56</v>
      </c>
      <c r="B1" s="464"/>
      <c r="C1" s="464"/>
      <c r="D1" s="464"/>
      <c r="E1" s="464"/>
      <c r="F1" s="464"/>
      <c r="G1" s="464"/>
      <c r="H1" s="464"/>
      <c r="I1" s="464"/>
      <c r="J1" s="464"/>
      <c r="K1" s="464"/>
      <c r="L1" s="464"/>
      <c r="M1" s="464"/>
      <c r="N1" s="464"/>
    </row>
    <row r="2" spans="1:14">
      <c r="A2" s="111" t="s">
        <v>102</v>
      </c>
      <c r="B2" s="112" t="s">
        <v>103</v>
      </c>
      <c r="C2" s="112" t="s">
        <v>104</v>
      </c>
      <c r="D2" s="112" t="s">
        <v>150</v>
      </c>
      <c r="E2" s="112" t="s">
        <v>106</v>
      </c>
      <c r="F2" s="112" t="s">
        <v>107</v>
      </c>
      <c r="G2" s="280" t="s">
        <v>108</v>
      </c>
      <c r="H2" s="280" t="s">
        <v>109</v>
      </c>
      <c r="I2" s="280" t="s">
        <v>107</v>
      </c>
      <c r="J2" s="280" t="s">
        <v>108</v>
      </c>
      <c r="K2" s="281" t="s">
        <v>110</v>
      </c>
      <c r="L2" s="281" t="s">
        <v>111</v>
      </c>
      <c r="M2" s="159" t="s">
        <v>149</v>
      </c>
      <c r="N2" s="114" t="s">
        <v>113</v>
      </c>
    </row>
    <row r="3" spans="1:14">
      <c r="A3" s="485" t="s">
        <v>114</v>
      </c>
      <c r="B3" s="486"/>
      <c r="C3" s="486"/>
      <c r="D3" s="486"/>
      <c r="E3" s="486"/>
      <c r="F3" s="486"/>
      <c r="G3" s="486"/>
      <c r="H3" s="486"/>
      <c r="I3" s="486"/>
      <c r="J3" s="487"/>
      <c r="K3" s="258">
        <v>0</v>
      </c>
      <c r="L3" s="258"/>
      <c r="M3" s="197">
        <f>+K3</f>
        <v>0</v>
      </c>
      <c r="N3" s="259"/>
    </row>
    <row r="4" spans="1:14">
      <c r="A4" s="28">
        <v>1</v>
      </c>
      <c r="B4" s="29">
        <v>45809</v>
      </c>
      <c r="C4" s="19"/>
      <c r="D4" s="19"/>
      <c r="E4" s="227">
        <v>150</v>
      </c>
      <c r="F4" s="227">
        <v>91.59</v>
      </c>
      <c r="G4" s="246">
        <f>E4*F4</f>
        <v>13738.5</v>
      </c>
      <c r="H4" s="246"/>
      <c r="I4" s="246"/>
      <c r="J4" s="246"/>
      <c r="K4" s="246">
        <f>G4+J4</f>
        <v>13738.5</v>
      </c>
      <c r="L4" s="246">
        <f>+K4</f>
        <v>13738.5</v>
      </c>
      <c r="M4" s="227"/>
      <c r="N4" s="19"/>
    </row>
    <row r="5" spans="1:14">
      <c r="A5" s="28">
        <v>2</v>
      </c>
      <c r="B5" s="29">
        <v>45810</v>
      </c>
      <c r="C5" s="19"/>
      <c r="D5" s="19"/>
      <c r="E5" s="227">
        <v>0</v>
      </c>
      <c r="F5" s="227">
        <v>0</v>
      </c>
      <c r="G5" s="246">
        <f t="shared" ref="G5:G33" si="0">E5*F5</f>
        <v>0</v>
      </c>
      <c r="H5" s="246"/>
      <c r="I5" s="246"/>
      <c r="J5" s="246"/>
      <c r="K5" s="246">
        <f>G5+J5</f>
        <v>0</v>
      </c>
      <c r="L5" s="246">
        <f>+K5</f>
        <v>0</v>
      </c>
      <c r="M5" s="227"/>
      <c r="N5" s="19"/>
    </row>
    <row r="6" spans="1:14">
      <c r="A6" s="28">
        <v>3</v>
      </c>
      <c r="B6" s="29">
        <v>45811</v>
      </c>
      <c r="C6" s="19"/>
      <c r="D6" s="19"/>
      <c r="E6" s="227">
        <v>110</v>
      </c>
      <c r="F6" s="227">
        <v>91.59</v>
      </c>
      <c r="G6" s="246">
        <f t="shared" si="0"/>
        <v>10074.9</v>
      </c>
      <c r="H6" s="246">
        <v>8</v>
      </c>
      <c r="I6" s="246">
        <v>103.53</v>
      </c>
      <c r="J6" s="246">
        <f>H6*I6</f>
        <v>828.24</v>
      </c>
      <c r="K6" s="246">
        <f t="shared" ref="K6:K17" si="1">G6+J6</f>
        <v>10903.14</v>
      </c>
      <c r="L6" s="246">
        <f t="shared" ref="L6:L17" si="2">+K6</f>
        <v>10903.14</v>
      </c>
      <c r="M6" s="227"/>
      <c r="N6" s="19"/>
    </row>
    <row r="7" spans="1:14">
      <c r="A7" s="28">
        <v>4</v>
      </c>
      <c r="B7" s="29">
        <v>45812</v>
      </c>
      <c r="C7" s="19"/>
      <c r="D7" s="19"/>
      <c r="E7" s="227">
        <v>0</v>
      </c>
      <c r="F7" s="227">
        <v>0</v>
      </c>
      <c r="G7" s="246">
        <f t="shared" si="0"/>
        <v>0</v>
      </c>
      <c r="H7" s="246"/>
      <c r="I7" s="246"/>
      <c r="J7" s="246">
        <f t="shared" ref="J7:J29" si="3">H7*I7</f>
        <v>0</v>
      </c>
      <c r="K7" s="246">
        <f t="shared" si="1"/>
        <v>0</v>
      </c>
      <c r="L7" s="246">
        <f t="shared" si="2"/>
        <v>0</v>
      </c>
      <c r="M7" s="227"/>
      <c r="N7" s="19"/>
    </row>
    <row r="8" spans="1:14">
      <c r="A8" s="28">
        <v>5</v>
      </c>
      <c r="B8" s="29">
        <v>45813</v>
      </c>
      <c r="C8" s="19"/>
      <c r="D8" s="19"/>
      <c r="E8" s="227">
        <v>0</v>
      </c>
      <c r="F8" s="227">
        <v>0</v>
      </c>
      <c r="G8" s="246">
        <f t="shared" si="0"/>
        <v>0</v>
      </c>
      <c r="H8" s="246"/>
      <c r="I8" s="246"/>
      <c r="J8" s="246">
        <f t="shared" si="3"/>
        <v>0</v>
      </c>
      <c r="K8" s="246">
        <f t="shared" si="1"/>
        <v>0</v>
      </c>
      <c r="L8" s="246">
        <f t="shared" si="2"/>
        <v>0</v>
      </c>
      <c r="M8" s="227"/>
      <c r="N8" s="19"/>
    </row>
    <row r="9" spans="1:14">
      <c r="A9" s="28">
        <v>6</v>
      </c>
      <c r="B9" s="29">
        <v>45814</v>
      </c>
      <c r="C9" s="19"/>
      <c r="D9" s="19"/>
      <c r="E9" s="227">
        <v>0</v>
      </c>
      <c r="F9" s="227">
        <v>0</v>
      </c>
      <c r="G9" s="246">
        <f t="shared" si="0"/>
        <v>0</v>
      </c>
      <c r="H9" s="246"/>
      <c r="I9" s="246"/>
      <c r="J9" s="246">
        <f t="shared" si="3"/>
        <v>0</v>
      </c>
      <c r="K9" s="246">
        <f t="shared" si="1"/>
        <v>0</v>
      </c>
      <c r="L9" s="246">
        <f t="shared" si="2"/>
        <v>0</v>
      </c>
      <c r="M9" s="227"/>
      <c r="N9" s="19"/>
    </row>
    <row r="10" spans="1:14">
      <c r="A10" s="28">
        <v>7</v>
      </c>
      <c r="B10" s="29">
        <v>45815</v>
      </c>
      <c r="C10" s="19"/>
      <c r="D10" s="19"/>
      <c r="E10" s="227">
        <v>45</v>
      </c>
      <c r="F10" s="227">
        <v>91.59</v>
      </c>
      <c r="G10" s="246">
        <f t="shared" si="0"/>
        <v>4121.55</v>
      </c>
      <c r="H10" s="246">
        <v>8</v>
      </c>
      <c r="I10" s="246">
        <v>103.59</v>
      </c>
      <c r="J10" s="246">
        <f t="shared" si="3"/>
        <v>828.72</v>
      </c>
      <c r="K10" s="246">
        <f t="shared" si="1"/>
        <v>4950.2700000000004</v>
      </c>
      <c r="L10" s="246">
        <f t="shared" si="2"/>
        <v>4950.2700000000004</v>
      </c>
      <c r="M10" s="227"/>
      <c r="N10" s="19"/>
    </row>
    <row r="11" spans="1:14">
      <c r="A11" s="28">
        <v>8</v>
      </c>
      <c r="B11" s="29">
        <v>45816</v>
      </c>
      <c r="C11" s="19"/>
      <c r="D11" s="19"/>
      <c r="E11" s="227">
        <v>0</v>
      </c>
      <c r="F11" s="227">
        <v>0</v>
      </c>
      <c r="G11" s="246">
        <f t="shared" si="0"/>
        <v>0</v>
      </c>
      <c r="H11" s="246"/>
      <c r="I11" s="246"/>
      <c r="J11" s="246">
        <f t="shared" si="3"/>
        <v>0</v>
      </c>
      <c r="K11" s="246">
        <f t="shared" si="1"/>
        <v>0</v>
      </c>
      <c r="L11" s="246">
        <f t="shared" si="2"/>
        <v>0</v>
      </c>
      <c r="M11" s="227"/>
      <c r="N11" s="19"/>
    </row>
    <row r="12" spans="1:14">
      <c r="A12" s="28">
        <v>9</v>
      </c>
      <c r="B12" s="29">
        <v>45817</v>
      </c>
      <c r="C12" s="19"/>
      <c r="D12" s="19"/>
      <c r="E12" s="227">
        <v>0</v>
      </c>
      <c r="F12" s="227">
        <v>0</v>
      </c>
      <c r="G12" s="246">
        <f t="shared" si="0"/>
        <v>0</v>
      </c>
      <c r="H12" s="246"/>
      <c r="I12" s="246"/>
      <c r="J12" s="246">
        <f t="shared" si="3"/>
        <v>0</v>
      </c>
      <c r="K12" s="246">
        <f t="shared" si="1"/>
        <v>0</v>
      </c>
      <c r="L12" s="246">
        <f t="shared" si="2"/>
        <v>0</v>
      </c>
      <c r="M12" s="227"/>
      <c r="N12" s="19"/>
    </row>
    <row r="13" spans="1:14">
      <c r="A13" s="28">
        <v>10</v>
      </c>
      <c r="B13" s="29">
        <v>45818</v>
      </c>
      <c r="C13" s="19"/>
      <c r="D13" s="19"/>
      <c r="E13" s="227">
        <v>0</v>
      </c>
      <c r="F13" s="227">
        <v>0</v>
      </c>
      <c r="G13" s="246">
        <f t="shared" si="0"/>
        <v>0</v>
      </c>
      <c r="H13" s="246"/>
      <c r="I13" s="246"/>
      <c r="J13" s="246">
        <f t="shared" si="3"/>
        <v>0</v>
      </c>
      <c r="K13" s="246">
        <f>G13+J13</f>
        <v>0</v>
      </c>
      <c r="L13" s="246">
        <f t="shared" si="2"/>
        <v>0</v>
      </c>
      <c r="M13" s="227"/>
      <c r="N13" s="19"/>
    </row>
    <row r="14" spans="1:14">
      <c r="A14" s="28">
        <v>11</v>
      </c>
      <c r="B14" s="29">
        <v>45819</v>
      </c>
      <c r="C14" s="19"/>
      <c r="D14" s="19"/>
      <c r="E14" s="227">
        <v>0</v>
      </c>
      <c r="F14" s="227">
        <v>0</v>
      </c>
      <c r="G14" s="246">
        <f t="shared" si="0"/>
        <v>0</v>
      </c>
      <c r="H14" s="246"/>
      <c r="I14" s="246"/>
      <c r="J14" s="246">
        <f t="shared" si="3"/>
        <v>0</v>
      </c>
      <c r="K14" s="246">
        <f t="shared" si="1"/>
        <v>0</v>
      </c>
      <c r="L14" s="246">
        <f t="shared" si="2"/>
        <v>0</v>
      </c>
      <c r="M14" s="227"/>
      <c r="N14" s="19"/>
    </row>
    <row r="15" spans="1:14">
      <c r="A15" s="28">
        <v>12</v>
      </c>
      <c r="B15" s="29">
        <v>45820</v>
      </c>
      <c r="C15" s="19"/>
      <c r="D15" s="19"/>
      <c r="E15" s="227">
        <v>20</v>
      </c>
      <c r="F15" s="227">
        <v>91.59</v>
      </c>
      <c r="G15" s="246">
        <f t="shared" si="0"/>
        <v>1831.8000000000002</v>
      </c>
      <c r="H15" s="246"/>
      <c r="I15" s="246"/>
      <c r="J15" s="246">
        <f t="shared" si="3"/>
        <v>0</v>
      </c>
      <c r="K15" s="246">
        <f t="shared" si="1"/>
        <v>1831.8000000000002</v>
      </c>
      <c r="L15" s="246">
        <f t="shared" si="2"/>
        <v>1831.8000000000002</v>
      </c>
      <c r="M15" s="227"/>
      <c r="N15" s="19"/>
    </row>
    <row r="16" spans="1:14">
      <c r="A16" s="28">
        <v>13</v>
      </c>
      <c r="B16" s="29">
        <v>45821</v>
      </c>
      <c r="C16" s="19"/>
      <c r="D16" s="19"/>
      <c r="E16" s="227">
        <v>0</v>
      </c>
      <c r="F16" s="227">
        <v>0</v>
      </c>
      <c r="G16" s="246">
        <f t="shared" si="0"/>
        <v>0</v>
      </c>
      <c r="H16" s="246"/>
      <c r="I16" s="246"/>
      <c r="J16" s="246">
        <f t="shared" si="3"/>
        <v>0</v>
      </c>
      <c r="K16" s="246">
        <f t="shared" si="1"/>
        <v>0</v>
      </c>
      <c r="L16" s="246">
        <f t="shared" si="2"/>
        <v>0</v>
      </c>
      <c r="M16" s="227"/>
      <c r="N16" s="19"/>
    </row>
    <row r="17" spans="1:15">
      <c r="A17" s="28">
        <v>14</v>
      </c>
      <c r="B17" s="29">
        <v>45822</v>
      </c>
      <c r="C17" s="19"/>
      <c r="D17" s="19"/>
      <c r="E17" s="227">
        <v>0</v>
      </c>
      <c r="F17" s="227">
        <v>0</v>
      </c>
      <c r="G17" s="246">
        <f t="shared" si="0"/>
        <v>0</v>
      </c>
      <c r="H17" s="246"/>
      <c r="I17" s="246"/>
      <c r="J17" s="246">
        <f t="shared" si="3"/>
        <v>0</v>
      </c>
      <c r="K17" s="246">
        <f t="shared" si="1"/>
        <v>0</v>
      </c>
      <c r="L17" s="246">
        <f t="shared" si="2"/>
        <v>0</v>
      </c>
      <c r="M17" s="227"/>
      <c r="N17" s="19"/>
    </row>
    <row r="18" spans="1:15">
      <c r="A18" s="28">
        <v>15</v>
      </c>
      <c r="B18" s="29">
        <v>45823</v>
      </c>
      <c r="C18" s="19"/>
      <c r="D18" s="19"/>
      <c r="E18" s="227">
        <v>0</v>
      </c>
      <c r="F18" s="227">
        <v>0</v>
      </c>
      <c r="G18" s="246">
        <f t="shared" si="0"/>
        <v>0</v>
      </c>
      <c r="H18" s="246"/>
      <c r="I18" s="246"/>
      <c r="J18" s="246">
        <f t="shared" si="3"/>
        <v>0</v>
      </c>
      <c r="K18" s="246">
        <f t="shared" ref="K18:K21" si="4">G18+J18</f>
        <v>0</v>
      </c>
      <c r="L18" s="246">
        <f t="shared" ref="L18:L21" si="5">+K18</f>
        <v>0</v>
      </c>
      <c r="M18" s="227"/>
      <c r="N18" s="19"/>
    </row>
    <row r="19" spans="1:15">
      <c r="A19" s="28">
        <v>16</v>
      </c>
      <c r="B19" s="29">
        <v>45824</v>
      </c>
      <c r="C19" s="19"/>
      <c r="D19" s="19"/>
      <c r="E19" s="227">
        <v>0</v>
      </c>
      <c r="F19" s="227">
        <v>0</v>
      </c>
      <c r="G19" s="246">
        <f t="shared" si="0"/>
        <v>0</v>
      </c>
      <c r="H19" s="246"/>
      <c r="I19" s="246"/>
      <c r="J19" s="246">
        <f t="shared" si="3"/>
        <v>0</v>
      </c>
      <c r="K19" s="246">
        <f t="shared" si="4"/>
        <v>0</v>
      </c>
      <c r="L19" s="246">
        <f t="shared" si="5"/>
        <v>0</v>
      </c>
      <c r="M19" s="227"/>
      <c r="N19" s="19"/>
    </row>
    <row r="20" spans="1:15">
      <c r="A20" s="28">
        <v>17</v>
      </c>
      <c r="B20" s="29">
        <v>45825</v>
      </c>
      <c r="C20" s="19"/>
      <c r="D20" s="19"/>
      <c r="E20" s="227">
        <v>0</v>
      </c>
      <c r="F20" s="227">
        <v>0</v>
      </c>
      <c r="G20" s="246">
        <f t="shared" si="0"/>
        <v>0</v>
      </c>
      <c r="H20" s="246"/>
      <c r="I20" s="246"/>
      <c r="J20" s="246">
        <f t="shared" si="3"/>
        <v>0</v>
      </c>
      <c r="K20" s="246">
        <f t="shared" si="4"/>
        <v>0</v>
      </c>
      <c r="L20" s="246">
        <f t="shared" si="5"/>
        <v>0</v>
      </c>
      <c r="M20" s="227"/>
      <c r="N20" s="19"/>
    </row>
    <row r="21" spans="1:15">
      <c r="A21" s="28">
        <v>18</v>
      </c>
      <c r="B21" s="29">
        <v>45826</v>
      </c>
      <c r="C21" s="19"/>
      <c r="D21" s="19"/>
      <c r="E21" s="227">
        <v>0</v>
      </c>
      <c r="F21" s="227">
        <v>0</v>
      </c>
      <c r="G21" s="246">
        <f t="shared" si="0"/>
        <v>0</v>
      </c>
      <c r="H21" s="246"/>
      <c r="I21" s="246"/>
      <c r="J21" s="246">
        <f t="shared" si="3"/>
        <v>0</v>
      </c>
      <c r="K21" s="246">
        <f t="shared" si="4"/>
        <v>0</v>
      </c>
      <c r="L21" s="246">
        <f t="shared" si="5"/>
        <v>0</v>
      </c>
      <c r="M21" s="227"/>
      <c r="N21" s="19"/>
    </row>
    <row r="22" spans="1:15">
      <c r="A22" s="28">
        <v>19</v>
      </c>
      <c r="B22" s="29">
        <v>45827</v>
      </c>
      <c r="C22" s="19"/>
      <c r="D22" s="19"/>
      <c r="E22" s="227">
        <v>40</v>
      </c>
      <c r="F22" s="227">
        <v>91.59</v>
      </c>
      <c r="G22" s="246">
        <f t="shared" si="0"/>
        <v>3663.6000000000004</v>
      </c>
      <c r="H22" s="246">
        <v>6.51</v>
      </c>
      <c r="I22" s="246">
        <v>103.59</v>
      </c>
      <c r="J22" s="246">
        <f t="shared" si="3"/>
        <v>674.37090000000001</v>
      </c>
      <c r="K22" s="246">
        <f t="shared" ref="K22:K24" si="6">G22+J22</f>
        <v>4337.9709000000003</v>
      </c>
      <c r="L22" s="246">
        <f t="shared" ref="L22:L24" si="7">+K22</f>
        <v>4337.9709000000003</v>
      </c>
      <c r="M22" s="227"/>
      <c r="N22" s="19"/>
    </row>
    <row r="23" spans="1:15">
      <c r="A23" s="28">
        <v>20</v>
      </c>
      <c r="B23" s="29">
        <v>45828</v>
      </c>
      <c r="C23" s="19"/>
      <c r="D23" s="19"/>
      <c r="E23" s="227">
        <v>30</v>
      </c>
      <c r="F23" s="227">
        <v>91.59</v>
      </c>
      <c r="G23" s="246">
        <f t="shared" si="0"/>
        <v>2747.7000000000003</v>
      </c>
      <c r="H23" s="246"/>
      <c r="I23" s="246"/>
      <c r="J23" s="246">
        <f t="shared" si="3"/>
        <v>0</v>
      </c>
      <c r="K23" s="246">
        <f t="shared" si="6"/>
        <v>2747.7000000000003</v>
      </c>
      <c r="L23" s="246">
        <f t="shared" si="7"/>
        <v>2747.7000000000003</v>
      </c>
      <c r="M23" s="227"/>
      <c r="N23" s="19"/>
    </row>
    <row r="24" spans="1:15">
      <c r="A24" s="28">
        <v>21</v>
      </c>
      <c r="B24" s="29">
        <v>45829</v>
      </c>
      <c r="C24" s="19"/>
      <c r="D24" s="19"/>
      <c r="E24" s="227">
        <v>150</v>
      </c>
      <c r="F24" s="227">
        <v>91.59</v>
      </c>
      <c r="G24" s="246">
        <f t="shared" si="0"/>
        <v>13738.5</v>
      </c>
      <c r="H24" s="246">
        <v>7</v>
      </c>
      <c r="I24" s="246">
        <v>103.59</v>
      </c>
      <c r="J24" s="246">
        <f t="shared" si="3"/>
        <v>725.13</v>
      </c>
      <c r="K24" s="246">
        <f t="shared" si="6"/>
        <v>14463.63</v>
      </c>
      <c r="L24" s="246">
        <f t="shared" si="7"/>
        <v>14463.63</v>
      </c>
      <c r="M24" s="227"/>
      <c r="N24" s="19"/>
    </row>
    <row r="25" spans="1:15">
      <c r="A25" s="28">
        <v>22</v>
      </c>
      <c r="B25" s="29">
        <v>45830</v>
      </c>
      <c r="C25" s="19"/>
      <c r="D25" s="19"/>
      <c r="E25" s="227">
        <v>0</v>
      </c>
      <c r="F25" s="227">
        <v>0</v>
      </c>
      <c r="G25" s="246">
        <f t="shared" si="0"/>
        <v>0</v>
      </c>
      <c r="H25" s="246"/>
      <c r="I25" s="246"/>
      <c r="J25" s="246">
        <f t="shared" si="3"/>
        <v>0</v>
      </c>
      <c r="K25" s="246">
        <f t="shared" ref="K25:K26" si="8">G25+J25</f>
        <v>0</v>
      </c>
      <c r="L25" s="246">
        <f t="shared" ref="L25:L26" si="9">+K25</f>
        <v>0</v>
      </c>
      <c r="M25" s="227"/>
      <c r="N25" s="19"/>
    </row>
    <row r="26" spans="1:15">
      <c r="A26" s="28">
        <v>23</v>
      </c>
      <c r="B26" s="29">
        <v>45831</v>
      </c>
      <c r="C26" s="19"/>
      <c r="D26" s="19"/>
      <c r="E26" s="227">
        <v>0</v>
      </c>
      <c r="F26" s="227">
        <v>0</v>
      </c>
      <c r="G26" s="246">
        <f t="shared" si="0"/>
        <v>0</v>
      </c>
      <c r="H26" s="246"/>
      <c r="I26" s="246"/>
      <c r="J26" s="246">
        <f t="shared" si="3"/>
        <v>0</v>
      </c>
      <c r="K26" s="246">
        <f t="shared" si="8"/>
        <v>0</v>
      </c>
      <c r="L26" s="246">
        <f t="shared" si="9"/>
        <v>0</v>
      </c>
      <c r="M26" s="227"/>
      <c r="N26" s="19"/>
    </row>
    <row r="27" spans="1:15">
      <c r="A27" s="28">
        <v>24</v>
      </c>
      <c r="B27" s="29">
        <v>45832</v>
      </c>
      <c r="C27" s="19"/>
      <c r="D27" s="19"/>
      <c r="E27" s="227">
        <v>0</v>
      </c>
      <c r="F27" s="227">
        <v>0</v>
      </c>
      <c r="G27" s="246">
        <f t="shared" si="0"/>
        <v>0</v>
      </c>
      <c r="H27" s="246"/>
      <c r="I27" s="246"/>
      <c r="J27" s="246">
        <f t="shared" si="3"/>
        <v>0</v>
      </c>
      <c r="K27" s="246">
        <f t="shared" ref="K27:K29" si="10">G27+J27</f>
        <v>0</v>
      </c>
      <c r="L27" s="246">
        <f t="shared" ref="L27:L29" si="11">+K27</f>
        <v>0</v>
      </c>
      <c r="M27" s="227"/>
      <c r="N27" s="19"/>
      <c r="O27">
        <v>0</v>
      </c>
    </row>
    <row r="28" spans="1:15">
      <c r="A28" s="28">
        <v>25</v>
      </c>
      <c r="B28" s="29">
        <v>45833</v>
      </c>
      <c r="C28" s="19"/>
      <c r="D28" s="19"/>
      <c r="E28" s="227">
        <v>100</v>
      </c>
      <c r="F28" s="227">
        <v>91.59</v>
      </c>
      <c r="G28" s="246">
        <f t="shared" si="0"/>
        <v>9159</v>
      </c>
      <c r="H28" s="246"/>
      <c r="I28" s="246"/>
      <c r="J28" s="246">
        <f t="shared" si="3"/>
        <v>0</v>
      </c>
      <c r="K28" s="246">
        <f t="shared" si="10"/>
        <v>9159</v>
      </c>
      <c r="L28" s="246">
        <f t="shared" si="11"/>
        <v>9159</v>
      </c>
      <c r="M28" s="227"/>
      <c r="N28" s="19"/>
    </row>
    <row r="29" spans="1:15">
      <c r="A29" s="28">
        <v>26</v>
      </c>
      <c r="B29" s="29">
        <v>45834</v>
      </c>
      <c r="C29" s="19"/>
      <c r="D29" s="19"/>
      <c r="E29" s="227">
        <v>30</v>
      </c>
      <c r="F29" s="227">
        <v>91.59</v>
      </c>
      <c r="G29" s="246">
        <f t="shared" si="0"/>
        <v>2747.7000000000003</v>
      </c>
      <c r="H29" s="246">
        <v>3</v>
      </c>
      <c r="I29" s="246">
        <v>103.59</v>
      </c>
      <c r="J29" s="246">
        <f t="shared" si="3"/>
        <v>310.77</v>
      </c>
      <c r="K29" s="246">
        <f t="shared" si="10"/>
        <v>3058.4700000000003</v>
      </c>
      <c r="L29" s="246">
        <f t="shared" si="11"/>
        <v>3058.4700000000003</v>
      </c>
      <c r="M29" s="227"/>
      <c r="N29" s="19"/>
    </row>
    <row r="30" spans="1:15">
      <c r="A30" s="28">
        <v>27</v>
      </c>
      <c r="B30" s="29">
        <v>45835</v>
      </c>
      <c r="C30" s="19"/>
      <c r="D30" s="19"/>
      <c r="E30" s="227">
        <v>0</v>
      </c>
      <c r="F30" s="227">
        <v>0</v>
      </c>
      <c r="G30" s="246">
        <f t="shared" si="0"/>
        <v>0</v>
      </c>
      <c r="H30" s="246"/>
      <c r="I30" s="246"/>
      <c r="J30" s="246"/>
      <c r="K30" s="246">
        <f t="shared" ref="K30" si="12">G30+J30</f>
        <v>0</v>
      </c>
      <c r="L30" s="246">
        <f t="shared" ref="L30" si="13">+K30</f>
        <v>0</v>
      </c>
      <c r="M30" s="227"/>
      <c r="N30" s="19"/>
    </row>
    <row r="31" spans="1:15">
      <c r="A31" s="263">
        <v>28</v>
      </c>
      <c r="B31" s="29">
        <v>45836</v>
      </c>
      <c r="C31" s="19"/>
      <c r="D31" s="19"/>
      <c r="E31" s="227">
        <v>0</v>
      </c>
      <c r="F31" s="227">
        <v>0</v>
      </c>
      <c r="G31" s="246">
        <f t="shared" si="0"/>
        <v>0</v>
      </c>
      <c r="H31" s="246"/>
      <c r="I31" s="246"/>
      <c r="J31" s="246"/>
      <c r="K31" s="246">
        <f t="shared" ref="K31:K33" si="14">G31+J31</f>
        <v>0</v>
      </c>
      <c r="L31" s="246">
        <f t="shared" ref="L31:L33" si="15">+K31</f>
        <v>0</v>
      </c>
      <c r="M31" s="227"/>
      <c r="N31" s="107"/>
    </row>
    <row r="32" spans="1:15">
      <c r="A32" s="28">
        <v>29</v>
      </c>
      <c r="B32" s="29">
        <v>45837</v>
      </c>
      <c r="C32" s="19"/>
      <c r="D32" s="19"/>
      <c r="E32" s="227">
        <v>30</v>
      </c>
      <c r="F32" s="227">
        <v>91.59</v>
      </c>
      <c r="G32" s="246">
        <f t="shared" si="0"/>
        <v>2747.7000000000003</v>
      </c>
      <c r="H32" s="246"/>
      <c r="I32" s="246"/>
      <c r="J32" s="246"/>
      <c r="K32" s="246">
        <f t="shared" si="14"/>
        <v>2747.7000000000003</v>
      </c>
      <c r="L32" s="246">
        <f t="shared" si="15"/>
        <v>2747.7000000000003</v>
      </c>
      <c r="M32" s="227"/>
      <c r="N32" s="19"/>
    </row>
    <row r="33" spans="1:14">
      <c r="A33" s="28">
        <v>30</v>
      </c>
      <c r="B33" s="29">
        <v>45838</v>
      </c>
      <c r="C33" s="19"/>
      <c r="D33" s="19"/>
      <c r="E33" s="227">
        <v>0</v>
      </c>
      <c r="F33" s="227">
        <v>0</v>
      </c>
      <c r="G33" s="246">
        <f t="shared" si="0"/>
        <v>0</v>
      </c>
      <c r="H33" s="246"/>
      <c r="I33" s="246"/>
      <c r="J33" s="246"/>
      <c r="K33" s="246">
        <f t="shared" si="14"/>
        <v>0</v>
      </c>
      <c r="L33" s="246">
        <f t="shared" si="15"/>
        <v>0</v>
      </c>
      <c r="M33" s="227"/>
      <c r="N33" s="19"/>
    </row>
    <row r="34" spans="1:14">
      <c r="A34" s="28">
        <v>31</v>
      </c>
      <c r="B34" s="29"/>
      <c r="C34" s="19"/>
      <c r="D34" s="19"/>
      <c r="E34" s="227">
        <v>0</v>
      </c>
      <c r="F34" s="227">
        <v>0</v>
      </c>
      <c r="G34" s="246">
        <f t="shared" ref="G5:G34" si="16">E34*F34</f>
        <v>0</v>
      </c>
      <c r="H34" s="246"/>
      <c r="I34" s="246"/>
      <c r="J34" s="246"/>
      <c r="K34" s="246"/>
      <c r="L34" s="246"/>
      <c r="M34" s="227"/>
      <c r="N34" s="19"/>
    </row>
    <row r="35" spans="1:14">
      <c r="A35" s="206"/>
      <c r="B35" s="206"/>
      <c r="C35" s="206"/>
      <c r="D35" s="206"/>
      <c r="E35" s="206">
        <f>SUM(E4:E34)</f>
        <v>705</v>
      </c>
      <c r="F35" s="206"/>
      <c r="G35" s="206">
        <f>SUM(G4:G34)</f>
        <v>64570.94999999999</v>
      </c>
      <c r="H35" s="206">
        <f>SUM(H4:H34)</f>
        <v>32.51</v>
      </c>
      <c r="I35" s="206"/>
      <c r="J35" s="206">
        <f>SUM(J4:J34)</f>
        <v>3367.2309</v>
      </c>
      <c r="K35" s="206">
        <f>SUM(K4:K34)</f>
        <v>67938.180899999992</v>
      </c>
      <c r="L35" s="206">
        <f>SUM(L4:L34)</f>
        <v>67938.180899999992</v>
      </c>
      <c r="M35" s="206"/>
      <c r="N35" s="206"/>
    </row>
  </sheetData>
  <mergeCells count="2">
    <mergeCell ref="A1:N1"/>
    <mergeCell ref="A3:J3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8B3BE-D862-4195-B5AF-A057F3C991D4}">
  <dimension ref="A1:P40"/>
  <sheetViews>
    <sheetView workbookViewId="0">
      <pane ySplit="2" topLeftCell="A21" activePane="bottomLeft" state="frozen"/>
      <selection pane="bottomLeft" activeCell="P42" sqref="P42"/>
    </sheetView>
  </sheetViews>
  <sheetFormatPr defaultColWidth="14.28515625" defaultRowHeight="15"/>
  <cols>
    <col min="1" max="1" width="5.140625" bestFit="1" customWidth="1"/>
    <col min="2" max="2" width="10.42578125" bestFit="1" customWidth="1"/>
    <col min="3" max="3" width="8" bestFit="1" customWidth="1"/>
    <col min="4" max="4" width="19.28515625" customWidth="1"/>
    <col min="5" max="5" width="10.7109375" style="24" bestFit="1" customWidth="1"/>
    <col min="6" max="6" width="9.5703125" style="24" bestFit="1" customWidth="1"/>
    <col min="7" max="7" width="9.28515625" style="24" bestFit="1" customWidth="1"/>
    <col min="8" max="8" width="10.7109375" style="24" bestFit="1" customWidth="1"/>
    <col min="9" max="9" width="7.140625" style="24" bestFit="1" customWidth="1"/>
    <col min="10" max="10" width="8.7109375" style="24" bestFit="1" customWidth="1"/>
    <col min="11" max="11" width="13.5703125" style="24" bestFit="1" customWidth="1"/>
    <col min="12" max="12" width="13.5703125" bestFit="1" customWidth="1"/>
    <col min="13" max="13" width="13.5703125" customWidth="1"/>
    <col min="14" max="14" width="17.7109375" bestFit="1" customWidth="1"/>
  </cols>
  <sheetData>
    <row r="1" spans="1:16" ht="15.75">
      <c r="A1" s="488" t="s">
        <v>60</v>
      </c>
      <c r="B1" s="488"/>
      <c r="C1" s="488"/>
      <c r="D1" s="488"/>
      <c r="E1" s="488"/>
      <c r="F1" s="488"/>
      <c r="G1" s="488"/>
      <c r="H1" s="488"/>
      <c r="I1" s="488"/>
      <c r="J1" s="488"/>
      <c r="K1" s="488"/>
      <c r="L1" s="488"/>
      <c r="M1" s="488"/>
      <c r="N1" s="488"/>
    </row>
    <row r="2" spans="1:16">
      <c r="A2" s="76" t="s">
        <v>102</v>
      </c>
      <c r="B2" s="96" t="s">
        <v>103</v>
      </c>
      <c r="C2" s="96" t="s">
        <v>104</v>
      </c>
      <c r="D2" s="96" t="s">
        <v>105</v>
      </c>
      <c r="E2" s="103" t="s">
        <v>106</v>
      </c>
      <c r="F2" s="103" t="s">
        <v>107</v>
      </c>
      <c r="G2" s="103" t="s">
        <v>108</v>
      </c>
      <c r="H2" s="103" t="s">
        <v>109</v>
      </c>
      <c r="I2" s="103" t="s">
        <v>107</v>
      </c>
      <c r="J2" s="103" t="s">
        <v>108</v>
      </c>
      <c r="K2" s="104" t="s">
        <v>110</v>
      </c>
      <c r="L2" s="98" t="s">
        <v>111</v>
      </c>
      <c r="M2" s="98" t="s">
        <v>149</v>
      </c>
      <c r="N2" s="140" t="s">
        <v>113</v>
      </c>
    </row>
    <row r="3" spans="1:16">
      <c r="A3" s="456" t="s">
        <v>114</v>
      </c>
      <c r="B3" s="456"/>
      <c r="C3" s="456"/>
      <c r="D3" s="456"/>
      <c r="E3" s="456"/>
      <c r="F3" s="456"/>
      <c r="G3" s="456"/>
      <c r="H3" s="456"/>
      <c r="I3" s="456"/>
      <c r="J3" s="466"/>
      <c r="K3" s="238">
        <v>13725.912300000011</v>
      </c>
      <c r="M3" s="150">
        <f>+K3</f>
        <v>13725.912300000011</v>
      </c>
      <c r="N3" s="107"/>
    </row>
    <row r="4" spans="1:16">
      <c r="A4" s="28">
        <v>1</v>
      </c>
      <c r="B4" s="29">
        <v>45809</v>
      </c>
      <c r="C4" s="19"/>
      <c r="D4" s="19"/>
      <c r="E4" s="46">
        <v>0</v>
      </c>
      <c r="F4" s="46">
        <v>0</v>
      </c>
      <c r="G4" s="46">
        <f>E4*F4</f>
        <v>0</v>
      </c>
      <c r="H4" s="46">
        <v>0</v>
      </c>
      <c r="I4" s="46">
        <v>0</v>
      </c>
      <c r="J4" s="46">
        <f>H4*I4</f>
        <v>0</v>
      </c>
      <c r="K4" s="46">
        <f>G4+J4</f>
        <v>0</v>
      </c>
      <c r="L4" s="46">
        <v>0</v>
      </c>
      <c r="M4" s="151">
        <f>M3+K4-L4</f>
        <v>13725.912300000011</v>
      </c>
      <c r="N4" s="19"/>
    </row>
    <row r="5" spans="1:16">
      <c r="A5" s="28">
        <v>2</v>
      </c>
      <c r="B5" s="29">
        <v>45810</v>
      </c>
      <c r="C5" s="19"/>
      <c r="D5" s="19"/>
      <c r="E5" s="46">
        <v>3.27</v>
      </c>
      <c r="F5" s="46">
        <v>91.81</v>
      </c>
      <c r="G5" s="46">
        <f t="shared" ref="G5:G38" si="0">E5*F5</f>
        <v>300.21870000000001</v>
      </c>
      <c r="H5" s="46">
        <v>0</v>
      </c>
      <c r="I5" s="46">
        <v>0</v>
      </c>
      <c r="J5" s="46">
        <f t="shared" ref="J5:J38" si="1">H5*I5</f>
        <v>0</v>
      </c>
      <c r="K5" s="46">
        <f t="shared" ref="K5:K38" si="2">G5+J5</f>
        <v>300.21870000000001</v>
      </c>
      <c r="L5" s="46">
        <v>0</v>
      </c>
      <c r="M5" s="151">
        <f t="shared" ref="M5:M39" si="3">M4+K5-L5</f>
        <v>14026.13100000001</v>
      </c>
      <c r="N5" s="19"/>
    </row>
    <row r="6" spans="1:16">
      <c r="A6" s="28">
        <v>3</v>
      </c>
      <c r="B6" s="29">
        <v>45811</v>
      </c>
      <c r="C6" s="19"/>
      <c r="D6" s="19"/>
      <c r="E6" s="46">
        <v>49.07</v>
      </c>
      <c r="F6" s="46">
        <v>91.71</v>
      </c>
      <c r="G6" s="46">
        <f t="shared" si="0"/>
        <v>4500.2096999999994</v>
      </c>
      <c r="H6" s="46">
        <v>0</v>
      </c>
      <c r="I6" s="46">
        <v>0</v>
      </c>
      <c r="J6" s="46">
        <f t="shared" si="1"/>
        <v>0</v>
      </c>
      <c r="K6" s="46">
        <f t="shared" si="2"/>
        <v>4500.2096999999994</v>
      </c>
      <c r="L6" s="46">
        <v>4500.21</v>
      </c>
      <c r="M6" s="151">
        <f t="shared" si="3"/>
        <v>14026.130700000009</v>
      </c>
      <c r="N6" s="19"/>
    </row>
    <row r="7" spans="1:16">
      <c r="A7" s="28">
        <v>4</v>
      </c>
      <c r="B7" s="29">
        <v>45812</v>
      </c>
      <c r="C7" s="19"/>
      <c r="D7" s="19"/>
      <c r="E7" s="46">
        <v>0</v>
      </c>
      <c r="F7" s="46">
        <v>0</v>
      </c>
      <c r="G7" s="46">
        <f t="shared" si="0"/>
        <v>0</v>
      </c>
      <c r="H7" s="46">
        <v>0</v>
      </c>
      <c r="I7" s="46">
        <v>0</v>
      </c>
      <c r="J7" s="46">
        <f t="shared" si="1"/>
        <v>0</v>
      </c>
      <c r="K7" s="46">
        <f t="shared" si="2"/>
        <v>0</v>
      </c>
      <c r="L7" s="46">
        <v>0</v>
      </c>
      <c r="M7" s="151">
        <f t="shared" si="3"/>
        <v>14026.130700000009</v>
      </c>
      <c r="N7" s="19"/>
    </row>
    <row r="8" spans="1:16">
      <c r="A8" s="28">
        <v>5</v>
      </c>
      <c r="B8" s="29">
        <v>45813</v>
      </c>
      <c r="C8" s="19"/>
      <c r="D8" s="19"/>
      <c r="E8" s="46">
        <v>40.67</v>
      </c>
      <c r="F8" s="46">
        <v>91.47</v>
      </c>
      <c r="G8" s="46">
        <f t="shared" si="0"/>
        <v>3720.0849000000003</v>
      </c>
      <c r="H8" s="46">
        <v>0</v>
      </c>
      <c r="I8" s="46">
        <v>0</v>
      </c>
      <c r="J8" s="46">
        <f t="shared" si="1"/>
        <v>0</v>
      </c>
      <c r="K8" s="46">
        <f t="shared" si="2"/>
        <v>3720.0849000000003</v>
      </c>
      <c r="L8" s="46">
        <v>0</v>
      </c>
      <c r="M8" s="151">
        <f t="shared" si="3"/>
        <v>17746.21560000001</v>
      </c>
      <c r="N8" s="53"/>
    </row>
    <row r="9" spans="1:16">
      <c r="A9" s="28"/>
      <c r="B9" s="29">
        <v>45813</v>
      </c>
      <c r="C9" s="19"/>
      <c r="D9" s="19"/>
      <c r="E9" s="46">
        <v>39.25</v>
      </c>
      <c r="F9" s="46">
        <v>91.71</v>
      </c>
      <c r="G9" s="46">
        <f t="shared" si="0"/>
        <v>3599.6174999999998</v>
      </c>
      <c r="H9" s="46">
        <v>0</v>
      </c>
      <c r="I9" s="46">
        <v>0</v>
      </c>
      <c r="J9" s="46">
        <f t="shared" si="1"/>
        <v>0</v>
      </c>
      <c r="K9" s="46">
        <f t="shared" si="2"/>
        <v>3599.6174999999998</v>
      </c>
      <c r="L9" s="46">
        <v>17500</v>
      </c>
      <c r="M9" s="151">
        <f t="shared" si="3"/>
        <v>3845.8331000000107</v>
      </c>
      <c r="N9" s="53"/>
    </row>
    <row r="10" spans="1:16">
      <c r="A10" s="28">
        <v>6</v>
      </c>
      <c r="B10" s="29">
        <v>45814</v>
      </c>
      <c r="C10" s="19"/>
      <c r="D10" s="19"/>
      <c r="E10" s="46">
        <v>25.08</v>
      </c>
      <c r="F10" s="46">
        <v>91.71</v>
      </c>
      <c r="G10" s="46">
        <f t="shared" si="0"/>
        <v>2300.0867999999996</v>
      </c>
      <c r="H10" s="46">
        <v>0</v>
      </c>
      <c r="I10" s="46">
        <v>104.94</v>
      </c>
      <c r="J10" s="46">
        <f t="shared" si="1"/>
        <v>0</v>
      </c>
      <c r="K10" s="46">
        <f t="shared" si="2"/>
        <v>2300.0867999999996</v>
      </c>
      <c r="L10" s="46">
        <v>2300</v>
      </c>
      <c r="M10" s="151">
        <f t="shared" si="3"/>
        <v>3845.9199000000099</v>
      </c>
      <c r="N10" s="53"/>
    </row>
    <row r="11" spans="1:16">
      <c r="A11" s="28">
        <v>7</v>
      </c>
      <c r="B11" s="29">
        <v>45815</v>
      </c>
      <c r="C11" s="19"/>
      <c r="D11" s="19"/>
      <c r="E11" s="46">
        <v>0</v>
      </c>
      <c r="F11" s="46">
        <v>0</v>
      </c>
      <c r="G11" s="46">
        <f t="shared" si="0"/>
        <v>0</v>
      </c>
      <c r="H11" s="46">
        <v>0</v>
      </c>
      <c r="I11" s="46">
        <v>0</v>
      </c>
      <c r="J11" s="46">
        <f t="shared" si="1"/>
        <v>0</v>
      </c>
      <c r="K11" s="46">
        <f t="shared" si="2"/>
        <v>0</v>
      </c>
      <c r="L11" s="46">
        <v>0</v>
      </c>
      <c r="M11" s="151">
        <f t="shared" si="3"/>
        <v>3845.9199000000099</v>
      </c>
      <c r="N11" s="53"/>
    </row>
    <row r="12" spans="1:16">
      <c r="A12" s="28">
        <v>8</v>
      </c>
      <c r="B12" s="29">
        <v>45816</v>
      </c>
      <c r="C12" s="19"/>
      <c r="D12" s="19"/>
      <c r="E12" s="46">
        <v>43.11</v>
      </c>
      <c r="F12" s="46">
        <v>91.71</v>
      </c>
      <c r="G12" s="46">
        <f t="shared" si="0"/>
        <v>3953.6180999999997</v>
      </c>
      <c r="H12" s="46">
        <v>0</v>
      </c>
      <c r="I12" s="46">
        <v>0</v>
      </c>
      <c r="J12" s="46">
        <f t="shared" si="1"/>
        <v>0</v>
      </c>
      <c r="K12" s="46">
        <f t="shared" si="2"/>
        <v>3953.6180999999997</v>
      </c>
      <c r="L12" s="46">
        <v>0</v>
      </c>
      <c r="M12" s="151">
        <f t="shared" si="3"/>
        <v>7799.5380000000096</v>
      </c>
      <c r="N12" s="53"/>
      <c r="P12" s="24"/>
    </row>
    <row r="13" spans="1:16">
      <c r="A13" s="28">
        <v>9</v>
      </c>
      <c r="B13" s="29">
        <v>45817</v>
      </c>
      <c r="C13" s="19"/>
      <c r="D13" s="19"/>
      <c r="E13" s="46">
        <v>38.33</v>
      </c>
      <c r="F13" s="46">
        <v>92.03</v>
      </c>
      <c r="G13" s="46">
        <f t="shared" si="0"/>
        <v>3527.5099</v>
      </c>
      <c r="H13" s="46">
        <v>0</v>
      </c>
      <c r="I13" s="46">
        <v>0</v>
      </c>
      <c r="J13" s="46">
        <f t="shared" si="1"/>
        <v>0</v>
      </c>
      <c r="K13" s="46">
        <f t="shared" si="2"/>
        <v>3527.5099</v>
      </c>
      <c r="L13" s="46">
        <v>3527.51</v>
      </c>
      <c r="M13" s="151">
        <f t="shared" si="3"/>
        <v>7799.5379000000084</v>
      </c>
      <c r="N13" s="53"/>
      <c r="P13" s="24"/>
    </row>
    <row r="14" spans="1:16">
      <c r="A14" s="28">
        <v>10</v>
      </c>
      <c r="B14" s="29">
        <v>45818</v>
      </c>
      <c r="C14" s="19"/>
      <c r="D14" s="19"/>
      <c r="E14" s="46">
        <v>39.9</v>
      </c>
      <c r="F14" s="46">
        <v>91.71</v>
      </c>
      <c r="G14" s="46">
        <f t="shared" si="0"/>
        <v>3659.2289999999998</v>
      </c>
      <c r="H14" s="46">
        <v>0</v>
      </c>
      <c r="I14" s="46">
        <v>0</v>
      </c>
      <c r="J14" s="46">
        <f t="shared" si="1"/>
        <v>0</v>
      </c>
      <c r="K14" s="46">
        <f t="shared" si="2"/>
        <v>3659.2289999999998</v>
      </c>
      <c r="L14" s="46">
        <v>0</v>
      </c>
      <c r="M14" s="151">
        <f t="shared" si="3"/>
        <v>11458.766900000008</v>
      </c>
      <c r="N14" s="53"/>
      <c r="P14" s="24"/>
    </row>
    <row r="15" spans="1:16">
      <c r="A15" s="28">
        <v>11</v>
      </c>
      <c r="B15" s="29">
        <v>45819</v>
      </c>
      <c r="C15" s="19"/>
      <c r="D15" s="19"/>
      <c r="E15" s="46">
        <v>46.41</v>
      </c>
      <c r="F15" s="46">
        <v>91.71</v>
      </c>
      <c r="G15" s="46">
        <f t="shared" si="0"/>
        <v>4256.2610999999997</v>
      </c>
      <c r="H15" s="46">
        <v>0</v>
      </c>
      <c r="I15" s="46">
        <v>0</v>
      </c>
      <c r="J15" s="46">
        <f t="shared" si="1"/>
        <v>0</v>
      </c>
      <c r="K15" s="46">
        <f t="shared" si="2"/>
        <v>4256.2610999999997</v>
      </c>
      <c r="L15" s="46">
        <v>4256.26</v>
      </c>
      <c r="M15" s="151">
        <f t="shared" si="3"/>
        <v>11458.768000000007</v>
      </c>
      <c r="N15" s="53"/>
      <c r="P15" s="24"/>
    </row>
    <row r="16" spans="1:16">
      <c r="A16" s="28">
        <v>12</v>
      </c>
      <c r="B16" s="29">
        <v>45820</v>
      </c>
      <c r="C16" s="19"/>
      <c r="D16" s="19"/>
      <c r="E16" s="46">
        <v>34.04</v>
      </c>
      <c r="F16" s="46">
        <v>91.71</v>
      </c>
      <c r="G16" s="46">
        <f t="shared" si="0"/>
        <v>3121.8083999999999</v>
      </c>
      <c r="H16" s="46">
        <v>0</v>
      </c>
      <c r="I16" s="46">
        <v>0</v>
      </c>
      <c r="J16" s="46">
        <f t="shared" si="1"/>
        <v>0</v>
      </c>
      <c r="K16" s="46">
        <f t="shared" si="2"/>
        <v>3121.8083999999999</v>
      </c>
      <c r="L16" s="46">
        <v>14131.81</v>
      </c>
      <c r="M16" s="151">
        <f t="shared" si="3"/>
        <v>448.76640000000771</v>
      </c>
      <c r="N16" s="53"/>
    </row>
    <row r="17" spans="1:14">
      <c r="A17" s="28">
        <v>13</v>
      </c>
      <c r="B17" s="29">
        <v>45821</v>
      </c>
      <c r="C17" s="19"/>
      <c r="D17" s="19"/>
      <c r="E17" s="46">
        <v>0</v>
      </c>
      <c r="F17" s="46">
        <v>0</v>
      </c>
      <c r="G17" s="46">
        <f t="shared" si="0"/>
        <v>0</v>
      </c>
      <c r="H17" s="46">
        <v>0</v>
      </c>
      <c r="I17" s="46">
        <v>0</v>
      </c>
      <c r="J17" s="46">
        <f t="shared" si="1"/>
        <v>0</v>
      </c>
      <c r="K17" s="46">
        <f t="shared" si="2"/>
        <v>0</v>
      </c>
      <c r="L17" s="46">
        <v>0</v>
      </c>
      <c r="M17" s="151">
        <f t="shared" si="3"/>
        <v>448.76640000000771</v>
      </c>
      <c r="N17" s="53"/>
    </row>
    <row r="18" spans="1:14">
      <c r="A18" s="28">
        <v>14</v>
      </c>
      <c r="B18" s="29">
        <v>45822</v>
      </c>
      <c r="C18" s="19"/>
      <c r="D18" s="19"/>
      <c r="E18" s="46">
        <v>0</v>
      </c>
      <c r="F18" s="46">
        <v>0</v>
      </c>
      <c r="G18" s="46">
        <f t="shared" si="0"/>
        <v>0</v>
      </c>
      <c r="H18" s="46">
        <v>0</v>
      </c>
      <c r="I18" s="46">
        <v>0</v>
      </c>
      <c r="J18" s="46">
        <f t="shared" si="1"/>
        <v>0</v>
      </c>
      <c r="K18" s="46">
        <f t="shared" si="2"/>
        <v>0</v>
      </c>
      <c r="L18" s="46">
        <v>0</v>
      </c>
      <c r="M18" s="151">
        <f t="shared" si="3"/>
        <v>448.76640000000771</v>
      </c>
      <c r="N18" s="53"/>
    </row>
    <row r="19" spans="1:14">
      <c r="A19" s="28">
        <v>15</v>
      </c>
      <c r="B19" s="29">
        <v>45823</v>
      </c>
      <c r="C19" s="19"/>
      <c r="D19" s="19"/>
      <c r="E19" s="46">
        <v>0</v>
      </c>
      <c r="F19" s="46">
        <v>0</v>
      </c>
      <c r="G19" s="46">
        <f t="shared" si="0"/>
        <v>0</v>
      </c>
      <c r="H19" s="46">
        <v>0</v>
      </c>
      <c r="I19" s="46">
        <v>0</v>
      </c>
      <c r="J19" s="46">
        <f t="shared" si="1"/>
        <v>0</v>
      </c>
      <c r="K19" s="46">
        <f t="shared" si="2"/>
        <v>0</v>
      </c>
      <c r="L19" s="46">
        <v>0</v>
      </c>
      <c r="M19" s="151">
        <f t="shared" si="3"/>
        <v>448.76640000000771</v>
      </c>
      <c r="N19" s="53"/>
    </row>
    <row r="20" spans="1:14">
      <c r="A20" s="28">
        <v>16</v>
      </c>
      <c r="B20" s="29">
        <v>45824</v>
      </c>
      <c r="C20" s="19"/>
      <c r="D20" s="19"/>
      <c r="E20" s="46">
        <v>35.479999999999997</v>
      </c>
      <c r="F20" s="46">
        <v>92.03</v>
      </c>
      <c r="G20" s="46">
        <f t="shared" si="0"/>
        <v>3265.2243999999996</v>
      </c>
      <c r="H20" s="46">
        <v>0</v>
      </c>
      <c r="I20" s="46">
        <v>0</v>
      </c>
      <c r="J20" s="46">
        <f t="shared" si="1"/>
        <v>0</v>
      </c>
      <c r="K20" s="46">
        <f t="shared" si="2"/>
        <v>3265.2243999999996</v>
      </c>
      <c r="L20" s="46">
        <v>3265.22</v>
      </c>
      <c r="M20" s="151">
        <f t="shared" si="3"/>
        <v>448.77080000000751</v>
      </c>
      <c r="N20" s="53"/>
    </row>
    <row r="21" spans="1:14">
      <c r="A21" s="28">
        <v>17</v>
      </c>
      <c r="B21" s="29">
        <v>45825</v>
      </c>
      <c r="C21" s="19"/>
      <c r="D21" s="19"/>
      <c r="E21" s="46">
        <v>38.74</v>
      </c>
      <c r="F21" s="46">
        <v>90.35</v>
      </c>
      <c r="G21" s="46">
        <f t="shared" si="0"/>
        <v>3500.1590000000001</v>
      </c>
      <c r="H21" s="46">
        <v>0</v>
      </c>
      <c r="I21" s="46">
        <v>0</v>
      </c>
      <c r="J21" s="46">
        <f t="shared" si="1"/>
        <v>0</v>
      </c>
      <c r="K21" s="46">
        <f t="shared" si="2"/>
        <v>3500.1590000000001</v>
      </c>
      <c r="L21" s="46">
        <v>3500.16</v>
      </c>
      <c r="M21" s="151">
        <f t="shared" si="3"/>
        <v>448.76980000000776</v>
      </c>
      <c r="N21" s="53"/>
    </row>
    <row r="22" spans="1:14">
      <c r="A22" s="28">
        <v>18</v>
      </c>
      <c r="B22" s="29">
        <v>45826</v>
      </c>
      <c r="C22" s="19"/>
      <c r="D22" s="19"/>
      <c r="E22" s="46">
        <v>36.04</v>
      </c>
      <c r="F22" s="46">
        <v>91.09</v>
      </c>
      <c r="G22" s="46">
        <f t="shared" si="0"/>
        <v>3282.8836000000001</v>
      </c>
      <c r="H22" s="46">
        <v>0</v>
      </c>
      <c r="I22" s="46">
        <v>0</v>
      </c>
      <c r="J22" s="46">
        <f t="shared" si="1"/>
        <v>0</v>
      </c>
      <c r="K22" s="46">
        <f t="shared" si="2"/>
        <v>3282.8836000000001</v>
      </c>
      <c r="L22" s="46">
        <v>3282.88</v>
      </c>
      <c r="M22" s="151">
        <f t="shared" si="3"/>
        <v>448.77340000000777</v>
      </c>
      <c r="N22" s="53"/>
    </row>
    <row r="23" spans="1:14">
      <c r="A23" s="28">
        <v>19</v>
      </c>
      <c r="B23" s="29">
        <v>45827</v>
      </c>
      <c r="C23" s="19"/>
      <c r="D23" s="19"/>
      <c r="E23" s="46">
        <v>0</v>
      </c>
      <c r="F23" s="46">
        <v>0</v>
      </c>
      <c r="G23" s="46">
        <f t="shared" si="0"/>
        <v>0</v>
      </c>
      <c r="H23" s="46">
        <v>0</v>
      </c>
      <c r="I23" s="46">
        <v>0</v>
      </c>
      <c r="J23" s="46">
        <f t="shared" si="1"/>
        <v>0</v>
      </c>
      <c r="K23" s="46">
        <f t="shared" si="2"/>
        <v>0</v>
      </c>
      <c r="L23" s="46">
        <v>0</v>
      </c>
      <c r="M23" s="151">
        <f t="shared" si="3"/>
        <v>448.77340000000777</v>
      </c>
      <c r="N23" s="53"/>
    </row>
    <row r="24" spans="1:14">
      <c r="A24" s="28">
        <v>20</v>
      </c>
      <c r="B24" s="29">
        <v>45828</v>
      </c>
      <c r="C24" s="19"/>
      <c r="D24" s="19"/>
      <c r="E24" s="46">
        <v>51.57</v>
      </c>
      <c r="F24" s="46">
        <v>91.71</v>
      </c>
      <c r="G24" s="46">
        <f t="shared" si="0"/>
        <v>4729.4847</v>
      </c>
      <c r="H24" s="46">
        <v>14.64</v>
      </c>
      <c r="I24" s="46">
        <v>105.19</v>
      </c>
      <c r="J24" s="46">
        <f t="shared" si="1"/>
        <v>1539.9816000000001</v>
      </c>
      <c r="K24" s="46">
        <f t="shared" si="2"/>
        <v>6269.4663</v>
      </c>
      <c r="L24" s="46">
        <v>0</v>
      </c>
      <c r="M24" s="151">
        <f t="shared" si="3"/>
        <v>6718.2397000000074</v>
      </c>
      <c r="N24" s="53"/>
    </row>
    <row r="25" spans="1:14">
      <c r="A25" s="28">
        <v>21</v>
      </c>
      <c r="B25" s="29">
        <v>45829</v>
      </c>
      <c r="C25" s="19"/>
      <c r="D25" s="19"/>
      <c r="E25" s="46">
        <v>0</v>
      </c>
      <c r="F25" s="46">
        <v>0</v>
      </c>
      <c r="G25" s="46">
        <f t="shared" si="0"/>
        <v>0</v>
      </c>
      <c r="H25" s="46">
        <v>0</v>
      </c>
      <c r="I25" s="46">
        <v>0</v>
      </c>
      <c r="J25" s="46">
        <f t="shared" si="1"/>
        <v>0</v>
      </c>
      <c r="K25" s="46">
        <f t="shared" si="2"/>
        <v>0</v>
      </c>
      <c r="L25" s="46">
        <v>0</v>
      </c>
      <c r="M25" s="151">
        <f t="shared" si="3"/>
        <v>6718.2397000000074</v>
      </c>
      <c r="N25" s="53"/>
    </row>
    <row r="26" spans="1:14">
      <c r="A26" s="28">
        <v>22</v>
      </c>
      <c r="B26" s="29">
        <v>45830</v>
      </c>
      <c r="C26" s="19"/>
      <c r="D26" s="19"/>
      <c r="E26" s="46">
        <v>51.04</v>
      </c>
      <c r="F26" s="46">
        <v>91.71</v>
      </c>
      <c r="G26" s="46">
        <f t="shared" si="0"/>
        <v>4680.8783999999996</v>
      </c>
      <c r="H26" s="46">
        <v>0</v>
      </c>
      <c r="I26" s="46">
        <v>0</v>
      </c>
      <c r="J26" s="46">
        <f t="shared" si="1"/>
        <v>0</v>
      </c>
      <c r="K26" s="46">
        <f t="shared" si="2"/>
        <v>4680.8783999999996</v>
      </c>
      <c r="L26" s="46">
        <v>0</v>
      </c>
      <c r="M26" s="151">
        <f t="shared" si="3"/>
        <v>11399.118100000007</v>
      </c>
      <c r="N26" s="53"/>
    </row>
    <row r="27" spans="1:14">
      <c r="A27" s="28">
        <v>23</v>
      </c>
      <c r="B27" s="29">
        <v>45831</v>
      </c>
      <c r="C27" s="19"/>
      <c r="D27" s="19"/>
      <c r="E27" s="46">
        <v>0</v>
      </c>
      <c r="F27" s="46">
        <v>0</v>
      </c>
      <c r="G27" s="46">
        <f t="shared" si="0"/>
        <v>0</v>
      </c>
      <c r="H27" s="46">
        <v>0</v>
      </c>
      <c r="I27" s="46">
        <v>0</v>
      </c>
      <c r="J27" s="46">
        <f t="shared" si="1"/>
        <v>0</v>
      </c>
      <c r="K27" s="46">
        <f t="shared" si="2"/>
        <v>0</v>
      </c>
      <c r="L27" s="46">
        <v>0</v>
      </c>
      <c r="M27" s="151">
        <f t="shared" si="3"/>
        <v>11399.118100000007</v>
      </c>
      <c r="N27" s="53"/>
    </row>
    <row r="28" spans="1:14">
      <c r="A28" s="28">
        <v>24</v>
      </c>
      <c r="B28" s="29">
        <v>45832</v>
      </c>
      <c r="C28" s="19"/>
      <c r="D28" s="19"/>
      <c r="E28" s="46">
        <v>121.24</v>
      </c>
      <c r="F28" s="46">
        <v>91.71</v>
      </c>
      <c r="G28" s="46">
        <f t="shared" si="0"/>
        <v>11118.920399999999</v>
      </c>
      <c r="H28" s="46">
        <v>0</v>
      </c>
      <c r="I28" s="46">
        <v>0</v>
      </c>
      <c r="J28" s="46">
        <f t="shared" si="1"/>
        <v>0</v>
      </c>
      <c r="K28" s="46">
        <f t="shared" si="2"/>
        <v>11118.920399999999</v>
      </c>
      <c r="L28" s="46">
        <v>11118.92</v>
      </c>
      <c r="M28" s="151">
        <f t="shared" si="3"/>
        <v>11399.118500000006</v>
      </c>
      <c r="N28" s="53"/>
    </row>
    <row r="29" spans="1:14">
      <c r="A29" s="28">
        <v>25</v>
      </c>
      <c r="B29" s="29">
        <v>45833</v>
      </c>
      <c r="C29" s="19"/>
      <c r="D29" s="19"/>
      <c r="E29" s="46">
        <v>26.97</v>
      </c>
      <c r="F29" s="46">
        <v>92.03</v>
      </c>
      <c r="G29" s="46">
        <f t="shared" si="0"/>
        <v>2482.0490999999997</v>
      </c>
      <c r="H29" s="46">
        <v>0</v>
      </c>
      <c r="I29" s="46">
        <v>0</v>
      </c>
      <c r="J29" s="46">
        <f t="shared" si="1"/>
        <v>0</v>
      </c>
      <c r="K29" s="46">
        <f t="shared" si="2"/>
        <v>2482.0490999999997</v>
      </c>
      <c r="L29" s="46">
        <v>2482.0500000000002</v>
      </c>
      <c r="M29" s="151">
        <f t="shared" si="3"/>
        <v>11399.117600000005</v>
      </c>
      <c r="N29" s="53"/>
    </row>
    <row r="30" spans="1:14">
      <c r="A30" s="28">
        <v>26</v>
      </c>
      <c r="B30" s="29">
        <v>45834</v>
      </c>
      <c r="C30" s="19"/>
      <c r="D30" s="19"/>
      <c r="E30" s="46">
        <v>41.37</v>
      </c>
      <c r="F30" s="46">
        <v>92.03</v>
      </c>
      <c r="G30" s="46">
        <f t="shared" si="0"/>
        <v>3807.2810999999997</v>
      </c>
      <c r="H30" s="46">
        <v>0</v>
      </c>
      <c r="I30" s="46">
        <v>0</v>
      </c>
      <c r="J30" s="46">
        <f t="shared" si="1"/>
        <v>0</v>
      </c>
      <c r="K30" s="46">
        <f t="shared" si="2"/>
        <v>3807.2810999999997</v>
      </c>
      <c r="L30" s="46">
        <v>3807.28</v>
      </c>
      <c r="M30" s="151">
        <f t="shared" si="3"/>
        <v>11399.118700000005</v>
      </c>
      <c r="N30" s="53"/>
    </row>
    <row r="31" spans="1:14">
      <c r="A31" s="28">
        <v>27</v>
      </c>
      <c r="B31" s="29">
        <v>45835</v>
      </c>
      <c r="C31" s="19"/>
      <c r="D31" s="19"/>
      <c r="E31" s="46">
        <v>0</v>
      </c>
      <c r="F31" s="46">
        <v>0</v>
      </c>
      <c r="G31" s="46">
        <f t="shared" si="0"/>
        <v>0</v>
      </c>
      <c r="H31" s="46">
        <v>0</v>
      </c>
      <c r="I31" s="46">
        <v>0</v>
      </c>
      <c r="J31" s="46">
        <f t="shared" si="1"/>
        <v>0</v>
      </c>
      <c r="K31" s="46">
        <f t="shared" si="2"/>
        <v>0</v>
      </c>
      <c r="L31" s="46">
        <v>0</v>
      </c>
      <c r="M31" s="151">
        <f t="shared" si="3"/>
        <v>11399.118700000005</v>
      </c>
      <c r="N31" s="53"/>
    </row>
    <row r="32" spans="1:14">
      <c r="A32" s="28">
        <v>28</v>
      </c>
      <c r="B32" s="29">
        <v>45836</v>
      </c>
      <c r="C32" s="19"/>
      <c r="D32" s="19"/>
      <c r="E32" s="46">
        <v>0</v>
      </c>
      <c r="F32" s="46">
        <v>0</v>
      </c>
      <c r="G32" s="46">
        <f t="shared" si="0"/>
        <v>0</v>
      </c>
      <c r="H32" s="46">
        <v>0</v>
      </c>
      <c r="I32" s="46">
        <v>0</v>
      </c>
      <c r="J32" s="46">
        <f t="shared" si="1"/>
        <v>0</v>
      </c>
      <c r="K32" s="46">
        <f t="shared" si="2"/>
        <v>0</v>
      </c>
      <c r="L32" s="46">
        <v>0</v>
      </c>
      <c r="M32" s="151">
        <f t="shared" si="3"/>
        <v>11399.118700000005</v>
      </c>
      <c r="N32" s="53"/>
    </row>
    <row r="33" spans="1:14">
      <c r="A33" s="28">
        <v>29</v>
      </c>
      <c r="B33" s="29">
        <v>45837</v>
      </c>
      <c r="C33" s="19"/>
      <c r="D33" s="19"/>
      <c r="E33" s="46">
        <v>47.18</v>
      </c>
      <c r="F33" s="46">
        <v>91.71</v>
      </c>
      <c r="G33" s="46">
        <f t="shared" si="0"/>
        <v>4326.8777999999993</v>
      </c>
      <c r="H33" s="46">
        <v>0</v>
      </c>
      <c r="I33" s="46">
        <v>0</v>
      </c>
      <c r="J33" s="46">
        <f t="shared" si="1"/>
        <v>0</v>
      </c>
      <c r="K33" s="46">
        <f t="shared" si="2"/>
        <v>4326.8777999999993</v>
      </c>
      <c r="L33" s="46">
        <v>0</v>
      </c>
      <c r="M33" s="151">
        <f t="shared" si="3"/>
        <v>15725.996500000005</v>
      </c>
      <c r="N33" s="53"/>
    </row>
    <row r="34" spans="1:14">
      <c r="A34" s="28">
        <v>30</v>
      </c>
      <c r="B34" s="29">
        <v>45838</v>
      </c>
      <c r="C34" s="19"/>
      <c r="D34" s="19"/>
      <c r="E34" s="46">
        <v>14.61</v>
      </c>
      <c r="F34" s="46">
        <v>91.71</v>
      </c>
      <c r="G34" s="46">
        <f t="shared" si="0"/>
        <v>1339.8830999999998</v>
      </c>
      <c r="H34" s="46">
        <v>0</v>
      </c>
      <c r="I34" s="46">
        <v>0</v>
      </c>
      <c r="J34" s="46">
        <f t="shared" si="1"/>
        <v>0</v>
      </c>
      <c r="K34" s="46">
        <f t="shared" si="2"/>
        <v>1339.8830999999998</v>
      </c>
      <c r="L34" s="46">
        <v>0</v>
      </c>
      <c r="M34" s="151">
        <f t="shared" si="3"/>
        <v>17065.879600000004</v>
      </c>
      <c r="N34" s="53"/>
    </row>
    <row r="35" spans="1:14">
      <c r="A35" s="28">
        <v>31</v>
      </c>
      <c r="B35" s="29"/>
      <c r="C35" s="19"/>
      <c r="D35" s="19"/>
      <c r="E35" s="46">
        <v>0</v>
      </c>
      <c r="F35" s="46">
        <v>0</v>
      </c>
      <c r="G35" s="46">
        <f t="shared" si="0"/>
        <v>0</v>
      </c>
      <c r="H35" s="46">
        <v>0</v>
      </c>
      <c r="I35" s="46">
        <v>0</v>
      </c>
      <c r="J35" s="46">
        <f t="shared" si="1"/>
        <v>0</v>
      </c>
      <c r="K35" s="46">
        <f t="shared" si="2"/>
        <v>0</v>
      </c>
      <c r="L35" s="46">
        <v>0</v>
      </c>
      <c r="M35" s="151">
        <f t="shared" si="3"/>
        <v>17065.879600000004</v>
      </c>
      <c r="N35" s="53"/>
    </row>
    <row r="36" spans="1:14">
      <c r="A36" s="28">
        <v>32</v>
      </c>
      <c r="B36" s="29"/>
      <c r="C36" s="19"/>
      <c r="D36" s="19"/>
      <c r="E36" s="46">
        <v>0</v>
      </c>
      <c r="F36" s="46">
        <v>0</v>
      </c>
      <c r="G36" s="46">
        <f t="shared" si="0"/>
        <v>0</v>
      </c>
      <c r="H36" s="46">
        <v>0</v>
      </c>
      <c r="I36" s="46">
        <v>0</v>
      </c>
      <c r="J36" s="46">
        <f t="shared" si="1"/>
        <v>0</v>
      </c>
      <c r="K36" s="46">
        <f t="shared" si="2"/>
        <v>0</v>
      </c>
      <c r="L36" s="46">
        <v>0</v>
      </c>
      <c r="M36" s="151">
        <f t="shared" si="3"/>
        <v>17065.879600000004</v>
      </c>
      <c r="N36" s="53"/>
    </row>
    <row r="37" spans="1:14">
      <c r="A37" s="28">
        <v>33</v>
      </c>
      <c r="B37" s="29"/>
      <c r="C37" s="107"/>
      <c r="D37" s="107"/>
      <c r="E37" s="46">
        <v>0</v>
      </c>
      <c r="F37" s="46">
        <v>0</v>
      </c>
      <c r="G37" s="46">
        <f t="shared" si="0"/>
        <v>0</v>
      </c>
      <c r="H37" s="46">
        <v>0</v>
      </c>
      <c r="I37" s="46">
        <v>0</v>
      </c>
      <c r="J37" s="46">
        <f t="shared" si="1"/>
        <v>0</v>
      </c>
      <c r="K37" s="46">
        <f t="shared" si="2"/>
        <v>0</v>
      </c>
      <c r="L37" s="46">
        <v>0</v>
      </c>
      <c r="M37" s="151">
        <f t="shared" si="3"/>
        <v>17065.879600000004</v>
      </c>
      <c r="N37" s="274"/>
    </row>
    <row r="38" spans="1:14">
      <c r="A38" s="28">
        <v>34</v>
      </c>
      <c r="B38" s="29"/>
      <c r="C38" s="19"/>
      <c r="D38" s="19"/>
      <c r="E38" s="46">
        <v>0</v>
      </c>
      <c r="F38" s="46">
        <v>0</v>
      </c>
      <c r="G38" s="46">
        <f t="shared" si="0"/>
        <v>0</v>
      </c>
      <c r="H38" s="46">
        <v>0</v>
      </c>
      <c r="I38" s="46">
        <v>0</v>
      </c>
      <c r="J38" s="46">
        <f t="shared" si="1"/>
        <v>0</v>
      </c>
      <c r="K38" s="46">
        <f t="shared" si="2"/>
        <v>0</v>
      </c>
      <c r="L38" s="46">
        <v>0</v>
      </c>
      <c r="M38" s="151">
        <f t="shared" si="3"/>
        <v>17065.879600000004</v>
      </c>
      <c r="N38" s="53"/>
    </row>
    <row r="39" spans="1:14">
      <c r="A39" s="28"/>
      <c r="B39" s="29"/>
      <c r="C39" s="19"/>
      <c r="D39" s="19"/>
      <c r="E39" s="46">
        <v>0</v>
      </c>
      <c r="F39" s="46">
        <v>0</v>
      </c>
      <c r="G39" s="46">
        <f t="shared" ref="G5:G39" si="4">E39*F39</f>
        <v>0</v>
      </c>
      <c r="H39" s="46">
        <v>0</v>
      </c>
      <c r="I39" s="46">
        <v>0</v>
      </c>
      <c r="J39" s="46">
        <f t="shared" ref="J5:J39" si="5">H39*I39</f>
        <v>0</v>
      </c>
      <c r="K39" s="46">
        <f t="shared" ref="K5:K39" si="6">G39+J39</f>
        <v>0</v>
      </c>
      <c r="L39" s="46">
        <f t="shared" ref="L5:L39" si="7">+K39</f>
        <v>0</v>
      </c>
      <c r="M39" s="151">
        <f t="shared" si="3"/>
        <v>17065.879600000004</v>
      </c>
      <c r="N39" s="53"/>
    </row>
    <row r="40" spans="1:14">
      <c r="A40" s="206"/>
      <c r="B40" s="206"/>
      <c r="C40" s="206"/>
      <c r="D40" s="206"/>
      <c r="E40" s="206">
        <f>SUM(E4:E39)</f>
        <v>823.37</v>
      </c>
      <c r="F40" s="206"/>
      <c r="G40" s="206">
        <f>SUM(G4:G39)</f>
        <v>75472.285700000008</v>
      </c>
      <c r="H40" s="206">
        <f>SUM(H4:H39)</f>
        <v>14.64</v>
      </c>
      <c r="I40" s="206"/>
      <c r="J40" s="206">
        <f>SUM(J4:J39)</f>
        <v>1539.9816000000001</v>
      </c>
      <c r="K40" s="206">
        <f>SUM(K4:K39)</f>
        <v>77012.267300000007</v>
      </c>
      <c r="L40" s="206">
        <f>SUM(L4:L39)</f>
        <v>73672.3</v>
      </c>
      <c r="M40" s="206"/>
      <c r="N40" s="206"/>
    </row>
  </sheetData>
  <mergeCells count="2">
    <mergeCell ref="A1:N1"/>
    <mergeCell ref="A3:J3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4B6D9-2F42-4A4A-838E-9C7E2E8F4772}">
  <dimension ref="A1:O39"/>
  <sheetViews>
    <sheetView tabSelected="1" workbookViewId="0">
      <pane ySplit="2" topLeftCell="A18" activePane="bottomLeft" state="frozen"/>
      <selection pane="bottomLeft" activeCell="P29" sqref="N29:P30"/>
    </sheetView>
  </sheetViews>
  <sheetFormatPr defaultColWidth="12.85546875" defaultRowHeight="15"/>
  <cols>
    <col min="1" max="1" width="5.140625" bestFit="1" customWidth="1"/>
    <col min="2" max="2" width="10.42578125" bestFit="1" customWidth="1"/>
    <col min="3" max="3" width="8" bestFit="1" customWidth="1"/>
    <col min="4" max="4" width="13.5703125" bestFit="1" customWidth="1"/>
    <col min="5" max="5" width="10.7109375" bestFit="1" customWidth="1"/>
    <col min="6" max="6" width="11.85546875" bestFit="1" customWidth="1"/>
    <col min="7" max="7" width="13.7109375" bestFit="1" customWidth="1"/>
    <col min="8" max="8" width="10.7109375" bestFit="1" customWidth="1"/>
    <col min="9" max="9" width="8.140625" bestFit="1" customWidth="1"/>
    <col min="10" max="10" width="11.5703125" customWidth="1"/>
    <col min="11" max="12" width="13.5703125" bestFit="1" customWidth="1"/>
    <col min="13" max="13" width="13.5703125" customWidth="1"/>
    <col min="14" max="14" width="28" bestFit="1" customWidth="1"/>
    <col min="15" max="15" width="7" customWidth="1"/>
  </cols>
  <sheetData>
    <row r="1" spans="1:15" ht="15.75" customHeight="1">
      <c r="A1" s="464" t="s">
        <v>62</v>
      </c>
      <c r="B1" s="464"/>
      <c r="C1" s="464"/>
      <c r="D1" s="464"/>
      <c r="E1" s="464"/>
      <c r="F1" s="464"/>
      <c r="G1" s="464"/>
      <c r="H1" s="464"/>
      <c r="I1" s="464"/>
      <c r="J1" s="464"/>
      <c r="K1" s="464"/>
      <c r="L1" s="464"/>
      <c r="M1" s="464"/>
      <c r="N1" s="464"/>
      <c r="O1" s="65"/>
    </row>
    <row r="2" spans="1:15">
      <c r="A2" s="66" t="s">
        <v>102</v>
      </c>
      <c r="B2" s="67" t="s">
        <v>103</v>
      </c>
      <c r="C2" s="67" t="s">
        <v>104</v>
      </c>
      <c r="D2" s="67" t="s">
        <v>105</v>
      </c>
      <c r="E2" s="67" t="s">
        <v>106</v>
      </c>
      <c r="F2" s="67" t="s">
        <v>107</v>
      </c>
      <c r="G2" s="67" t="s">
        <v>108</v>
      </c>
      <c r="H2" s="67" t="s">
        <v>109</v>
      </c>
      <c r="I2" s="67" t="s">
        <v>107</v>
      </c>
      <c r="J2" s="68" t="s">
        <v>108</v>
      </c>
      <c r="K2" s="69" t="s">
        <v>110</v>
      </c>
      <c r="L2" s="70" t="s">
        <v>111</v>
      </c>
      <c r="M2" s="131" t="s">
        <v>149</v>
      </c>
      <c r="N2" s="114" t="s">
        <v>113</v>
      </c>
      <c r="O2" s="71"/>
    </row>
    <row r="3" spans="1:15">
      <c r="A3" s="147" t="s">
        <v>114</v>
      </c>
      <c r="B3" s="148"/>
      <c r="C3" s="148"/>
      <c r="D3" s="148"/>
      <c r="E3" s="148"/>
      <c r="F3" s="148"/>
      <c r="G3" s="148"/>
      <c r="H3" s="148"/>
      <c r="I3" s="148"/>
      <c r="J3" s="148"/>
      <c r="K3" s="373">
        <v>450628.66719999997</v>
      </c>
      <c r="L3" s="149"/>
      <c r="M3" s="374">
        <f>+K3</f>
        <v>450628.66719999997</v>
      </c>
      <c r="N3" s="19"/>
      <c r="O3" s="71"/>
    </row>
    <row r="4" spans="1:15">
      <c r="A4" s="55">
        <v>1</v>
      </c>
      <c r="B4" s="237">
        <v>45809</v>
      </c>
      <c r="C4" s="10">
        <v>0</v>
      </c>
      <c r="D4" s="20"/>
      <c r="E4" s="8">
        <v>0</v>
      </c>
      <c r="F4" s="8">
        <v>0</v>
      </c>
      <c r="G4" s="18">
        <f>E4*F4</f>
        <v>0</v>
      </c>
      <c r="H4" s="7">
        <v>0</v>
      </c>
      <c r="I4" s="7">
        <v>0</v>
      </c>
      <c r="J4" s="23">
        <f>H4*I4</f>
        <v>0</v>
      </c>
      <c r="K4" s="8">
        <f>G4+J4</f>
        <v>0</v>
      </c>
      <c r="L4" s="8"/>
      <c r="M4" s="8">
        <f>M3+K4-L4</f>
        <v>450628.66719999997</v>
      </c>
      <c r="N4" s="21"/>
      <c r="O4" s="1"/>
    </row>
    <row r="5" spans="1:15">
      <c r="A5" s="55">
        <v>2</v>
      </c>
      <c r="B5" s="237">
        <v>45810</v>
      </c>
      <c r="C5" s="10">
        <v>801</v>
      </c>
      <c r="D5" s="20"/>
      <c r="E5" s="8">
        <v>2589.19</v>
      </c>
      <c r="F5" s="8">
        <v>91.14</v>
      </c>
      <c r="G5" s="18">
        <f t="shared" ref="G5:G35" si="0">E5*F5</f>
        <v>235978.77660000001</v>
      </c>
      <c r="H5" s="7">
        <v>35</v>
      </c>
      <c r="I5" s="7">
        <v>104.6</v>
      </c>
      <c r="J5" s="23">
        <f t="shared" ref="J5:J35" si="1">H5*I5</f>
        <v>3661</v>
      </c>
      <c r="K5" s="8">
        <f t="shared" ref="K5:K35" si="2">G5+J5</f>
        <v>239639.77660000001</v>
      </c>
      <c r="L5" s="8"/>
      <c r="M5" s="8">
        <f>M4+K5-L5</f>
        <v>690268.44380000001</v>
      </c>
      <c r="N5" s="8"/>
      <c r="O5" s="1"/>
    </row>
    <row r="6" spans="1:15">
      <c r="A6" s="55">
        <v>3</v>
      </c>
      <c r="B6" s="237">
        <v>45811</v>
      </c>
      <c r="C6" s="10">
        <v>0</v>
      </c>
      <c r="D6" s="20"/>
      <c r="E6" s="8">
        <v>0</v>
      </c>
      <c r="F6" s="8">
        <v>0</v>
      </c>
      <c r="G6" s="18">
        <f t="shared" si="0"/>
        <v>0</v>
      </c>
      <c r="H6" s="7">
        <v>0</v>
      </c>
      <c r="I6" s="7">
        <v>0</v>
      </c>
      <c r="J6" s="23">
        <f t="shared" si="1"/>
        <v>0</v>
      </c>
      <c r="K6" s="8">
        <f t="shared" si="2"/>
        <v>0</v>
      </c>
      <c r="L6" s="8"/>
      <c r="M6" s="8">
        <f>M5+K6-L6</f>
        <v>690268.44380000001</v>
      </c>
      <c r="N6" s="8"/>
      <c r="O6" s="1"/>
    </row>
    <row r="7" spans="1:15">
      <c r="A7" s="55">
        <v>4</v>
      </c>
      <c r="B7" s="237">
        <v>45812</v>
      </c>
      <c r="C7" s="10">
        <v>0</v>
      </c>
      <c r="D7" s="20"/>
      <c r="E7" s="8">
        <v>3500</v>
      </c>
      <c r="F7" s="8">
        <v>91.14</v>
      </c>
      <c r="G7" s="18">
        <f t="shared" si="0"/>
        <v>318990</v>
      </c>
      <c r="H7" s="7">
        <v>0</v>
      </c>
      <c r="I7" s="7">
        <v>0</v>
      </c>
      <c r="J7" s="23">
        <f t="shared" si="1"/>
        <v>0</v>
      </c>
      <c r="K7" s="8">
        <f t="shared" si="2"/>
        <v>318990</v>
      </c>
      <c r="L7" s="8"/>
      <c r="M7" s="8">
        <f>M6+K7-L7</f>
        <v>1009258.4438</v>
      </c>
      <c r="N7" s="8"/>
      <c r="O7" s="1"/>
    </row>
    <row r="8" spans="1:15">
      <c r="A8" s="55">
        <v>5</v>
      </c>
      <c r="B8" s="237">
        <v>45813</v>
      </c>
      <c r="C8" s="10">
        <v>0</v>
      </c>
      <c r="D8" s="20"/>
      <c r="E8" s="8">
        <v>0</v>
      </c>
      <c r="F8" s="8">
        <v>0</v>
      </c>
      <c r="G8" s="18">
        <f t="shared" si="0"/>
        <v>0</v>
      </c>
      <c r="H8" s="7">
        <v>0</v>
      </c>
      <c r="I8" s="7">
        <v>0</v>
      </c>
      <c r="J8" s="23">
        <f t="shared" si="1"/>
        <v>0</v>
      </c>
      <c r="K8" s="8">
        <f t="shared" si="2"/>
        <v>0</v>
      </c>
      <c r="L8" s="8"/>
      <c r="M8" s="8">
        <f>M7+K8-L8</f>
        <v>1009258.4438</v>
      </c>
      <c r="N8" s="8"/>
      <c r="O8" s="1"/>
    </row>
    <row r="9" spans="1:15">
      <c r="A9" s="55">
        <v>6</v>
      </c>
      <c r="B9" s="237">
        <v>45814</v>
      </c>
      <c r="C9" s="10">
        <v>805</v>
      </c>
      <c r="D9" s="20"/>
      <c r="E9" s="8">
        <v>0</v>
      </c>
      <c r="F9" s="8">
        <v>0</v>
      </c>
      <c r="G9" s="18">
        <f t="shared" si="0"/>
        <v>0</v>
      </c>
      <c r="H9" s="7">
        <v>0</v>
      </c>
      <c r="I9" s="7">
        <v>0</v>
      </c>
      <c r="J9" s="23">
        <f t="shared" si="1"/>
        <v>0</v>
      </c>
      <c r="K9" s="8">
        <f t="shared" si="2"/>
        <v>0</v>
      </c>
      <c r="L9" s="8">
        <v>1005216</v>
      </c>
      <c r="M9" s="8">
        <f>M8+K9-L9</f>
        <v>4042.4438000000082</v>
      </c>
      <c r="N9" s="8"/>
      <c r="O9" s="1"/>
    </row>
    <row r="10" spans="1:15">
      <c r="A10" s="55">
        <v>7</v>
      </c>
      <c r="B10" s="237">
        <v>45815</v>
      </c>
      <c r="C10" s="10">
        <v>0</v>
      </c>
      <c r="D10" s="20"/>
      <c r="E10" s="8">
        <v>0</v>
      </c>
      <c r="F10" s="8">
        <v>0</v>
      </c>
      <c r="G10" s="18">
        <f t="shared" si="0"/>
        <v>0</v>
      </c>
      <c r="H10" s="7">
        <v>0</v>
      </c>
      <c r="I10" s="7">
        <v>0</v>
      </c>
      <c r="J10" s="23">
        <f t="shared" si="1"/>
        <v>0</v>
      </c>
      <c r="K10" s="8">
        <f t="shared" si="2"/>
        <v>0</v>
      </c>
      <c r="L10" s="8"/>
      <c r="M10" s="8">
        <f>M9+K10-L10</f>
        <v>4042.4438000000082</v>
      </c>
      <c r="N10" s="8"/>
      <c r="O10" s="1"/>
    </row>
    <row r="11" spans="1:15">
      <c r="A11" s="55">
        <v>8</v>
      </c>
      <c r="B11" s="237">
        <v>45816</v>
      </c>
      <c r="C11" s="10">
        <v>0</v>
      </c>
      <c r="D11" s="20"/>
      <c r="E11" s="8">
        <v>4000</v>
      </c>
      <c r="F11" s="8">
        <v>91.14</v>
      </c>
      <c r="G11" s="18">
        <f t="shared" si="0"/>
        <v>364560</v>
      </c>
      <c r="H11" s="7">
        <v>0</v>
      </c>
      <c r="I11" s="7">
        <v>0</v>
      </c>
      <c r="J11" s="23">
        <f t="shared" si="1"/>
        <v>0</v>
      </c>
      <c r="K11" s="8">
        <f t="shared" si="2"/>
        <v>364560</v>
      </c>
      <c r="L11" s="8"/>
      <c r="M11" s="8">
        <f>M10+K11-L11</f>
        <v>368602.44380000001</v>
      </c>
      <c r="N11" s="8"/>
      <c r="O11" s="1"/>
    </row>
    <row r="12" spans="1:15">
      <c r="A12" s="55">
        <v>9</v>
      </c>
      <c r="B12" s="237">
        <v>45817</v>
      </c>
      <c r="C12" s="10">
        <v>0</v>
      </c>
      <c r="D12" s="20"/>
      <c r="E12" s="8">
        <v>2000</v>
      </c>
      <c r="F12" s="8">
        <v>91.14</v>
      </c>
      <c r="G12" s="18">
        <f t="shared" si="0"/>
        <v>182280</v>
      </c>
      <c r="H12" s="7">
        <v>0</v>
      </c>
      <c r="I12" s="7">
        <v>0</v>
      </c>
      <c r="J12" s="23">
        <f t="shared" si="1"/>
        <v>0</v>
      </c>
      <c r="K12" s="8">
        <f t="shared" si="2"/>
        <v>182280</v>
      </c>
      <c r="L12" s="8"/>
      <c r="M12" s="8">
        <f>M11+K12-L12</f>
        <v>550882.44380000001</v>
      </c>
      <c r="N12" s="8"/>
      <c r="O12" s="1"/>
    </row>
    <row r="13" spans="1:15">
      <c r="A13" s="55">
        <v>10</v>
      </c>
      <c r="B13" s="237">
        <v>45818</v>
      </c>
      <c r="C13" s="10">
        <v>0</v>
      </c>
      <c r="D13" s="20"/>
      <c r="E13" s="8">
        <v>0</v>
      </c>
      <c r="F13" s="8">
        <v>0</v>
      </c>
      <c r="G13" s="18">
        <f t="shared" si="0"/>
        <v>0</v>
      </c>
      <c r="H13" s="7">
        <v>0</v>
      </c>
      <c r="I13" s="7">
        <v>0</v>
      </c>
      <c r="J13" s="23">
        <f t="shared" si="1"/>
        <v>0</v>
      </c>
      <c r="K13" s="8">
        <f t="shared" si="2"/>
        <v>0</v>
      </c>
      <c r="L13" s="8"/>
      <c r="M13" s="208">
        <f>M12+K13-L13</f>
        <v>550882.44380000001</v>
      </c>
      <c r="N13" s="8"/>
      <c r="O13" s="1"/>
    </row>
    <row r="14" spans="1:15">
      <c r="A14" s="55">
        <v>11</v>
      </c>
      <c r="B14" s="237">
        <v>45819</v>
      </c>
      <c r="C14" s="10">
        <v>0</v>
      </c>
      <c r="D14" s="20"/>
      <c r="E14" s="8">
        <v>0</v>
      </c>
      <c r="F14" s="8">
        <v>0</v>
      </c>
      <c r="G14" s="18">
        <f t="shared" si="0"/>
        <v>0</v>
      </c>
      <c r="H14" s="7">
        <v>0</v>
      </c>
      <c r="I14" s="7">
        <v>0</v>
      </c>
      <c r="J14" s="23">
        <f t="shared" si="1"/>
        <v>0</v>
      </c>
      <c r="K14" s="8">
        <f t="shared" si="2"/>
        <v>0</v>
      </c>
      <c r="L14" s="8"/>
      <c r="M14" s="8">
        <f>M13+K14-L14</f>
        <v>550882.44380000001</v>
      </c>
      <c r="N14" s="226"/>
      <c r="O14" s="1"/>
    </row>
    <row r="15" spans="1:15">
      <c r="A15" s="55">
        <v>12</v>
      </c>
      <c r="B15" s="237">
        <v>45820</v>
      </c>
      <c r="C15" s="10">
        <v>0</v>
      </c>
      <c r="D15" s="20"/>
      <c r="E15" s="8">
        <v>0</v>
      </c>
      <c r="F15" s="8">
        <v>0</v>
      </c>
      <c r="G15" s="18">
        <f t="shared" si="0"/>
        <v>0</v>
      </c>
      <c r="H15" s="7">
        <v>0</v>
      </c>
      <c r="I15" s="7">
        <v>0</v>
      </c>
      <c r="J15" s="23">
        <f t="shared" si="1"/>
        <v>0</v>
      </c>
      <c r="K15" s="8">
        <f t="shared" si="2"/>
        <v>0</v>
      </c>
      <c r="L15" s="8"/>
      <c r="M15" s="8">
        <f>M14+K15-L15</f>
        <v>550882.44380000001</v>
      </c>
      <c r="N15" s="226"/>
      <c r="O15" s="1"/>
    </row>
    <row r="16" spans="1:15">
      <c r="A16" s="55">
        <v>13</v>
      </c>
      <c r="B16" s="237">
        <v>45821</v>
      </c>
      <c r="C16" s="10">
        <v>0</v>
      </c>
      <c r="D16" s="20"/>
      <c r="E16" s="8">
        <v>0</v>
      </c>
      <c r="F16" s="8">
        <v>0</v>
      </c>
      <c r="G16" s="18">
        <f t="shared" si="0"/>
        <v>0</v>
      </c>
      <c r="H16" s="7">
        <v>20</v>
      </c>
      <c r="I16" s="7">
        <v>104.6</v>
      </c>
      <c r="J16" s="23">
        <f t="shared" si="1"/>
        <v>2092</v>
      </c>
      <c r="K16" s="8">
        <f t="shared" si="2"/>
        <v>2092</v>
      </c>
      <c r="L16" s="8"/>
      <c r="M16" s="8">
        <f>M15+K16-L16</f>
        <v>552974.44380000001</v>
      </c>
      <c r="N16" s="226"/>
      <c r="O16" s="1"/>
    </row>
    <row r="17" spans="1:15">
      <c r="A17" s="55">
        <v>14</v>
      </c>
      <c r="B17" s="237">
        <v>45822</v>
      </c>
      <c r="C17" s="10">
        <v>0</v>
      </c>
      <c r="D17" s="20"/>
      <c r="E17" s="8">
        <v>0</v>
      </c>
      <c r="F17" s="8">
        <v>0</v>
      </c>
      <c r="G17" s="18">
        <f t="shared" si="0"/>
        <v>0</v>
      </c>
      <c r="H17" s="7">
        <v>0</v>
      </c>
      <c r="I17" s="7">
        <v>0</v>
      </c>
      <c r="J17" s="23">
        <f t="shared" si="1"/>
        <v>0</v>
      </c>
      <c r="K17" s="8">
        <f t="shared" si="2"/>
        <v>0</v>
      </c>
      <c r="L17" s="8"/>
      <c r="M17" s="8">
        <f t="shared" ref="M16:M35" si="3">M16+K17-L17</f>
        <v>552974.44380000001</v>
      </c>
      <c r="N17" s="226"/>
      <c r="O17" s="1"/>
    </row>
    <row r="18" spans="1:15">
      <c r="A18" s="55">
        <v>15</v>
      </c>
      <c r="B18" s="237">
        <v>45823</v>
      </c>
      <c r="C18" s="10">
        <v>0</v>
      </c>
      <c r="D18" s="20"/>
      <c r="E18" s="8">
        <v>0</v>
      </c>
      <c r="F18" s="8">
        <v>0</v>
      </c>
      <c r="G18" s="18">
        <f t="shared" si="0"/>
        <v>0</v>
      </c>
      <c r="H18" s="7">
        <v>0</v>
      </c>
      <c r="I18" s="7">
        <v>0</v>
      </c>
      <c r="J18" s="23">
        <f t="shared" si="1"/>
        <v>0</v>
      </c>
      <c r="K18" s="8">
        <f t="shared" si="2"/>
        <v>0</v>
      </c>
      <c r="L18" s="8"/>
      <c r="M18" s="8">
        <f t="shared" si="3"/>
        <v>552974.44380000001</v>
      </c>
      <c r="N18" s="226"/>
      <c r="O18" s="1"/>
    </row>
    <row r="19" spans="1:15">
      <c r="A19" s="55">
        <v>16</v>
      </c>
      <c r="B19" s="237">
        <v>45824</v>
      </c>
      <c r="C19" s="10">
        <v>0</v>
      </c>
      <c r="D19" s="20"/>
      <c r="E19" s="8">
        <v>4000</v>
      </c>
      <c r="F19" s="8">
        <v>91.14</v>
      </c>
      <c r="G19" s="18">
        <f t="shared" si="0"/>
        <v>364560</v>
      </c>
      <c r="H19" s="7">
        <v>0</v>
      </c>
      <c r="I19" s="7">
        <v>0</v>
      </c>
      <c r="J19" s="23">
        <f t="shared" si="1"/>
        <v>0</v>
      </c>
      <c r="K19" s="8">
        <f t="shared" si="2"/>
        <v>364560</v>
      </c>
      <c r="L19" s="8"/>
      <c r="M19" s="8">
        <f t="shared" si="3"/>
        <v>917534.44380000001</v>
      </c>
      <c r="N19" s="226"/>
      <c r="O19" s="1"/>
    </row>
    <row r="20" spans="1:15">
      <c r="A20" s="55">
        <v>17</v>
      </c>
      <c r="B20" s="237">
        <v>45825</v>
      </c>
      <c r="C20" s="10">
        <v>0</v>
      </c>
      <c r="D20" s="20"/>
      <c r="E20" s="8">
        <v>0</v>
      </c>
      <c r="F20" s="8">
        <v>0</v>
      </c>
      <c r="G20" s="18">
        <f t="shared" si="0"/>
        <v>0</v>
      </c>
      <c r="H20" s="7">
        <v>0</v>
      </c>
      <c r="I20" s="7">
        <v>0</v>
      </c>
      <c r="J20" s="23">
        <f t="shared" si="1"/>
        <v>0</v>
      </c>
      <c r="K20" s="8">
        <f t="shared" si="2"/>
        <v>0</v>
      </c>
      <c r="L20" s="8"/>
      <c r="M20" s="8">
        <f t="shared" si="3"/>
        <v>917534.44380000001</v>
      </c>
      <c r="N20" s="226"/>
      <c r="O20" s="1"/>
    </row>
    <row r="21" spans="1:15">
      <c r="A21" s="55">
        <v>18</v>
      </c>
      <c r="B21" s="237">
        <v>45826</v>
      </c>
      <c r="C21" s="10">
        <v>0</v>
      </c>
      <c r="D21" s="20"/>
      <c r="E21" s="8">
        <v>0</v>
      </c>
      <c r="F21" s="8">
        <v>0</v>
      </c>
      <c r="G21" s="18">
        <f t="shared" si="0"/>
        <v>0</v>
      </c>
      <c r="H21" s="7">
        <v>0</v>
      </c>
      <c r="I21" s="7">
        <v>0</v>
      </c>
      <c r="J21" s="23">
        <f t="shared" si="1"/>
        <v>0</v>
      </c>
      <c r="K21" s="8">
        <f t="shared" si="2"/>
        <v>0</v>
      </c>
      <c r="L21" s="8"/>
      <c r="M21" s="8">
        <f t="shared" si="3"/>
        <v>917534.44380000001</v>
      </c>
      <c r="N21" s="226"/>
      <c r="O21" s="1"/>
    </row>
    <row r="22" spans="1:15">
      <c r="A22" s="55">
        <v>19</v>
      </c>
      <c r="B22" s="237">
        <v>45827</v>
      </c>
      <c r="C22" s="10">
        <v>0</v>
      </c>
      <c r="D22" s="20"/>
      <c r="E22" s="8">
        <v>0</v>
      </c>
      <c r="F22" s="8">
        <v>0</v>
      </c>
      <c r="G22" s="18">
        <f t="shared" si="0"/>
        <v>0</v>
      </c>
      <c r="H22" s="7">
        <v>0</v>
      </c>
      <c r="I22" s="7">
        <v>0</v>
      </c>
      <c r="J22" s="23">
        <f t="shared" si="1"/>
        <v>0</v>
      </c>
      <c r="K22" s="8">
        <f t="shared" si="2"/>
        <v>0</v>
      </c>
      <c r="L22" s="8"/>
      <c r="M22" s="8">
        <f t="shared" si="3"/>
        <v>917534.44380000001</v>
      </c>
      <c r="N22" s="226"/>
      <c r="O22" s="1"/>
    </row>
    <row r="23" spans="1:15">
      <c r="A23" s="55">
        <v>20</v>
      </c>
      <c r="B23" s="237">
        <v>45828</v>
      </c>
      <c r="C23" s="10">
        <v>0</v>
      </c>
      <c r="D23" s="20"/>
      <c r="E23" s="8">
        <v>1000</v>
      </c>
      <c r="F23" s="8">
        <v>91.14</v>
      </c>
      <c r="G23" s="18">
        <f t="shared" si="0"/>
        <v>91140</v>
      </c>
      <c r="H23" s="7">
        <v>22</v>
      </c>
      <c r="I23" s="7">
        <v>104.6</v>
      </c>
      <c r="J23" s="23">
        <f t="shared" si="1"/>
        <v>2301.1999999999998</v>
      </c>
      <c r="K23" s="8">
        <f t="shared" si="2"/>
        <v>93441.2</v>
      </c>
      <c r="L23" s="8"/>
      <c r="M23" s="8">
        <f t="shared" si="3"/>
        <v>1010975.6438</v>
      </c>
      <c r="N23" s="226"/>
      <c r="O23" s="1"/>
    </row>
    <row r="24" spans="1:15">
      <c r="A24" s="55">
        <v>21</v>
      </c>
      <c r="B24" s="237">
        <v>45829</v>
      </c>
      <c r="C24" s="10">
        <v>0</v>
      </c>
      <c r="D24" s="20"/>
      <c r="E24" s="8">
        <v>0</v>
      </c>
      <c r="F24" s="8">
        <v>0</v>
      </c>
      <c r="G24" s="18">
        <f t="shared" si="0"/>
        <v>0</v>
      </c>
      <c r="H24" s="7">
        <v>0</v>
      </c>
      <c r="I24" s="7">
        <v>0</v>
      </c>
      <c r="J24" s="23">
        <f t="shared" si="1"/>
        <v>0</v>
      </c>
      <c r="K24" s="424">
        <v>1200</v>
      </c>
      <c r="L24" s="8"/>
      <c r="M24" s="8">
        <f t="shared" si="3"/>
        <v>1012175.6438</v>
      </c>
      <c r="N24" s="425" t="s">
        <v>194</v>
      </c>
      <c r="O24" s="1">
        <v>1200</v>
      </c>
    </row>
    <row r="25" spans="1:15">
      <c r="A25" s="55">
        <v>22</v>
      </c>
      <c r="B25" s="237">
        <v>45830</v>
      </c>
      <c r="C25" s="10">
        <v>0</v>
      </c>
      <c r="D25" s="20"/>
      <c r="E25" s="8">
        <v>0</v>
      </c>
      <c r="F25" s="8">
        <v>0</v>
      </c>
      <c r="G25" s="18">
        <f t="shared" si="0"/>
        <v>0</v>
      </c>
      <c r="H25" s="7">
        <v>0</v>
      </c>
      <c r="I25" s="7">
        <v>0</v>
      </c>
      <c r="J25" s="23">
        <f t="shared" si="1"/>
        <v>0</v>
      </c>
      <c r="K25" s="8">
        <f t="shared" si="2"/>
        <v>0</v>
      </c>
      <c r="L25" s="8"/>
      <c r="M25" s="8">
        <f t="shared" si="3"/>
        <v>1012175.6438</v>
      </c>
      <c r="N25" s="226"/>
      <c r="O25" s="1"/>
    </row>
    <row r="26" spans="1:15">
      <c r="A26" s="55">
        <v>23</v>
      </c>
      <c r="B26" s="237">
        <v>45831</v>
      </c>
      <c r="C26" s="10">
        <v>0</v>
      </c>
      <c r="D26" s="20"/>
      <c r="E26" s="8">
        <v>0</v>
      </c>
      <c r="F26" s="8">
        <v>0</v>
      </c>
      <c r="G26" s="18">
        <f t="shared" si="0"/>
        <v>0</v>
      </c>
      <c r="H26" s="7">
        <v>0</v>
      </c>
      <c r="I26" s="7">
        <v>0</v>
      </c>
      <c r="J26" s="23">
        <f t="shared" si="1"/>
        <v>0</v>
      </c>
      <c r="K26" s="8">
        <f t="shared" si="2"/>
        <v>0</v>
      </c>
      <c r="L26" s="8"/>
      <c r="M26" s="8">
        <f t="shared" si="3"/>
        <v>1012175.6438</v>
      </c>
      <c r="N26" s="226"/>
      <c r="O26" s="1"/>
    </row>
    <row r="27" spans="1:15">
      <c r="A27" s="55">
        <v>24</v>
      </c>
      <c r="B27" s="237">
        <v>45832</v>
      </c>
      <c r="C27" s="10">
        <v>0</v>
      </c>
      <c r="D27" s="20"/>
      <c r="E27" s="8">
        <v>0</v>
      </c>
      <c r="F27" s="8">
        <v>0</v>
      </c>
      <c r="G27" s="18">
        <f t="shared" si="0"/>
        <v>0</v>
      </c>
      <c r="H27" s="7">
        <v>0</v>
      </c>
      <c r="I27" s="7">
        <v>0</v>
      </c>
      <c r="J27" s="23">
        <f t="shared" si="1"/>
        <v>0</v>
      </c>
      <c r="K27" s="8">
        <f t="shared" si="2"/>
        <v>0</v>
      </c>
      <c r="L27" s="8"/>
      <c r="M27" s="8">
        <f t="shared" si="3"/>
        <v>1012175.6438</v>
      </c>
      <c r="N27" s="226"/>
      <c r="O27" s="1"/>
    </row>
    <row r="28" spans="1:15">
      <c r="A28" s="55">
        <v>25</v>
      </c>
      <c r="B28" s="237">
        <v>45833</v>
      </c>
      <c r="C28" s="10">
        <v>0</v>
      </c>
      <c r="D28" s="20"/>
      <c r="E28" s="8">
        <v>0</v>
      </c>
      <c r="F28" s="8">
        <v>0</v>
      </c>
      <c r="G28" s="18">
        <f t="shared" si="0"/>
        <v>0</v>
      </c>
      <c r="H28" s="7">
        <v>0</v>
      </c>
      <c r="I28" s="7">
        <v>0</v>
      </c>
      <c r="J28" s="23">
        <f t="shared" si="1"/>
        <v>0</v>
      </c>
      <c r="K28" s="8">
        <f t="shared" si="2"/>
        <v>0</v>
      </c>
      <c r="L28" s="8"/>
      <c r="M28" s="8">
        <f t="shared" si="3"/>
        <v>1012175.6438</v>
      </c>
      <c r="N28" s="226"/>
      <c r="O28" s="1"/>
    </row>
    <row r="29" spans="1:15">
      <c r="A29" s="55">
        <v>26</v>
      </c>
      <c r="B29" s="237">
        <v>45834</v>
      </c>
      <c r="C29" s="10">
        <v>0</v>
      </c>
      <c r="D29" s="20"/>
      <c r="E29" s="8">
        <v>0</v>
      </c>
      <c r="F29" s="8">
        <v>0</v>
      </c>
      <c r="G29" s="18">
        <f t="shared" si="0"/>
        <v>0</v>
      </c>
      <c r="H29" s="7">
        <v>0</v>
      </c>
      <c r="I29" s="7">
        <v>0</v>
      </c>
      <c r="J29" s="23">
        <f t="shared" si="1"/>
        <v>0</v>
      </c>
      <c r="K29" s="8">
        <f t="shared" si="2"/>
        <v>0</v>
      </c>
      <c r="L29" s="8"/>
      <c r="M29" s="8">
        <f>M28+K29-L29</f>
        <v>1012175.6438</v>
      </c>
      <c r="N29" s="226"/>
      <c r="O29" s="1"/>
    </row>
    <row r="30" spans="1:15">
      <c r="A30" s="55">
        <v>27</v>
      </c>
      <c r="B30" s="237">
        <v>45835</v>
      </c>
      <c r="C30" s="10">
        <v>0</v>
      </c>
      <c r="D30" s="20"/>
      <c r="E30" s="8">
        <v>0</v>
      </c>
      <c r="F30" s="8">
        <v>0</v>
      </c>
      <c r="G30" s="18">
        <f t="shared" si="0"/>
        <v>0</v>
      </c>
      <c r="H30" s="7">
        <v>0</v>
      </c>
      <c r="I30" s="7">
        <v>0</v>
      </c>
      <c r="J30" s="23">
        <f t="shared" si="1"/>
        <v>0</v>
      </c>
      <c r="K30" s="8">
        <f t="shared" si="2"/>
        <v>0</v>
      </c>
      <c r="L30" s="8"/>
      <c r="M30" s="8">
        <f t="shared" si="3"/>
        <v>1012175.6438</v>
      </c>
      <c r="N30" s="226"/>
      <c r="O30" s="1"/>
    </row>
    <row r="31" spans="1:15">
      <c r="A31" s="55">
        <v>28</v>
      </c>
      <c r="B31" s="237">
        <v>45836</v>
      </c>
      <c r="C31" s="10">
        <v>0</v>
      </c>
      <c r="D31" s="20"/>
      <c r="E31" s="8">
        <v>0</v>
      </c>
      <c r="F31" s="8">
        <v>0</v>
      </c>
      <c r="G31" s="18">
        <f t="shared" si="0"/>
        <v>0</v>
      </c>
      <c r="H31" s="7">
        <v>0</v>
      </c>
      <c r="I31" s="7">
        <v>0</v>
      </c>
      <c r="J31" s="23">
        <f t="shared" si="1"/>
        <v>0</v>
      </c>
      <c r="K31" s="8">
        <f t="shared" si="2"/>
        <v>0</v>
      </c>
      <c r="L31" s="8"/>
      <c r="M31" s="8">
        <f t="shared" si="3"/>
        <v>1012175.6438</v>
      </c>
      <c r="N31" s="226"/>
      <c r="O31" s="1"/>
    </row>
    <row r="32" spans="1:15">
      <c r="A32" s="55">
        <v>29</v>
      </c>
      <c r="B32" s="237">
        <v>45837</v>
      </c>
      <c r="C32" s="10"/>
      <c r="D32" s="20"/>
      <c r="E32" s="8">
        <v>0</v>
      </c>
      <c r="F32" s="8">
        <v>0</v>
      </c>
      <c r="G32" s="18">
        <f t="shared" si="0"/>
        <v>0</v>
      </c>
      <c r="H32" s="7">
        <v>0</v>
      </c>
      <c r="I32" s="7">
        <v>0</v>
      </c>
      <c r="J32" s="23">
        <f t="shared" si="1"/>
        <v>0</v>
      </c>
      <c r="K32" s="8">
        <f t="shared" si="2"/>
        <v>0</v>
      </c>
      <c r="L32" s="8"/>
      <c r="M32" s="8">
        <f t="shared" si="3"/>
        <v>1012175.6438</v>
      </c>
      <c r="N32" s="226"/>
      <c r="O32" s="1"/>
    </row>
    <row r="33" spans="1:15">
      <c r="A33" s="55">
        <v>30</v>
      </c>
      <c r="B33" s="237">
        <v>45838</v>
      </c>
      <c r="C33" s="10">
        <v>0</v>
      </c>
      <c r="D33" s="20"/>
      <c r="E33" s="8">
        <v>0</v>
      </c>
      <c r="F33" s="8">
        <v>0</v>
      </c>
      <c r="G33" s="18">
        <f t="shared" si="0"/>
        <v>0</v>
      </c>
      <c r="H33" s="7">
        <v>0</v>
      </c>
      <c r="I33" s="7">
        <v>0</v>
      </c>
      <c r="J33" s="23">
        <f t="shared" si="1"/>
        <v>0</v>
      </c>
      <c r="K33" s="8">
        <f t="shared" si="2"/>
        <v>0</v>
      </c>
      <c r="L33" s="8"/>
      <c r="M33" s="8">
        <f t="shared" si="3"/>
        <v>1012175.6438</v>
      </c>
      <c r="N33" s="226"/>
      <c r="O33" s="1"/>
    </row>
    <row r="34" spans="1:15">
      <c r="A34" s="55">
        <v>31</v>
      </c>
      <c r="B34" s="237"/>
      <c r="C34" s="319">
        <v>0</v>
      </c>
      <c r="D34" s="320"/>
      <c r="E34" s="8">
        <v>0</v>
      </c>
      <c r="F34" s="8">
        <v>0</v>
      </c>
      <c r="G34" s="18">
        <f t="shared" si="0"/>
        <v>0</v>
      </c>
      <c r="H34" s="7">
        <v>0</v>
      </c>
      <c r="I34" s="7">
        <v>0</v>
      </c>
      <c r="J34" s="23">
        <f t="shared" si="1"/>
        <v>0</v>
      </c>
      <c r="K34" s="8">
        <f t="shared" si="2"/>
        <v>0</v>
      </c>
      <c r="L34" s="8"/>
      <c r="M34" s="8">
        <f t="shared" si="3"/>
        <v>1012175.6438</v>
      </c>
      <c r="N34" s="226"/>
      <c r="O34" s="1"/>
    </row>
    <row r="35" spans="1:15">
      <c r="A35" s="55">
        <v>32</v>
      </c>
      <c r="B35" s="237"/>
      <c r="C35" s="27"/>
      <c r="D35" s="20"/>
      <c r="E35" s="8">
        <v>0</v>
      </c>
      <c r="F35" s="8">
        <v>0</v>
      </c>
      <c r="G35" s="18">
        <f t="shared" si="0"/>
        <v>0</v>
      </c>
      <c r="H35" s="7">
        <v>0</v>
      </c>
      <c r="I35" s="7">
        <v>0</v>
      </c>
      <c r="J35" s="23">
        <f t="shared" si="1"/>
        <v>0</v>
      </c>
      <c r="K35" s="8">
        <f t="shared" si="2"/>
        <v>0</v>
      </c>
      <c r="L35" s="8"/>
      <c r="M35" s="8">
        <f>M34+K35-L35</f>
        <v>1012175.6438</v>
      </c>
      <c r="N35" s="226"/>
      <c r="O35" s="1"/>
    </row>
    <row r="36" spans="1:15">
      <c r="A36" s="181"/>
      <c r="B36" s="181"/>
      <c r="C36" s="181"/>
      <c r="D36" s="181"/>
      <c r="E36" s="182">
        <f>SUM(E4:E35)</f>
        <v>17089.190000000002</v>
      </c>
      <c r="F36" s="182"/>
      <c r="G36" s="182">
        <f>SUM(G4:G35)</f>
        <v>1557508.7766</v>
      </c>
      <c r="H36" s="182">
        <f>SUM(H4:H35)</f>
        <v>77</v>
      </c>
      <c r="I36" s="182"/>
      <c r="J36" s="182">
        <f>SUM(J4:J35)</f>
        <v>8054.2</v>
      </c>
      <c r="K36" s="182">
        <f>SUM(K4:K35)</f>
        <v>1566762.9765999999</v>
      </c>
      <c r="L36" s="182">
        <f>SUM(L4:L35)</f>
        <v>1005216</v>
      </c>
      <c r="M36" s="182"/>
      <c r="N36" s="75"/>
      <c r="O36" s="71"/>
    </row>
    <row r="37" spans="1:15">
      <c r="A37" s="2"/>
      <c r="B37" s="2"/>
      <c r="C37" s="2"/>
      <c r="D37" s="2"/>
      <c r="E37" s="4"/>
      <c r="F37" s="4"/>
      <c r="G37" s="4"/>
      <c r="H37" s="4"/>
      <c r="I37" s="4"/>
      <c r="J37" s="4"/>
      <c r="K37" s="4"/>
      <c r="L37" s="4"/>
      <c r="M37" s="4"/>
      <c r="N37" s="4"/>
      <c r="O37" s="1"/>
    </row>
    <row r="38" spans="1:15">
      <c r="A38" s="1"/>
      <c r="B38" s="453"/>
      <c r="C38" s="453"/>
      <c r="D38" s="453"/>
      <c r="E38" s="453"/>
      <c r="F38" s="1"/>
      <c r="G38" s="1"/>
      <c r="H38" s="1"/>
      <c r="I38" s="453"/>
      <c r="J38" s="453"/>
      <c r="K38" s="453"/>
      <c r="L38" s="453"/>
      <c r="M38" s="453"/>
      <c r="N38" s="453"/>
      <c r="O38" s="4"/>
    </row>
    <row r="39" spans="1: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4"/>
    </row>
  </sheetData>
  <mergeCells count="3">
    <mergeCell ref="B38:E38"/>
    <mergeCell ref="I38:N38"/>
    <mergeCell ref="A1:N1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3BF21-978C-45C0-87AC-3079BCB517B4}">
  <dimension ref="A1:Q44"/>
  <sheetViews>
    <sheetView workbookViewId="0">
      <pane ySplit="2" topLeftCell="A3" activePane="bottomLeft" state="frozen"/>
      <selection pane="bottomLeft" activeCell="W12" sqref="W12"/>
    </sheetView>
  </sheetViews>
  <sheetFormatPr defaultRowHeight="15"/>
  <cols>
    <col min="1" max="1" width="5.140625" bestFit="1" customWidth="1"/>
    <col min="2" max="2" width="9.5703125" bestFit="1" customWidth="1"/>
    <col min="3" max="3" width="8" bestFit="1" customWidth="1"/>
    <col min="4" max="4" width="13.28515625" bestFit="1" customWidth="1"/>
    <col min="5" max="5" width="10.7109375" bestFit="1" customWidth="1"/>
    <col min="6" max="6" width="9.7109375" bestFit="1" customWidth="1"/>
    <col min="7" max="7" width="13.140625" customWidth="1"/>
    <col min="8" max="8" width="10.7109375" bestFit="1" customWidth="1"/>
    <col min="9" max="9" width="7.140625" bestFit="1" customWidth="1"/>
    <col min="10" max="10" width="9.7109375" bestFit="1" customWidth="1"/>
    <col min="11" max="12" width="13.5703125" bestFit="1" customWidth="1"/>
    <col min="13" max="13" width="14.42578125" customWidth="1"/>
    <col min="14" max="14" width="16.42578125" bestFit="1" customWidth="1"/>
  </cols>
  <sheetData>
    <row r="1" spans="1:17" ht="15.75" customHeight="1">
      <c r="A1" s="460" t="s">
        <v>90</v>
      </c>
      <c r="B1" s="460"/>
      <c r="C1" s="460"/>
      <c r="D1" s="460"/>
      <c r="E1" s="460"/>
      <c r="F1" s="460"/>
      <c r="G1" s="460"/>
      <c r="H1" s="460"/>
      <c r="I1" s="460"/>
      <c r="J1" s="460"/>
      <c r="K1" s="460"/>
      <c r="L1" s="460"/>
      <c r="M1" s="460"/>
      <c r="N1" s="460"/>
      <c r="O1" s="95"/>
    </row>
    <row r="2" spans="1:17" ht="16.5" customHeight="1">
      <c r="A2" s="111" t="s">
        <v>102</v>
      </c>
      <c r="B2" s="112" t="s">
        <v>103</v>
      </c>
      <c r="C2" s="112" t="s">
        <v>104</v>
      </c>
      <c r="D2" s="112" t="s">
        <v>150</v>
      </c>
      <c r="E2" s="112" t="s">
        <v>106</v>
      </c>
      <c r="F2" s="112" t="s">
        <v>107</v>
      </c>
      <c r="G2" s="112" t="s">
        <v>108</v>
      </c>
      <c r="H2" s="112" t="s">
        <v>109</v>
      </c>
      <c r="I2" s="112" t="s">
        <v>107</v>
      </c>
      <c r="J2" s="153" t="s">
        <v>108</v>
      </c>
      <c r="K2" s="113" t="s">
        <v>110</v>
      </c>
      <c r="L2" s="154" t="s">
        <v>111</v>
      </c>
      <c r="M2" s="159" t="s">
        <v>149</v>
      </c>
      <c r="N2" s="114" t="s">
        <v>113</v>
      </c>
      <c r="O2" s="71"/>
    </row>
    <row r="3" spans="1:17" ht="16.5" customHeight="1">
      <c r="A3" s="445" t="s">
        <v>114</v>
      </c>
      <c r="B3" s="446"/>
      <c r="C3" s="446"/>
      <c r="D3" s="446"/>
      <c r="E3" s="446"/>
      <c r="F3" s="446"/>
      <c r="G3" s="446"/>
      <c r="H3" s="446"/>
      <c r="I3" s="446"/>
      <c r="J3" s="446"/>
      <c r="K3" s="446"/>
      <c r="L3" s="461"/>
      <c r="M3" s="168">
        <v>0</v>
      </c>
      <c r="N3" s="177"/>
      <c r="O3" s="71"/>
    </row>
    <row r="4" spans="1:17">
      <c r="A4" s="231">
        <v>1</v>
      </c>
      <c r="B4" s="266">
        <v>45809</v>
      </c>
      <c r="C4" s="79"/>
      <c r="D4" s="180"/>
      <c r="E4" s="77"/>
      <c r="F4" s="77"/>
      <c r="G4" s="8">
        <f>E4*F4</f>
        <v>0</v>
      </c>
      <c r="H4" s="77">
        <v>0</v>
      </c>
      <c r="I4" s="78">
        <v>0</v>
      </c>
      <c r="J4" s="8">
        <f>H4*I4</f>
        <v>0</v>
      </c>
      <c r="K4" s="8">
        <f>G4+J4</f>
        <v>0</v>
      </c>
      <c r="L4" s="80">
        <f>+K4</f>
        <v>0</v>
      </c>
      <c r="M4" s="80">
        <v>0</v>
      </c>
      <c r="N4" s="8"/>
    </row>
    <row r="5" spans="1:17">
      <c r="A5" s="55">
        <v>2</v>
      </c>
      <c r="B5" s="266">
        <v>45810</v>
      </c>
      <c r="C5" s="79"/>
      <c r="D5" s="180"/>
      <c r="E5" s="77"/>
      <c r="F5" s="77"/>
      <c r="G5" s="8">
        <f t="shared" ref="G5:G34" si="0">E5*F5</f>
        <v>0</v>
      </c>
      <c r="H5" s="77">
        <v>0</v>
      </c>
      <c r="I5" s="78">
        <v>0</v>
      </c>
      <c r="J5" s="8">
        <f t="shared" ref="J5:J34" si="1">H5*I5</f>
        <v>0</v>
      </c>
      <c r="K5" s="8">
        <f t="shared" ref="K5:K34" si="2">G5+J5</f>
        <v>0</v>
      </c>
      <c r="L5" s="80">
        <f t="shared" ref="L5:L34" si="3">+K5</f>
        <v>0</v>
      </c>
      <c r="M5" s="80">
        <v>0</v>
      </c>
      <c r="N5" s="8"/>
    </row>
    <row r="6" spans="1:17">
      <c r="A6" s="55">
        <v>3</v>
      </c>
      <c r="B6" s="266">
        <v>45811</v>
      </c>
      <c r="C6" s="79"/>
      <c r="D6" s="180"/>
      <c r="E6" s="77">
        <v>0</v>
      </c>
      <c r="F6" s="77"/>
      <c r="G6" s="8">
        <f t="shared" si="0"/>
        <v>0</v>
      </c>
      <c r="H6" s="77">
        <v>4.88</v>
      </c>
      <c r="I6" s="78">
        <v>102.46</v>
      </c>
      <c r="J6" s="8">
        <f t="shared" si="1"/>
        <v>500.00479999999993</v>
      </c>
      <c r="K6" s="8">
        <f t="shared" si="2"/>
        <v>500.00479999999993</v>
      </c>
      <c r="L6" s="80">
        <f t="shared" si="3"/>
        <v>500.00479999999993</v>
      </c>
      <c r="M6" s="80">
        <v>0</v>
      </c>
      <c r="N6" s="8"/>
    </row>
    <row r="7" spans="1:17">
      <c r="A7" s="55">
        <v>4</v>
      </c>
      <c r="B7" s="266">
        <v>45812</v>
      </c>
      <c r="C7" s="79"/>
      <c r="D7" s="180"/>
      <c r="E7" s="77"/>
      <c r="F7" s="77"/>
      <c r="G7" s="8">
        <f t="shared" si="0"/>
        <v>0</v>
      </c>
      <c r="H7" s="77">
        <v>4.88</v>
      </c>
      <c r="I7" s="78">
        <v>102.46</v>
      </c>
      <c r="J7" s="8">
        <f t="shared" si="1"/>
        <v>500.00479999999993</v>
      </c>
      <c r="K7" s="8">
        <f t="shared" si="2"/>
        <v>500.00479999999993</v>
      </c>
      <c r="L7" s="80">
        <f t="shared" si="3"/>
        <v>500.00479999999993</v>
      </c>
      <c r="M7" s="80">
        <v>0</v>
      </c>
      <c r="N7" s="8"/>
    </row>
    <row r="8" spans="1:17">
      <c r="A8" s="55">
        <v>5</v>
      </c>
      <c r="B8" s="266">
        <v>45813</v>
      </c>
      <c r="C8" s="79"/>
      <c r="D8" s="180"/>
      <c r="E8" s="77">
        <v>146.84</v>
      </c>
      <c r="F8" s="77">
        <v>90.57</v>
      </c>
      <c r="G8" s="8">
        <f t="shared" si="0"/>
        <v>13299.298799999999</v>
      </c>
      <c r="H8" s="77">
        <v>6.28</v>
      </c>
      <c r="I8" s="78">
        <v>102.46</v>
      </c>
      <c r="J8" s="8">
        <f t="shared" si="1"/>
        <v>643.44880000000001</v>
      </c>
      <c r="K8" s="8">
        <f t="shared" si="2"/>
        <v>13942.747599999999</v>
      </c>
      <c r="L8" s="80">
        <f t="shared" si="3"/>
        <v>13942.747599999999</v>
      </c>
      <c r="M8" s="80">
        <v>0</v>
      </c>
      <c r="N8" s="8"/>
      <c r="O8" s="81"/>
    </row>
    <row r="9" spans="1:17">
      <c r="A9" s="55">
        <v>6</v>
      </c>
      <c r="B9" s="266">
        <v>45814</v>
      </c>
      <c r="C9" s="79"/>
      <c r="D9" s="180"/>
      <c r="E9" s="77"/>
      <c r="F9" s="77"/>
      <c r="G9" s="8">
        <f t="shared" si="0"/>
        <v>0</v>
      </c>
      <c r="H9" s="77">
        <v>4.88</v>
      </c>
      <c r="I9" s="78">
        <v>102.46</v>
      </c>
      <c r="J9" s="8">
        <f t="shared" si="1"/>
        <v>500.00479999999993</v>
      </c>
      <c r="K9" s="8">
        <f t="shared" si="2"/>
        <v>500.00479999999993</v>
      </c>
      <c r="L9" s="80">
        <f t="shared" si="3"/>
        <v>500.00479999999993</v>
      </c>
      <c r="M9" s="80">
        <v>0</v>
      </c>
      <c r="N9" s="8"/>
      <c r="O9" s="81"/>
    </row>
    <row r="10" spans="1:17">
      <c r="A10" s="55">
        <v>7</v>
      </c>
      <c r="B10" s="266">
        <v>45815</v>
      </c>
      <c r="C10" s="79"/>
      <c r="D10" s="180"/>
      <c r="E10" s="77"/>
      <c r="F10" s="77"/>
      <c r="G10" s="8">
        <f t="shared" si="0"/>
        <v>0</v>
      </c>
      <c r="H10" s="77">
        <v>0</v>
      </c>
      <c r="I10" s="78">
        <v>0</v>
      </c>
      <c r="J10" s="8">
        <f t="shared" si="1"/>
        <v>0</v>
      </c>
      <c r="K10" s="8">
        <f t="shared" si="2"/>
        <v>0</v>
      </c>
      <c r="L10" s="80">
        <f t="shared" si="3"/>
        <v>0</v>
      </c>
      <c r="M10" s="80">
        <v>0</v>
      </c>
      <c r="N10" s="8"/>
      <c r="O10" s="81"/>
    </row>
    <row r="11" spans="1:17">
      <c r="A11" s="55">
        <v>8</v>
      </c>
      <c r="B11" s="266">
        <v>45816</v>
      </c>
      <c r="C11" s="79"/>
      <c r="D11" s="180"/>
      <c r="E11" s="77"/>
      <c r="F11" s="77"/>
      <c r="G11" s="8">
        <f t="shared" si="0"/>
        <v>0</v>
      </c>
      <c r="H11" s="77">
        <v>0</v>
      </c>
      <c r="I11" s="78">
        <v>0</v>
      </c>
      <c r="J11" s="8">
        <f t="shared" si="1"/>
        <v>0</v>
      </c>
      <c r="K11" s="8">
        <f t="shared" si="2"/>
        <v>0</v>
      </c>
      <c r="L11" s="80">
        <f t="shared" si="3"/>
        <v>0</v>
      </c>
      <c r="M11" s="80">
        <v>0</v>
      </c>
      <c r="N11" s="8"/>
      <c r="O11" s="81"/>
    </row>
    <row r="12" spans="1:17">
      <c r="A12" s="55">
        <v>9</v>
      </c>
      <c r="B12" s="266">
        <v>45817</v>
      </c>
      <c r="C12" s="79"/>
      <c r="D12" s="180"/>
      <c r="E12" s="77"/>
      <c r="F12" s="77"/>
      <c r="G12" s="8">
        <f t="shared" si="0"/>
        <v>0</v>
      </c>
      <c r="H12" s="77">
        <v>13.67</v>
      </c>
      <c r="I12" s="78">
        <v>102.46</v>
      </c>
      <c r="J12" s="8">
        <f t="shared" si="1"/>
        <v>1400.6281999999999</v>
      </c>
      <c r="K12" s="8">
        <f t="shared" si="2"/>
        <v>1400.6281999999999</v>
      </c>
      <c r="L12" s="80">
        <f t="shared" si="3"/>
        <v>1400.6281999999999</v>
      </c>
      <c r="M12" s="80">
        <v>0</v>
      </c>
      <c r="N12" s="8"/>
      <c r="O12" s="81"/>
    </row>
    <row r="13" spans="1:17">
      <c r="A13" s="55">
        <v>10</v>
      </c>
      <c r="B13" s="266">
        <v>45818</v>
      </c>
      <c r="C13" s="79"/>
      <c r="D13" s="180"/>
      <c r="E13" s="77"/>
      <c r="F13" s="77"/>
      <c r="G13" s="8">
        <f t="shared" si="0"/>
        <v>0</v>
      </c>
      <c r="H13" s="77">
        <v>4.88</v>
      </c>
      <c r="I13" s="78">
        <v>102.46</v>
      </c>
      <c r="J13" s="8">
        <f t="shared" si="1"/>
        <v>500.00479999999993</v>
      </c>
      <c r="K13" s="8">
        <f t="shared" si="2"/>
        <v>500.00479999999993</v>
      </c>
      <c r="L13" s="80">
        <f t="shared" si="3"/>
        <v>500.00479999999993</v>
      </c>
      <c r="M13" s="80">
        <v>0</v>
      </c>
      <c r="N13" s="8"/>
      <c r="O13" s="81"/>
      <c r="Q13">
        <v>4.8899999999999997</v>
      </c>
    </row>
    <row r="14" spans="1:17">
      <c r="A14" s="55">
        <v>11</v>
      </c>
      <c r="B14" s="266">
        <v>45819</v>
      </c>
      <c r="C14" s="79"/>
      <c r="D14" s="180"/>
      <c r="E14" s="77"/>
      <c r="F14" s="77"/>
      <c r="G14" s="8">
        <f t="shared" si="0"/>
        <v>0</v>
      </c>
      <c r="H14" s="77">
        <v>4.88</v>
      </c>
      <c r="I14" s="78">
        <v>102.46</v>
      </c>
      <c r="J14" s="8">
        <f t="shared" si="1"/>
        <v>500.00479999999993</v>
      </c>
      <c r="K14" s="8">
        <f t="shared" si="2"/>
        <v>500.00479999999993</v>
      </c>
      <c r="L14" s="80">
        <f t="shared" si="3"/>
        <v>500.00479999999993</v>
      </c>
      <c r="M14" s="80">
        <v>0</v>
      </c>
      <c r="N14" s="8"/>
      <c r="O14" s="81"/>
      <c r="Q14">
        <v>4.8899999999999997</v>
      </c>
    </row>
    <row r="15" spans="1:17">
      <c r="A15" s="55">
        <v>12</v>
      </c>
      <c r="B15" s="266">
        <v>45820</v>
      </c>
      <c r="C15" s="79"/>
      <c r="D15" s="180"/>
      <c r="E15" s="77">
        <v>110.41</v>
      </c>
      <c r="F15" s="77">
        <v>90.57</v>
      </c>
      <c r="G15" s="8">
        <f t="shared" si="0"/>
        <v>9999.8336999999992</v>
      </c>
      <c r="H15" s="77">
        <v>9.7799999999999994</v>
      </c>
      <c r="I15" s="78">
        <v>102.46</v>
      </c>
      <c r="J15" s="8">
        <f t="shared" si="1"/>
        <v>1002.0587999999999</v>
      </c>
      <c r="K15" s="8">
        <f>G15+J15</f>
        <v>11001.8925</v>
      </c>
      <c r="L15" s="80">
        <f t="shared" si="3"/>
        <v>11001.8925</v>
      </c>
      <c r="M15" s="80">
        <v>0</v>
      </c>
      <c r="N15" s="8"/>
      <c r="O15" s="81"/>
    </row>
    <row r="16" spans="1:17">
      <c r="A16" s="55">
        <v>13</v>
      </c>
      <c r="B16" s="266">
        <v>45821</v>
      </c>
      <c r="C16" s="79"/>
      <c r="D16" s="180"/>
      <c r="E16" s="77"/>
      <c r="F16" s="77"/>
      <c r="G16" s="8">
        <f t="shared" si="0"/>
        <v>0</v>
      </c>
      <c r="H16" s="77">
        <v>0</v>
      </c>
      <c r="I16" s="78">
        <v>0</v>
      </c>
      <c r="J16" s="8">
        <f t="shared" si="1"/>
        <v>0</v>
      </c>
      <c r="K16" s="8">
        <f t="shared" si="2"/>
        <v>0</v>
      </c>
      <c r="L16" s="80">
        <f t="shared" si="3"/>
        <v>0</v>
      </c>
      <c r="M16" s="80">
        <v>0</v>
      </c>
      <c r="N16" s="8"/>
      <c r="O16" s="81"/>
    </row>
    <row r="17" spans="1:15">
      <c r="A17" s="55">
        <v>14</v>
      </c>
      <c r="B17" s="266">
        <v>45822</v>
      </c>
      <c r="C17" s="79"/>
      <c r="D17" s="180"/>
      <c r="E17" s="77"/>
      <c r="F17" s="77"/>
      <c r="G17" s="8">
        <f t="shared" si="0"/>
        <v>0</v>
      </c>
      <c r="H17" s="77">
        <v>0</v>
      </c>
      <c r="I17" s="78">
        <v>0</v>
      </c>
      <c r="J17" s="8">
        <f t="shared" si="1"/>
        <v>0</v>
      </c>
      <c r="K17" s="8">
        <f t="shared" si="2"/>
        <v>0</v>
      </c>
      <c r="L17" s="80">
        <f t="shared" si="3"/>
        <v>0</v>
      </c>
      <c r="M17" s="80">
        <v>0</v>
      </c>
      <c r="N17" s="8"/>
      <c r="O17" s="81"/>
    </row>
    <row r="18" spans="1:15">
      <c r="A18" s="55">
        <v>15</v>
      </c>
      <c r="B18" s="266">
        <v>45823</v>
      </c>
      <c r="C18" s="79"/>
      <c r="D18" s="180"/>
      <c r="E18" s="77"/>
      <c r="F18" s="77"/>
      <c r="G18" s="8">
        <f t="shared" si="0"/>
        <v>0</v>
      </c>
      <c r="H18" s="77">
        <v>0</v>
      </c>
      <c r="I18" s="78">
        <v>0</v>
      </c>
      <c r="J18" s="8">
        <f t="shared" si="1"/>
        <v>0</v>
      </c>
      <c r="K18" s="8">
        <f t="shared" si="2"/>
        <v>0</v>
      </c>
      <c r="L18" s="80">
        <f t="shared" si="3"/>
        <v>0</v>
      </c>
      <c r="M18" s="80">
        <v>0</v>
      </c>
      <c r="N18" s="8"/>
      <c r="O18" s="81"/>
    </row>
    <row r="19" spans="1:15">
      <c r="A19" s="55">
        <v>16</v>
      </c>
      <c r="B19" s="266">
        <v>45824</v>
      </c>
      <c r="C19" s="79"/>
      <c r="D19" s="180"/>
      <c r="E19" s="77"/>
      <c r="F19" s="77"/>
      <c r="G19" s="8">
        <f t="shared" si="0"/>
        <v>0</v>
      </c>
      <c r="H19" s="77">
        <v>0</v>
      </c>
      <c r="I19" s="78">
        <v>0</v>
      </c>
      <c r="J19" s="8">
        <f t="shared" si="1"/>
        <v>0</v>
      </c>
      <c r="K19" s="8">
        <f t="shared" si="2"/>
        <v>0</v>
      </c>
      <c r="L19" s="80">
        <f t="shared" si="3"/>
        <v>0</v>
      </c>
      <c r="M19" s="80">
        <v>0</v>
      </c>
      <c r="N19" s="8"/>
      <c r="O19" s="81"/>
    </row>
    <row r="20" spans="1:15">
      <c r="A20" s="55">
        <v>17</v>
      </c>
      <c r="B20" s="266">
        <v>45825</v>
      </c>
      <c r="C20" s="79"/>
      <c r="D20" s="180"/>
      <c r="E20" s="77"/>
      <c r="F20" s="77"/>
      <c r="G20" s="8">
        <f t="shared" si="0"/>
        <v>0</v>
      </c>
      <c r="H20" s="77">
        <v>4.8899999999999997</v>
      </c>
      <c r="I20" s="78">
        <v>102.46</v>
      </c>
      <c r="J20" s="8">
        <f t="shared" si="1"/>
        <v>501.02939999999995</v>
      </c>
      <c r="K20" s="8">
        <f t="shared" si="2"/>
        <v>501.02939999999995</v>
      </c>
      <c r="L20" s="80">
        <f t="shared" si="3"/>
        <v>501.02939999999995</v>
      </c>
      <c r="M20" s="80">
        <v>0</v>
      </c>
      <c r="N20" s="8"/>
      <c r="O20" s="81"/>
    </row>
    <row r="21" spans="1:15">
      <c r="A21" s="55">
        <v>18</v>
      </c>
      <c r="B21" s="266">
        <v>45826</v>
      </c>
      <c r="C21" s="79"/>
      <c r="D21" s="180"/>
      <c r="E21" s="77"/>
      <c r="F21" s="77"/>
      <c r="G21" s="8">
        <f t="shared" si="0"/>
        <v>0</v>
      </c>
      <c r="H21" s="77">
        <v>0</v>
      </c>
      <c r="I21" s="78">
        <v>0</v>
      </c>
      <c r="J21" s="8">
        <f t="shared" si="1"/>
        <v>0</v>
      </c>
      <c r="K21" s="8">
        <f t="shared" si="2"/>
        <v>0</v>
      </c>
      <c r="L21" s="80">
        <f t="shared" si="3"/>
        <v>0</v>
      </c>
      <c r="M21" s="80">
        <v>0</v>
      </c>
      <c r="N21" s="8"/>
      <c r="O21" s="81"/>
    </row>
    <row r="22" spans="1:15">
      <c r="A22" s="55">
        <v>19</v>
      </c>
      <c r="B22" s="266">
        <v>45827</v>
      </c>
      <c r="C22" s="79"/>
      <c r="D22" s="180"/>
      <c r="E22" s="77">
        <v>111.51</v>
      </c>
      <c r="F22" s="77">
        <v>90.57</v>
      </c>
      <c r="G22" s="8">
        <f t="shared" si="0"/>
        <v>10099.4607</v>
      </c>
      <c r="H22" s="77">
        <v>0</v>
      </c>
      <c r="I22" s="78">
        <v>0</v>
      </c>
      <c r="J22" s="8">
        <f t="shared" si="1"/>
        <v>0</v>
      </c>
      <c r="K22" s="8">
        <f t="shared" si="2"/>
        <v>10099.4607</v>
      </c>
      <c r="L22" s="80">
        <f t="shared" si="3"/>
        <v>10099.4607</v>
      </c>
      <c r="M22" s="80">
        <v>0</v>
      </c>
      <c r="N22" s="8"/>
      <c r="O22" s="81"/>
    </row>
    <row r="23" spans="1:15">
      <c r="A23" s="55">
        <v>20</v>
      </c>
      <c r="B23" s="266">
        <v>45828</v>
      </c>
      <c r="C23" s="79"/>
      <c r="D23" s="180"/>
      <c r="E23" s="77"/>
      <c r="F23" s="77"/>
      <c r="G23" s="8">
        <f t="shared" si="0"/>
        <v>0</v>
      </c>
      <c r="H23" s="77">
        <v>0</v>
      </c>
      <c r="I23" s="78">
        <v>0</v>
      </c>
      <c r="J23" s="8">
        <f t="shared" si="1"/>
        <v>0</v>
      </c>
      <c r="K23" s="8">
        <f t="shared" si="2"/>
        <v>0</v>
      </c>
      <c r="L23" s="80">
        <f t="shared" si="3"/>
        <v>0</v>
      </c>
      <c r="M23" s="80">
        <v>0</v>
      </c>
      <c r="N23" s="8"/>
      <c r="O23" s="81"/>
    </row>
    <row r="24" spans="1:15">
      <c r="A24" s="55">
        <v>21</v>
      </c>
      <c r="B24" s="266">
        <v>45829</v>
      </c>
      <c r="C24" s="79"/>
      <c r="D24" s="180"/>
      <c r="E24" s="77"/>
      <c r="F24" s="77"/>
      <c r="G24" s="8">
        <f t="shared" si="0"/>
        <v>0</v>
      </c>
      <c r="H24" s="77">
        <v>6.21</v>
      </c>
      <c r="I24" s="78">
        <v>102.46</v>
      </c>
      <c r="J24" s="8">
        <f t="shared" si="1"/>
        <v>636.27659999999992</v>
      </c>
      <c r="K24" s="8">
        <f t="shared" si="2"/>
        <v>636.27659999999992</v>
      </c>
      <c r="L24" s="80">
        <f t="shared" si="3"/>
        <v>636.27659999999992</v>
      </c>
      <c r="M24" s="80">
        <v>0</v>
      </c>
      <c r="N24" s="8"/>
      <c r="O24" s="81"/>
    </row>
    <row r="25" spans="1:15">
      <c r="A25" s="55">
        <v>22</v>
      </c>
      <c r="B25" s="266">
        <v>45830</v>
      </c>
      <c r="C25" s="79"/>
      <c r="D25" s="180"/>
      <c r="E25" s="77"/>
      <c r="F25" s="77"/>
      <c r="G25" s="8">
        <f t="shared" si="0"/>
        <v>0</v>
      </c>
      <c r="H25" s="77">
        <v>0</v>
      </c>
      <c r="I25" s="78">
        <v>0</v>
      </c>
      <c r="J25" s="8">
        <f t="shared" si="1"/>
        <v>0</v>
      </c>
      <c r="K25" s="8">
        <f t="shared" si="2"/>
        <v>0</v>
      </c>
      <c r="L25" s="80">
        <f t="shared" si="3"/>
        <v>0</v>
      </c>
      <c r="M25" s="80">
        <v>0</v>
      </c>
      <c r="N25" s="8"/>
      <c r="O25" s="81"/>
    </row>
    <row r="26" spans="1:15">
      <c r="A26" s="55">
        <v>23</v>
      </c>
      <c r="B26" s="266">
        <v>45831</v>
      </c>
      <c r="C26" s="79"/>
      <c r="D26" s="180"/>
      <c r="E26" s="77"/>
      <c r="F26" s="77"/>
      <c r="G26" s="8">
        <f t="shared" si="0"/>
        <v>0</v>
      </c>
      <c r="H26" s="77">
        <v>0</v>
      </c>
      <c r="I26" s="78">
        <v>0</v>
      </c>
      <c r="J26" s="8">
        <f t="shared" si="1"/>
        <v>0</v>
      </c>
      <c r="K26" s="8">
        <f t="shared" si="2"/>
        <v>0</v>
      </c>
      <c r="L26" s="80">
        <f t="shared" si="3"/>
        <v>0</v>
      </c>
      <c r="M26" s="80">
        <v>0</v>
      </c>
      <c r="N26" s="8"/>
      <c r="O26" s="81"/>
    </row>
    <row r="27" spans="1:15">
      <c r="A27" s="55">
        <v>24</v>
      </c>
      <c r="B27" s="266">
        <v>45832</v>
      </c>
      <c r="C27" s="79"/>
      <c r="D27" s="180"/>
      <c r="E27" s="77"/>
      <c r="F27" s="77"/>
      <c r="G27" s="8">
        <f t="shared" si="0"/>
        <v>0</v>
      </c>
      <c r="H27" s="77">
        <v>0</v>
      </c>
      <c r="I27" s="78">
        <v>0</v>
      </c>
      <c r="J27" s="8">
        <f t="shared" si="1"/>
        <v>0</v>
      </c>
      <c r="K27" s="8">
        <f t="shared" si="2"/>
        <v>0</v>
      </c>
      <c r="L27" s="80">
        <f t="shared" si="3"/>
        <v>0</v>
      </c>
      <c r="M27" s="80">
        <v>0</v>
      </c>
      <c r="N27" s="8"/>
      <c r="O27" s="81"/>
    </row>
    <row r="28" spans="1:15">
      <c r="A28" s="268">
        <v>25</v>
      </c>
      <c r="B28" s="266">
        <v>45833</v>
      </c>
      <c r="C28" s="79"/>
      <c r="D28" s="180"/>
      <c r="E28" s="77">
        <v>99.37</v>
      </c>
      <c r="F28" s="77">
        <v>90.57</v>
      </c>
      <c r="G28" s="8">
        <f t="shared" si="0"/>
        <v>8999.9408999999996</v>
      </c>
      <c r="H28" s="77">
        <v>0</v>
      </c>
      <c r="I28" s="78">
        <v>0</v>
      </c>
      <c r="J28" s="8">
        <f t="shared" si="1"/>
        <v>0</v>
      </c>
      <c r="K28" s="8">
        <f t="shared" si="2"/>
        <v>8999.9408999999996</v>
      </c>
      <c r="L28" s="80">
        <f t="shared" si="3"/>
        <v>8999.9408999999996</v>
      </c>
      <c r="M28" s="80">
        <v>0</v>
      </c>
      <c r="N28" s="8"/>
      <c r="O28" s="81"/>
    </row>
    <row r="29" spans="1:15">
      <c r="A29" s="268">
        <v>26</v>
      </c>
      <c r="B29" s="266">
        <v>45834</v>
      </c>
      <c r="C29" s="79"/>
      <c r="D29" s="180"/>
      <c r="E29" s="77"/>
      <c r="F29" s="77"/>
      <c r="G29" s="8">
        <f t="shared" si="0"/>
        <v>0</v>
      </c>
      <c r="H29" s="77">
        <v>0</v>
      </c>
      <c r="I29" s="78">
        <v>0</v>
      </c>
      <c r="J29" s="8">
        <f t="shared" si="1"/>
        <v>0</v>
      </c>
      <c r="K29" s="8">
        <f t="shared" si="2"/>
        <v>0</v>
      </c>
      <c r="L29" s="80">
        <f t="shared" si="3"/>
        <v>0</v>
      </c>
      <c r="M29" s="80">
        <v>0</v>
      </c>
      <c r="N29" s="8"/>
      <c r="O29" s="81"/>
    </row>
    <row r="30" spans="1:15">
      <c r="A30" s="268">
        <v>27</v>
      </c>
      <c r="B30" s="266">
        <v>45835</v>
      </c>
      <c r="C30" s="79"/>
      <c r="D30" s="180"/>
      <c r="E30" s="77"/>
      <c r="F30" s="77"/>
      <c r="G30" s="8">
        <f t="shared" si="0"/>
        <v>0</v>
      </c>
      <c r="H30" s="77">
        <v>0</v>
      </c>
      <c r="I30" s="78">
        <v>0</v>
      </c>
      <c r="J30" s="8">
        <f t="shared" si="1"/>
        <v>0</v>
      </c>
      <c r="K30" s="8">
        <f t="shared" si="2"/>
        <v>0</v>
      </c>
      <c r="L30" s="80">
        <f t="shared" si="3"/>
        <v>0</v>
      </c>
      <c r="M30" s="80">
        <v>0</v>
      </c>
      <c r="N30" s="8"/>
      <c r="O30" s="81"/>
    </row>
    <row r="31" spans="1:15">
      <c r="A31" s="268">
        <v>28</v>
      </c>
      <c r="B31" s="266">
        <v>45836</v>
      </c>
      <c r="C31" s="79"/>
      <c r="D31" s="180"/>
      <c r="E31" s="77">
        <v>33.119999999999997</v>
      </c>
      <c r="F31" s="77">
        <v>90.57</v>
      </c>
      <c r="G31" s="8">
        <f t="shared" si="0"/>
        <v>2999.6783999999993</v>
      </c>
      <c r="H31" s="77">
        <v>8.7799999999999994</v>
      </c>
      <c r="I31" s="78">
        <v>102.46</v>
      </c>
      <c r="J31" s="8">
        <f t="shared" si="1"/>
        <v>899.59879999999987</v>
      </c>
      <c r="K31" s="8">
        <f t="shared" si="2"/>
        <v>3899.2771999999991</v>
      </c>
      <c r="L31" s="80">
        <f t="shared" si="3"/>
        <v>3899.2771999999991</v>
      </c>
      <c r="M31" s="80">
        <v>0</v>
      </c>
      <c r="N31" s="8"/>
      <c r="O31" s="81"/>
    </row>
    <row r="32" spans="1:15">
      <c r="A32" s="269">
        <v>29</v>
      </c>
      <c r="B32" s="266">
        <v>45837</v>
      </c>
      <c r="C32" s="79"/>
      <c r="D32" s="180"/>
      <c r="E32" s="77"/>
      <c r="F32" s="77"/>
      <c r="G32" s="8">
        <f t="shared" si="0"/>
        <v>0</v>
      </c>
      <c r="H32" s="77">
        <v>0</v>
      </c>
      <c r="I32" s="78">
        <v>0</v>
      </c>
      <c r="J32" s="8">
        <f t="shared" si="1"/>
        <v>0</v>
      </c>
      <c r="K32" s="8">
        <f t="shared" si="2"/>
        <v>0</v>
      </c>
      <c r="L32" s="80">
        <f t="shared" si="3"/>
        <v>0</v>
      </c>
      <c r="M32" s="80">
        <v>0</v>
      </c>
      <c r="N32" s="8"/>
      <c r="O32" s="81"/>
    </row>
    <row r="33" spans="1:15">
      <c r="A33" s="269">
        <v>30</v>
      </c>
      <c r="B33" s="266">
        <v>45838</v>
      </c>
      <c r="C33" s="79"/>
      <c r="D33" s="180"/>
      <c r="E33" s="77"/>
      <c r="F33" s="77"/>
      <c r="G33" s="8">
        <f t="shared" si="0"/>
        <v>0</v>
      </c>
      <c r="H33" s="77">
        <v>0</v>
      </c>
      <c r="I33" s="78">
        <v>0</v>
      </c>
      <c r="J33" s="8">
        <f t="shared" si="1"/>
        <v>0</v>
      </c>
      <c r="K33" s="8">
        <f t="shared" si="2"/>
        <v>0</v>
      </c>
      <c r="L33" s="80">
        <f t="shared" si="3"/>
        <v>0</v>
      </c>
      <c r="M33" s="80">
        <v>0</v>
      </c>
      <c r="N33" s="8"/>
      <c r="O33" s="81"/>
    </row>
    <row r="34" spans="1:15">
      <c r="A34" s="269">
        <v>31</v>
      </c>
      <c r="B34" s="266"/>
      <c r="C34" s="79"/>
      <c r="D34" s="180"/>
      <c r="E34" s="77"/>
      <c r="F34" s="77"/>
      <c r="G34" s="8">
        <f t="shared" si="0"/>
        <v>0</v>
      </c>
      <c r="H34" s="77">
        <v>0</v>
      </c>
      <c r="I34" s="78">
        <v>0</v>
      </c>
      <c r="J34" s="8">
        <f t="shared" si="1"/>
        <v>0</v>
      </c>
      <c r="K34" s="8">
        <f t="shared" si="2"/>
        <v>0</v>
      </c>
      <c r="L34" s="80">
        <f t="shared" si="3"/>
        <v>0</v>
      </c>
      <c r="M34" s="80">
        <v>0</v>
      </c>
      <c r="N34" s="8"/>
      <c r="O34" s="81"/>
    </row>
    <row r="35" spans="1:15">
      <c r="A35" s="74"/>
      <c r="B35" s="74"/>
      <c r="C35" s="74"/>
      <c r="D35" s="74"/>
      <c r="E35" s="75">
        <f>SUM(E4:E34)</f>
        <v>501.25</v>
      </c>
      <c r="F35" s="75"/>
      <c r="G35" s="75">
        <f>SUM(G4:G34)</f>
        <v>45398.212500000001</v>
      </c>
      <c r="H35" s="75">
        <f>SUM(H4:H34)</f>
        <v>74.010000000000005</v>
      </c>
      <c r="I35" s="75"/>
      <c r="J35" s="75">
        <f>SUM(J4:J34)</f>
        <v>7583.0645999999997</v>
      </c>
      <c r="K35" s="75">
        <f>SUM(K4:K34)</f>
        <v>52981.277099999992</v>
      </c>
      <c r="L35" s="75">
        <f>SUM(L4:L34)</f>
        <v>52981.277099999992</v>
      </c>
      <c r="M35" s="75"/>
      <c r="N35" s="75"/>
      <c r="O35" s="71"/>
    </row>
    <row r="36" spans="1:15">
      <c r="A36" s="85"/>
      <c r="B36" s="86"/>
      <c r="C36" s="85"/>
      <c r="D36" s="85"/>
      <c r="E36" s="87"/>
      <c r="F36" s="87"/>
      <c r="G36" s="87"/>
      <c r="H36" s="87"/>
      <c r="I36" s="87"/>
      <c r="J36" s="88"/>
      <c r="K36" s="88"/>
      <c r="L36" s="88"/>
      <c r="M36" s="88"/>
      <c r="N36" s="87"/>
      <c r="O36" s="81"/>
    </row>
    <row r="37" spans="1:15">
      <c r="O37" s="81"/>
    </row>
    <row r="38" spans="1:15">
      <c r="O38" s="81"/>
    </row>
    <row r="39" spans="1:15">
      <c r="O39" s="81"/>
    </row>
    <row r="40" spans="1:15">
      <c r="O40" s="81"/>
    </row>
    <row r="41" spans="1:15">
      <c r="O41" s="81"/>
    </row>
    <row r="42" spans="1:15">
      <c r="A42" s="81"/>
      <c r="B42" s="71"/>
      <c r="C42" s="81"/>
      <c r="D42" s="81"/>
      <c r="E42" s="81"/>
      <c r="F42" s="81"/>
      <c r="G42" s="89"/>
      <c r="H42" s="81"/>
      <c r="I42" s="81"/>
      <c r="J42" s="71"/>
      <c r="K42" s="71"/>
      <c r="L42" s="71"/>
      <c r="M42" s="71"/>
      <c r="N42" s="81"/>
      <c r="O42" s="87"/>
    </row>
    <row r="43" spans="1:15">
      <c r="A43" s="81"/>
      <c r="B43" s="462"/>
      <c r="C43" s="462"/>
      <c r="D43" s="462"/>
      <c r="E43" s="462"/>
      <c r="F43" s="81"/>
      <c r="G43" s="81"/>
      <c r="H43" s="81"/>
      <c r="I43" s="462"/>
      <c r="J43" s="462"/>
      <c r="K43" s="462"/>
      <c r="L43" s="462"/>
      <c r="M43" s="462"/>
      <c r="N43" s="462"/>
      <c r="O43" s="87"/>
    </row>
    <row r="44" spans="1:15">
      <c r="A44" s="81"/>
      <c r="B44" s="71"/>
      <c r="C44" s="81"/>
      <c r="D44" s="81"/>
      <c r="E44" s="81"/>
      <c r="F44" s="81"/>
      <c r="G44" s="81"/>
      <c r="H44" s="81"/>
      <c r="I44" s="81"/>
      <c r="J44" s="71"/>
      <c r="K44" s="71"/>
      <c r="L44" s="71"/>
      <c r="M44" s="71"/>
      <c r="N44" s="81"/>
      <c r="O44" s="87"/>
    </row>
  </sheetData>
  <mergeCells count="4">
    <mergeCell ref="B43:E43"/>
    <mergeCell ref="I43:N43"/>
    <mergeCell ref="A1:N1"/>
    <mergeCell ref="A3:L3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E2204-C6ED-4369-81D2-ED69740A2A89}">
  <dimension ref="A1:S210"/>
  <sheetViews>
    <sheetView workbookViewId="0">
      <pane ySplit="3" topLeftCell="A89" activePane="bottomLeft" state="frozen"/>
      <selection pane="bottomLeft" activeCell="B103" sqref="B103"/>
    </sheetView>
  </sheetViews>
  <sheetFormatPr defaultRowHeight="15"/>
  <cols>
    <col min="2" max="2" width="11.5703125" customWidth="1"/>
    <col min="3" max="3" width="40.7109375" customWidth="1"/>
    <col min="4" max="4" width="19.7109375" customWidth="1"/>
    <col min="5" max="5" width="21.5703125" style="216" customWidth="1"/>
    <col min="6" max="6" width="13.42578125" customWidth="1"/>
    <col min="7" max="7" width="9.28515625" bestFit="1" customWidth="1"/>
    <col min="8" max="8" width="14.85546875" style="24" customWidth="1"/>
    <col min="10" max="10" width="15.5703125" customWidth="1"/>
    <col min="11" max="11" width="13.140625" style="24" customWidth="1"/>
    <col min="12" max="12" width="13.28515625" customWidth="1"/>
    <col min="13" max="13" width="19" customWidth="1"/>
    <col min="14" max="14" width="17.42578125" style="24" customWidth="1"/>
    <col min="15" max="15" width="19.5703125" customWidth="1"/>
    <col min="16" max="16" width="16.28515625" customWidth="1"/>
    <col min="18" max="18" width="10.5703125" bestFit="1" customWidth="1"/>
  </cols>
  <sheetData>
    <row r="1" spans="1:16" ht="15.75">
      <c r="A1" s="458" t="s">
        <v>195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/>
      <c r="P1" s="458"/>
    </row>
    <row r="2" spans="1:16" ht="26.25" customHeight="1">
      <c r="A2" s="139" t="s">
        <v>102</v>
      </c>
      <c r="B2" s="270" t="s">
        <v>103</v>
      </c>
      <c r="C2" s="140" t="s">
        <v>196</v>
      </c>
      <c r="D2" s="140" t="s">
        <v>197</v>
      </c>
      <c r="E2" s="299" t="s">
        <v>198</v>
      </c>
      <c r="F2" s="140" t="s">
        <v>106</v>
      </c>
      <c r="G2" s="140" t="s">
        <v>107</v>
      </c>
      <c r="H2" s="257" t="s">
        <v>108</v>
      </c>
      <c r="I2" s="140" t="s">
        <v>109</v>
      </c>
      <c r="J2" s="140" t="s">
        <v>107</v>
      </c>
      <c r="K2" s="257" t="s">
        <v>108</v>
      </c>
      <c r="L2" s="139" t="s">
        <v>110</v>
      </c>
      <c r="M2" s="199" t="s">
        <v>199</v>
      </c>
      <c r="N2" s="199" t="s">
        <v>149</v>
      </c>
      <c r="O2" s="140" t="s">
        <v>113</v>
      </c>
      <c r="P2" s="140" t="s">
        <v>200</v>
      </c>
    </row>
    <row r="3" spans="1:16" ht="15.75" customHeight="1">
      <c r="A3" s="489" t="s">
        <v>114</v>
      </c>
      <c r="B3" s="489"/>
      <c r="C3" s="489"/>
      <c r="D3" s="489"/>
      <c r="E3" s="489"/>
      <c r="F3" s="489"/>
      <c r="G3" s="489"/>
      <c r="H3" s="489"/>
      <c r="I3" s="489"/>
      <c r="J3" s="489"/>
      <c r="K3" s="489"/>
      <c r="L3" s="335">
        <v>149670.70000000001</v>
      </c>
      <c r="M3" s="336"/>
      <c r="N3" s="336"/>
      <c r="O3" s="336"/>
      <c r="P3" s="337"/>
    </row>
    <row r="4" spans="1:16" s="311" customFormat="1">
      <c r="A4" s="321"/>
      <c r="B4" s="321"/>
      <c r="C4" s="345"/>
      <c r="D4" s="346"/>
      <c r="E4" s="342"/>
      <c r="F4" s="339">
        <v>0</v>
      </c>
      <c r="G4" s="339">
        <v>0</v>
      </c>
      <c r="H4" s="343">
        <f>F4*G4</f>
        <v>0</v>
      </c>
      <c r="I4" s="339"/>
      <c r="J4" s="339"/>
      <c r="K4" s="343"/>
      <c r="L4" s="340"/>
      <c r="M4" s="308"/>
      <c r="N4" s="340">
        <f>+L3</f>
        <v>149670.70000000001</v>
      </c>
      <c r="O4" s="188"/>
      <c r="P4" s="188"/>
    </row>
    <row r="5" spans="1:16" s="311" customFormat="1">
      <c r="A5" s="322">
        <v>1</v>
      </c>
      <c r="B5" s="344" t="s">
        <v>201</v>
      </c>
      <c r="C5" s="118" t="s">
        <v>202</v>
      </c>
      <c r="D5" s="118" t="s">
        <v>203</v>
      </c>
      <c r="E5" s="347" t="s">
        <v>204</v>
      </c>
      <c r="F5" s="341">
        <v>30</v>
      </c>
      <c r="G5" s="339">
        <v>89.33</v>
      </c>
      <c r="H5" s="343">
        <f t="shared" ref="H5:H70" si="0">F5*G5</f>
        <v>2679.9</v>
      </c>
      <c r="I5" s="339">
        <v>7.01</v>
      </c>
      <c r="J5" s="339">
        <v>103.26</v>
      </c>
      <c r="K5" s="343">
        <f t="shared" ref="K5:K23" si="1">I5*J5</f>
        <v>723.85260000000005</v>
      </c>
      <c r="L5" s="340">
        <f t="shared" ref="L5:L23" si="2">H5+K5</f>
        <v>3403.7526000000003</v>
      </c>
      <c r="M5" s="308"/>
      <c r="N5" s="190">
        <f>N4+M5-L5</f>
        <v>146266.9474</v>
      </c>
      <c r="O5" s="188"/>
      <c r="P5" s="188"/>
    </row>
    <row r="6" spans="1:16" s="311" customFormat="1">
      <c r="A6" s="188">
        <v>2</v>
      </c>
      <c r="B6" s="344" t="s">
        <v>201</v>
      </c>
      <c r="C6" s="323" t="s">
        <v>205</v>
      </c>
      <c r="D6" s="323" t="s">
        <v>159</v>
      </c>
      <c r="E6" s="347" t="s">
        <v>206</v>
      </c>
      <c r="F6" s="339">
        <v>36.270000000000003</v>
      </c>
      <c r="G6" s="339">
        <v>89.49</v>
      </c>
      <c r="H6" s="343">
        <f t="shared" si="0"/>
        <v>3245.8023000000003</v>
      </c>
      <c r="I6" s="339">
        <v>0</v>
      </c>
      <c r="J6" s="339">
        <v>0</v>
      </c>
      <c r="K6" s="343">
        <f t="shared" si="1"/>
        <v>0</v>
      </c>
      <c r="L6" s="340">
        <f t="shared" si="2"/>
        <v>3245.8023000000003</v>
      </c>
      <c r="M6" s="308"/>
      <c r="N6" s="190">
        <f t="shared" ref="N6:N31" si="3">N5+M6-L6</f>
        <v>143021.14509999999</v>
      </c>
      <c r="O6" s="188"/>
      <c r="P6" s="188"/>
    </row>
    <row r="7" spans="1:16" s="311" customFormat="1">
      <c r="A7" s="188"/>
      <c r="B7" s="344" t="s">
        <v>201</v>
      </c>
      <c r="C7" s="323" t="s">
        <v>207</v>
      </c>
      <c r="D7" s="323" t="s">
        <v>208</v>
      </c>
      <c r="E7" s="347" t="s">
        <v>209</v>
      </c>
      <c r="F7" s="339">
        <v>27.57</v>
      </c>
      <c r="G7" s="339">
        <v>92.04</v>
      </c>
      <c r="H7" s="343">
        <f t="shared" si="0"/>
        <v>2537.5428000000002</v>
      </c>
      <c r="I7" s="339">
        <v>10</v>
      </c>
      <c r="J7" s="339">
        <v>104.02</v>
      </c>
      <c r="K7" s="343">
        <f t="shared" si="1"/>
        <v>1040.2</v>
      </c>
      <c r="L7" s="340">
        <f t="shared" si="2"/>
        <v>3577.7428</v>
      </c>
      <c r="M7" s="308"/>
      <c r="N7" s="190">
        <f t="shared" si="3"/>
        <v>139443.40229999999</v>
      </c>
      <c r="O7" s="188"/>
      <c r="P7" s="188"/>
    </row>
    <row r="8" spans="1:16" s="311" customFormat="1">
      <c r="A8" s="188">
        <v>3</v>
      </c>
      <c r="B8" s="188" t="s">
        <v>210</v>
      </c>
      <c r="C8" s="189" t="s">
        <v>205</v>
      </c>
      <c r="D8" s="189" t="s">
        <v>159</v>
      </c>
      <c r="E8" s="347" t="s">
        <v>206</v>
      </c>
      <c r="F8" s="339">
        <v>0</v>
      </c>
      <c r="G8" s="339">
        <v>0</v>
      </c>
      <c r="H8" s="343">
        <f t="shared" si="0"/>
        <v>0</v>
      </c>
      <c r="I8" s="339">
        <v>4.83</v>
      </c>
      <c r="J8" s="339">
        <v>103.44</v>
      </c>
      <c r="K8" s="343">
        <f t="shared" si="1"/>
        <v>499.61520000000002</v>
      </c>
      <c r="L8" s="340">
        <f t="shared" si="2"/>
        <v>499.61520000000002</v>
      </c>
      <c r="M8" s="308"/>
      <c r="N8" s="190">
        <f t="shared" si="3"/>
        <v>138943.78709999999</v>
      </c>
      <c r="O8" s="188"/>
      <c r="P8" s="188"/>
    </row>
    <row r="9" spans="1:16" s="311" customFormat="1">
      <c r="A9" s="188">
        <v>4</v>
      </c>
      <c r="B9" s="188" t="s">
        <v>210</v>
      </c>
      <c r="C9" s="189" t="s">
        <v>211</v>
      </c>
      <c r="D9" s="189" t="s">
        <v>212</v>
      </c>
      <c r="E9" s="347" t="s">
        <v>213</v>
      </c>
      <c r="F9" s="339">
        <v>120</v>
      </c>
      <c r="G9" s="339">
        <v>91.8</v>
      </c>
      <c r="H9" s="343">
        <f t="shared" si="0"/>
        <v>11016</v>
      </c>
      <c r="I9" s="339">
        <v>0</v>
      </c>
      <c r="J9" s="339">
        <v>0</v>
      </c>
      <c r="K9" s="343">
        <f t="shared" si="1"/>
        <v>0</v>
      </c>
      <c r="L9" s="340">
        <f t="shared" si="2"/>
        <v>11016</v>
      </c>
      <c r="M9" s="308"/>
      <c r="N9" s="190">
        <f t="shared" si="3"/>
        <v>127927.78709999999</v>
      </c>
      <c r="O9" s="188"/>
      <c r="P9" s="188"/>
    </row>
    <row r="10" spans="1:16" s="311" customFormat="1">
      <c r="A10" s="188">
        <v>5</v>
      </c>
      <c r="B10" s="188" t="s">
        <v>214</v>
      </c>
      <c r="C10" s="189" t="s">
        <v>215</v>
      </c>
      <c r="D10" s="189" t="s">
        <v>216</v>
      </c>
      <c r="E10" s="312" t="s">
        <v>217</v>
      </c>
      <c r="F10" s="339">
        <v>30</v>
      </c>
      <c r="G10" s="339">
        <v>91.92</v>
      </c>
      <c r="H10" s="343">
        <f t="shared" si="0"/>
        <v>2757.6</v>
      </c>
      <c r="I10" s="339"/>
      <c r="J10" s="339"/>
      <c r="K10" s="343">
        <f t="shared" si="1"/>
        <v>0</v>
      </c>
      <c r="L10" s="340">
        <f t="shared" si="2"/>
        <v>2757.6</v>
      </c>
      <c r="M10" s="308">
        <v>50000</v>
      </c>
      <c r="N10" s="190">
        <f t="shared" si="3"/>
        <v>175170.18709999998</v>
      </c>
      <c r="O10" s="188"/>
      <c r="P10" s="188"/>
    </row>
    <row r="11" spans="1:16" s="311" customFormat="1">
      <c r="A11" s="188">
        <v>6</v>
      </c>
      <c r="B11" s="188" t="s">
        <v>214</v>
      </c>
      <c r="C11" s="189" t="s">
        <v>218</v>
      </c>
      <c r="D11" s="189" t="s">
        <v>219</v>
      </c>
      <c r="E11" s="312" t="s">
        <v>220</v>
      </c>
      <c r="F11" s="339">
        <v>43.95</v>
      </c>
      <c r="G11" s="339">
        <v>91.08</v>
      </c>
      <c r="H11" s="343">
        <f t="shared" si="0"/>
        <v>4002.9660000000003</v>
      </c>
      <c r="I11" s="339"/>
      <c r="J11" s="339"/>
      <c r="K11" s="343">
        <f t="shared" si="1"/>
        <v>0</v>
      </c>
      <c r="L11" s="340">
        <f t="shared" si="2"/>
        <v>4002.9660000000003</v>
      </c>
      <c r="M11" s="308"/>
      <c r="N11" s="190">
        <f t="shared" si="3"/>
        <v>171167.22109999997</v>
      </c>
      <c r="O11" s="188"/>
      <c r="P11" s="188"/>
    </row>
    <row r="12" spans="1:16" s="311" customFormat="1">
      <c r="A12" s="188">
        <v>7</v>
      </c>
      <c r="B12" s="188" t="s">
        <v>214</v>
      </c>
      <c r="C12" s="189" t="s">
        <v>221</v>
      </c>
      <c r="D12" s="189" t="s">
        <v>222</v>
      </c>
      <c r="E12" s="312" t="s">
        <v>223</v>
      </c>
      <c r="F12" s="339">
        <v>434.31</v>
      </c>
      <c r="G12" s="339">
        <v>92.1</v>
      </c>
      <c r="H12" s="343">
        <v>40000</v>
      </c>
      <c r="I12" s="339"/>
      <c r="J12" s="339"/>
      <c r="K12" s="343">
        <f t="shared" si="1"/>
        <v>0</v>
      </c>
      <c r="L12" s="340">
        <f t="shared" si="2"/>
        <v>40000</v>
      </c>
      <c r="M12" s="308"/>
      <c r="N12" s="190">
        <f t="shared" si="3"/>
        <v>131167.22109999997</v>
      </c>
      <c r="O12" s="188"/>
      <c r="P12" s="188"/>
    </row>
    <row r="13" spans="1:16" s="311" customFormat="1">
      <c r="A13" s="316">
        <v>8</v>
      </c>
      <c r="B13" s="188" t="s">
        <v>214</v>
      </c>
      <c r="C13" s="314" t="s">
        <v>224</v>
      </c>
      <c r="D13" s="314" t="s">
        <v>225</v>
      </c>
      <c r="E13" s="315" t="s">
        <v>226</v>
      </c>
      <c r="F13" s="339">
        <v>140</v>
      </c>
      <c r="G13" s="339">
        <v>92.09</v>
      </c>
      <c r="H13" s="343">
        <f t="shared" si="0"/>
        <v>12892.6</v>
      </c>
      <c r="I13" s="339"/>
      <c r="J13" s="339"/>
      <c r="K13" s="343">
        <f t="shared" si="1"/>
        <v>0</v>
      </c>
      <c r="L13" s="340">
        <f t="shared" si="2"/>
        <v>12892.6</v>
      </c>
      <c r="M13" s="308"/>
      <c r="N13" s="190">
        <f t="shared" si="3"/>
        <v>118274.62109999996</v>
      </c>
      <c r="O13" s="188"/>
      <c r="P13" s="188"/>
    </row>
    <row r="14" spans="1:16" s="311" customFormat="1">
      <c r="A14" s="188">
        <v>9</v>
      </c>
      <c r="B14" s="188" t="s">
        <v>214</v>
      </c>
      <c r="C14" s="189" t="s">
        <v>227</v>
      </c>
      <c r="D14" s="189" t="s">
        <v>228</v>
      </c>
      <c r="E14" s="312" t="s">
        <v>229</v>
      </c>
      <c r="F14" s="339">
        <v>20</v>
      </c>
      <c r="G14" s="339">
        <v>91.59</v>
      </c>
      <c r="H14" s="343">
        <f t="shared" si="0"/>
        <v>1831.8000000000002</v>
      </c>
      <c r="I14" s="339"/>
      <c r="J14" s="339"/>
      <c r="K14" s="343">
        <f t="shared" si="1"/>
        <v>0</v>
      </c>
      <c r="L14" s="340">
        <f t="shared" si="2"/>
        <v>1831.8000000000002</v>
      </c>
      <c r="M14" s="308"/>
      <c r="N14" s="190">
        <f t="shared" si="3"/>
        <v>116442.82109999996</v>
      </c>
      <c r="O14" s="188"/>
      <c r="P14" s="188"/>
    </row>
    <row r="15" spans="1:16" s="311" customFormat="1">
      <c r="A15" s="188">
        <v>10</v>
      </c>
      <c r="B15" s="188" t="s">
        <v>214</v>
      </c>
      <c r="C15" s="189" t="s">
        <v>205</v>
      </c>
      <c r="D15" s="189" t="s">
        <v>159</v>
      </c>
      <c r="E15" s="312" t="s">
        <v>206</v>
      </c>
      <c r="F15" s="339">
        <v>81.48</v>
      </c>
      <c r="G15" s="339">
        <v>91.5</v>
      </c>
      <c r="H15" s="343">
        <f t="shared" si="0"/>
        <v>7455.42</v>
      </c>
      <c r="I15" s="339">
        <v>4.83</v>
      </c>
      <c r="J15" s="339">
        <v>103.44</v>
      </c>
      <c r="K15" s="343">
        <f t="shared" si="1"/>
        <v>499.61520000000002</v>
      </c>
      <c r="L15" s="340">
        <f t="shared" si="2"/>
        <v>7955.0352000000003</v>
      </c>
      <c r="M15" s="308"/>
      <c r="N15" s="190">
        <f t="shared" si="3"/>
        <v>108487.78589999996</v>
      </c>
      <c r="O15" s="188"/>
      <c r="P15" s="188"/>
    </row>
    <row r="16" spans="1:16" s="311" customFormat="1">
      <c r="A16" s="188">
        <v>11</v>
      </c>
      <c r="B16" s="188" t="s">
        <v>214</v>
      </c>
      <c r="C16" s="189" t="s">
        <v>230</v>
      </c>
      <c r="D16" s="189" t="s">
        <v>231</v>
      </c>
      <c r="E16" s="312" t="s">
        <v>232</v>
      </c>
      <c r="F16" s="339">
        <v>100</v>
      </c>
      <c r="G16" s="339">
        <v>91.19</v>
      </c>
      <c r="H16" s="343">
        <f t="shared" si="0"/>
        <v>9119</v>
      </c>
      <c r="I16" s="339"/>
      <c r="J16" s="339"/>
      <c r="K16" s="343">
        <f t="shared" si="1"/>
        <v>0</v>
      </c>
      <c r="L16" s="340">
        <f t="shared" si="2"/>
        <v>9119</v>
      </c>
      <c r="M16" s="308"/>
      <c r="N16" s="190">
        <f t="shared" si="3"/>
        <v>99368.785899999959</v>
      </c>
      <c r="O16" s="188"/>
      <c r="P16" s="188"/>
    </row>
    <row r="17" spans="1:19" s="311" customFormat="1">
      <c r="A17" s="188">
        <v>12</v>
      </c>
      <c r="B17" s="188" t="s">
        <v>214</v>
      </c>
      <c r="C17" s="189" t="s">
        <v>211</v>
      </c>
      <c r="D17" s="189" t="s">
        <v>212</v>
      </c>
      <c r="E17" s="312" t="s">
        <v>213</v>
      </c>
      <c r="F17" s="339">
        <v>100</v>
      </c>
      <c r="G17" s="339">
        <v>91.8</v>
      </c>
      <c r="H17" s="343">
        <f t="shared" si="0"/>
        <v>9180</v>
      </c>
      <c r="I17" s="339"/>
      <c r="J17" s="339"/>
      <c r="K17" s="343">
        <f t="shared" si="1"/>
        <v>0</v>
      </c>
      <c r="L17" s="340">
        <f t="shared" si="2"/>
        <v>9180</v>
      </c>
      <c r="M17" s="308"/>
      <c r="N17" s="190">
        <f t="shared" si="3"/>
        <v>90188.785899999959</v>
      </c>
      <c r="O17" s="188"/>
      <c r="P17" s="188"/>
    </row>
    <row r="18" spans="1:19" s="311" customFormat="1">
      <c r="A18" s="188">
        <v>13</v>
      </c>
      <c r="B18" s="188" t="s">
        <v>233</v>
      </c>
      <c r="C18" s="189" t="s">
        <v>234</v>
      </c>
      <c r="D18" s="189" t="s">
        <v>235</v>
      </c>
      <c r="E18" s="312" t="s">
        <v>220</v>
      </c>
      <c r="F18" s="307">
        <v>38.93</v>
      </c>
      <c r="G18" s="307">
        <v>91.47</v>
      </c>
      <c r="H18" s="343">
        <f t="shared" si="0"/>
        <v>3560.9270999999999</v>
      </c>
      <c r="I18" s="307"/>
      <c r="J18" s="307"/>
      <c r="K18" s="343">
        <f t="shared" si="1"/>
        <v>0</v>
      </c>
      <c r="L18" s="340">
        <f t="shared" si="2"/>
        <v>3560.9270999999999</v>
      </c>
      <c r="M18" s="308"/>
      <c r="N18" s="190">
        <f t="shared" si="3"/>
        <v>86627.858799999958</v>
      </c>
      <c r="O18" s="188"/>
      <c r="P18" s="188"/>
    </row>
    <row r="19" spans="1:19" s="311" customFormat="1">
      <c r="A19" s="188">
        <v>14</v>
      </c>
      <c r="B19" s="188" t="s">
        <v>233</v>
      </c>
      <c r="C19" s="189" t="s">
        <v>215</v>
      </c>
      <c r="D19" s="189" t="s">
        <v>216</v>
      </c>
      <c r="E19" s="312" t="s">
        <v>217</v>
      </c>
      <c r="F19" s="307">
        <v>44.83</v>
      </c>
      <c r="G19" s="307">
        <v>91.92</v>
      </c>
      <c r="H19" s="343">
        <f t="shared" si="0"/>
        <v>4120.7735999999995</v>
      </c>
      <c r="I19" s="307"/>
      <c r="J19" s="307"/>
      <c r="K19" s="343">
        <f t="shared" si="1"/>
        <v>0</v>
      </c>
      <c r="L19" s="340">
        <f t="shared" si="2"/>
        <v>4120.7735999999995</v>
      </c>
      <c r="M19" s="308"/>
      <c r="N19" s="190">
        <f t="shared" si="3"/>
        <v>82507.085199999958</v>
      </c>
      <c r="O19" s="188"/>
      <c r="P19" s="188"/>
    </row>
    <row r="20" spans="1:19" s="311" customFormat="1">
      <c r="A20" s="188">
        <v>15</v>
      </c>
      <c r="B20" s="188" t="s">
        <v>233</v>
      </c>
      <c r="C20" s="189" t="s">
        <v>205</v>
      </c>
      <c r="D20" s="189" t="s">
        <v>159</v>
      </c>
      <c r="E20" s="312" t="s">
        <v>206</v>
      </c>
      <c r="F20" s="307">
        <v>80</v>
      </c>
      <c r="G20" s="307">
        <v>91.5</v>
      </c>
      <c r="H20" s="343">
        <f t="shared" si="0"/>
        <v>7320</v>
      </c>
      <c r="I20" s="307">
        <v>1.93</v>
      </c>
      <c r="J20" s="307">
        <v>103.44</v>
      </c>
      <c r="K20" s="343">
        <f t="shared" si="1"/>
        <v>199.63919999999999</v>
      </c>
      <c r="L20" s="340">
        <f t="shared" si="2"/>
        <v>7519.6391999999996</v>
      </c>
      <c r="M20" s="308"/>
      <c r="N20" s="190">
        <f t="shared" si="3"/>
        <v>74987.445999999953</v>
      </c>
      <c r="O20" s="188"/>
      <c r="P20" s="188"/>
    </row>
    <row r="21" spans="1:19" s="311" customFormat="1">
      <c r="A21" s="188">
        <v>16</v>
      </c>
      <c r="B21" s="188" t="s">
        <v>233</v>
      </c>
      <c r="C21" s="189" t="s">
        <v>211</v>
      </c>
      <c r="D21" s="189" t="s">
        <v>212</v>
      </c>
      <c r="E21" s="312" t="s">
        <v>213</v>
      </c>
      <c r="F21" s="307">
        <v>0</v>
      </c>
      <c r="G21" s="307">
        <v>0</v>
      </c>
      <c r="H21" s="343">
        <f t="shared" si="0"/>
        <v>0</v>
      </c>
      <c r="I21" s="307">
        <v>5</v>
      </c>
      <c r="J21" s="307">
        <v>103.76</v>
      </c>
      <c r="K21" s="343">
        <f t="shared" si="1"/>
        <v>518.80000000000007</v>
      </c>
      <c r="L21" s="340">
        <f t="shared" si="2"/>
        <v>518.80000000000007</v>
      </c>
      <c r="M21" s="308"/>
      <c r="N21" s="190">
        <f t="shared" si="3"/>
        <v>74468.64599999995</v>
      </c>
      <c r="O21" s="188"/>
      <c r="P21" s="188"/>
    </row>
    <row r="22" spans="1:19" s="311" customFormat="1">
      <c r="A22" s="188">
        <v>17</v>
      </c>
      <c r="B22" s="188" t="s">
        <v>233</v>
      </c>
      <c r="C22" s="189" t="s">
        <v>236</v>
      </c>
      <c r="D22" s="324" t="s">
        <v>237</v>
      </c>
      <c r="E22" s="312" t="s">
        <v>238</v>
      </c>
      <c r="F22" s="307"/>
      <c r="G22" s="307"/>
      <c r="H22" s="343">
        <f t="shared" si="0"/>
        <v>0</v>
      </c>
      <c r="I22" s="307">
        <v>8.3000000000000007</v>
      </c>
      <c r="J22" s="307">
        <v>102.46</v>
      </c>
      <c r="K22" s="343">
        <f t="shared" si="1"/>
        <v>850.41800000000001</v>
      </c>
      <c r="L22" s="340">
        <f t="shared" si="2"/>
        <v>850.41800000000001</v>
      </c>
      <c r="M22" s="308"/>
      <c r="N22" s="190">
        <f t="shared" si="3"/>
        <v>73618.227999999945</v>
      </c>
      <c r="O22" s="188"/>
      <c r="P22" s="188"/>
    </row>
    <row r="23" spans="1:19" s="311" customFormat="1">
      <c r="A23" s="188">
        <v>18</v>
      </c>
      <c r="B23" s="188" t="s">
        <v>233</v>
      </c>
      <c r="C23" s="189" t="s">
        <v>239</v>
      </c>
      <c r="D23" s="189" t="s">
        <v>240</v>
      </c>
      <c r="E23" s="312" t="s">
        <v>241</v>
      </c>
      <c r="F23" s="307"/>
      <c r="G23" s="307"/>
      <c r="H23" s="343">
        <f t="shared" si="0"/>
        <v>0</v>
      </c>
      <c r="I23" s="307">
        <v>9.68</v>
      </c>
      <c r="J23" s="307">
        <v>103.39</v>
      </c>
      <c r="K23" s="343">
        <f t="shared" si="1"/>
        <v>1000.8152</v>
      </c>
      <c r="L23" s="340">
        <f t="shared" si="2"/>
        <v>1000.8152</v>
      </c>
      <c r="M23" s="308"/>
      <c r="N23" s="190">
        <f t="shared" si="3"/>
        <v>72617.412799999947</v>
      </c>
      <c r="O23" s="188"/>
      <c r="P23" s="188"/>
    </row>
    <row r="24" spans="1:19" s="311" customFormat="1">
      <c r="A24" s="188">
        <v>19</v>
      </c>
      <c r="B24" s="188" t="s">
        <v>242</v>
      </c>
      <c r="C24" s="189" t="s">
        <v>215</v>
      </c>
      <c r="D24" s="189" t="s">
        <v>216</v>
      </c>
      <c r="E24" s="312" t="s">
        <v>217</v>
      </c>
      <c r="F24" s="307">
        <v>80</v>
      </c>
      <c r="G24" s="307">
        <v>91.92</v>
      </c>
      <c r="H24" s="343">
        <f t="shared" si="0"/>
        <v>7353.6</v>
      </c>
      <c r="I24" s="307">
        <v>5.87</v>
      </c>
      <c r="J24" s="307">
        <v>103.39</v>
      </c>
      <c r="K24" s="343">
        <f t="shared" ref="K24:K30" si="4">I24*J24</f>
        <v>606.89930000000004</v>
      </c>
      <c r="L24" s="340">
        <f t="shared" ref="L24:L31" si="5">H24+K24</f>
        <v>7960.4993000000004</v>
      </c>
      <c r="M24" s="308"/>
      <c r="N24" s="190">
        <f t="shared" si="3"/>
        <v>64656.913499999944</v>
      </c>
      <c r="O24" s="188"/>
      <c r="P24" s="188"/>
      <c r="R24" s="325"/>
      <c r="S24" s="325"/>
    </row>
    <row r="25" spans="1:19" s="311" customFormat="1">
      <c r="A25" s="188">
        <v>20</v>
      </c>
      <c r="B25" s="188" t="s">
        <v>242</v>
      </c>
      <c r="C25" s="189" t="s">
        <v>224</v>
      </c>
      <c r="D25" s="189" t="s">
        <v>225</v>
      </c>
      <c r="E25" s="312" t="s">
        <v>226</v>
      </c>
      <c r="F25" s="307">
        <v>280</v>
      </c>
      <c r="G25" s="307">
        <v>92.09</v>
      </c>
      <c r="H25" s="343">
        <f t="shared" si="0"/>
        <v>25785.200000000001</v>
      </c>
      <c r="I25" s="307">
        <v>35</v>
      </c>
      <c r="J25" s="307">
        <v>103.86</v>
      </c>
      <c r="K25" s="343">
        <f t="shared" si="4"/>
        <v>3635.1</v>
      </c>
      <c r="L25" s="340">
        <f t="shared" si="5"/>
        <v>29420.3</v>
      </c>
      <c r="M25" s="308"/>
      <c r="N25" s="190">
        <f t="shared" si="3"/>
        <v>35236.613499999949</v>
      </c>
      <c r="O25" s="188"/>
      <c r="P25" s="188"/>
    </row>
    <row r="26" spans="1:19" s="311" customFormat="1">
      <c r="A26" s="316">
        <v>21</v>
      </c>
      <c r="B26" s="188" t="s">
        <v>242</v>
      </c>
      <c r="C26" s="311" t="s">
        <v>227</v>
      </c>
      <c r="D26" s="314" t="s">
        <v>228</v>
      </c>
      <c r="E26" s="315" t="s">
        <v>229</v>
      </c>
      <c r="F26" s="307">
        <v>64.010000000000005</v>
      </c>
      <c r="G26" s="307">
        <v>91.59</v>
      </c>
      <c r="H26" s="343">
        <f t="shared" si="0"/>
        <v>5862.6759000000011</v>
      </c>
      <c r="I26" s="307">
        <v>0</v>
      </c>
      <c r="J26" s="307">
        <v>0</v>
      </c>
      <c r="K26" s="343">
        <f t="shared" si="4"/>
        <v>0</v>
      </c>
      <c r="L26" s="340">
        <f t="shared" si="5"/>
        <v>5862.6759000000011</v>
      </c>
      <c r="M26" s="308"/>
      <c r="N26" s="190">
        <f t="shared" si="3"/>
        <v>29373.937599999947</v>
      </c>
      <c r="O26" s="316"/>
      <c r="P26" s="316"/>
    </row>
    <row r="27" spans="1:19" s="311" customFormat="1">
      <c r="A27" s="188">
        <v>22</v>
      </c>
      <c r="B27" s="188" t="s">
        <v>242</v>
      </c>
      <c r="C27" s="189" t="s">
        <v>202</v>
      </c>
      <c r="D27" s="189" t="s">
        <v>203</v>
      </c>
      <c r="E27" s="312" t="s">
        <v>204</v>
      </c>
      <c r="F27" s="307">
        <v>5.48</v>
      </c>
      <c r="G27" s="307">
        <v>91.33</v>
      </c>
      <c r="H27" s="343">
        <f t="shared" si="0"/>
        <v>500.48840000000001</v>
      </c>
      <c r="I27" s="307">
        <v>11.68</v>
      </c>
      <c r="J27" s="307">
        <v>103.26</v>
      </c>
      <c r="K27" s="343">
        <f t="shared" si="4"/>
        <v>1206.0768</v>
      </c>
      <c r="L27" s="340">
        <f t="shared" si="5"/>
        <v>1706.5652</v>
      </c>
      <c r="M27" s="308"/>
      <c r="N27" s="190">
        <f t="shared" si="3"/>
        <v>27667.372399999946</v>
      </c>
      <c r="O27" s="188"/>
      <c r="P27" s="188"/>
    </row>
    <row r="28" spans="1:19" s="311" customFormat="1">
      <c r="A28" s="188">
        <v>23</v>
      </c>
      <c r="B28" s="188" t="s">
        <v>242</v>
      </c>
      <c r="C28" s="188" t="s">
        <v>205</v>
      </c>
      <c r="D28" s="188" t="s">
        <v>159</v>
      </c>
      <c r="E28" s="306" t="s">
        <v>206</v>
      </c>
      <c r="F28" s="307">
        <v>30</v>
      </c>
      <c r="G28" s="307">
        <v>91.5</v>
      </c>
      <c r="H28" s="343">
        <f t="shared" si="0"/>
        <v>2745</v>
      </c>
      <c r="I28" s="307">
        <v>0</v>
      </c>
      <c r="J28" s="307">
        <v>0</v>
      </c>
      <c r="K28" s="343">
        <f t="shared" si="4"/>
        <v>0</v>
      </c>
      <c r="L28" s="340">
        <f t="shared" si="5"/>
        <v>2745</v>
      </c>
      <c r="M28" s="308"/>
      <c r="N28" s="190">
        <f t="shared" si="3"/>
        <v>24922.372399999946</v>
      </c>
      <c r="O28" s="188"/>
      <c r="P28" s="188"/>
    </row>
    <row r="29" spans="1:19" s="311" customFormat="1">
      <c r="A29" s="188">
        <v>24</v>
      </c>
      <c r="B29" s="188" t="s">
        <v>242</v>
      </c>
      <c r="C29" s="188" t="s">
        <v>211</v>
      </c>
      <c r="D29" s="188" t="s">
        <v>212</v>
      </c>
      <c r="E29" s="306" t="s">
        <v>213</v>
      </c>
      <c r="F29" s="307">
        <v>110</v>
      </c>
      <c r="G29" s="307">
        <v>91.8</v>
      </c>
      <c r="H29" s="343">
        <f t="shared" si="0"/>
        <v>10098</v>
      </c>
      <c r="I29" s="307">
        <v>0</v>
      </c>
      <c r="J29" s="307">
        <v>0</v>
      </c>
      <c r="K29" s="343">
        <f t="shared" si="4"/>
        <v>0</v>
      </c>
      <c r="L29" s="340">
        <f t="shared" si="5"/>
        <v>10098</v>
      </c>
      <c r="M29" s="308"/>
      <c r="N29" s="190">
        <f t="shared" si="3"/>
        <v>14824.372399999946</v>
      </c>
      <c r="O29" s="188"/>
      <c r="P29" s="188"/>
    </row>
    <row r="30" spans="1:19" s="311" customFormat="1">
      <c r="A30" s="316">
        <v>25</v>
      </c>
      <c r="B30" s="316" t="s">
        <v>243</v>
      </c>
      <c r="C30" s="189" t="s">
        <v>215</v>
      </c>
      <c r="D30" s="189" t="s">
        <v>216</v>
      </c>
      <c r="E30" s="312" t="s">
        <v>217</v>
      </c>
      <c r="F30" s="307">
        <v>40</v>
      </c>
      <c r="G30" s="307">
        <v>91.92</v>
      </c>
      <c r="H30" s="343">
        <f t="shared" si="0"/>
        <v>3676.8</v>
      </c>
      <c r="I30" s="307">
        <v>10</v>
      </c>
      <c r="J30" s="307">
        <v>103.96</v>
      </c>
      <c r="K30" s="343">
        <f t="shared" si="4"/>
        <v>1039.5999999999999</v>
      </c>
      <c r="L30" s="340">
        <f t="shared" si="5"/>
        <v>4716.3999999999996</v>
      </c>
      <c r="M30" s="308"/>
      <c r="N30" s="190">
        <f t="shared" si="3"/>
        <v>10107.972399999946</v>
      </c>
      <c r="O30" s="316"/>
      <c r="P30" s="316"/>
    </row>
    <row r="31" spans="1:19" s="311" customFormat="1">
      <c r="A31" s="188">
        <v>26</v>
      </c>
      <c r="B31" s="316" t="s">
        <v>243</v>
      </c>
      <c r="C31" s="311" t="s">
        <v>227</v>
      </c>
      <c r="D31" s="314" t="s">
        <v>228</v>
      </c>
      <c r="E31" s="315" t="s">
        <v>229</v>
      </c>
      <c r="F31" s="307">
        <v>70</v>
      </c>
      <c r="G31" s="307">
        <v>91.59</v>
      </c>
      <c r="H31" s="343">
        <f t="shared" si="0"/>
        <v>6411.3</v>
      </c>
      <c r="I31" s="307">
        <v>0</v>
      </c>
      <c r="J31" s="307">
        <v>0</v>
      </c>
      <c r="K31" s="343">
        <f t="shared" ref="K31:K50" si="6">I31*J31</f>
        <v>0</v>
      </c>
      <c r="L31" s="340">
        <f t="shared" ref="L31:L51" si="7">H31+K31</f>
        <v>6411.3</v>
      </c>
      <c r="M31" s="308"/>
      <c r="N31" s="190">
        <f t="shared" ref="N31:N94" si="8">N30+M31-L31</f>
        <v>3696.6723999999458</v>
      </c>
      <c r="O31" s="188"/>
      <c r="P31" s="188"/>
      <c r="Q31" s="325"/>
      <c r="R31" s="325"/>
    </row>
    <row r="32" spans="1:19" s="311" customFormat="1">
      <c r="A32" s="188">
        <v>27</v>
      </c>
      <c r="B32" s="316" t="s">
        <v>244</v>
      </c>
      <c r="C32" s="189" t="s">
        <v>215</v>
      </c>
      <c r="D32" s="189" t="s">
        <v>216</v>
      </c>
      <c r="E32" s="312" t="s">
        <v>217</v>
      </c>
      <c r="F32" s="307">
        <v>0</v>
      </c>
      <c r="G32" s="307">
        <v>0</v>
      </c>
      <c r="H32" s="343">
        <f t="shared" si="0"/>
        <v>0</v>
      </c>
      <c r="I32" s="307">
        <v>6.74</v>
      </c>
      <c r="J32" s="307">
        <v>103.96</v>
      </c>
      <c r="K32" s="343">
        <f t="shared" si="6"/>
        <v>700.69039999999995</v>
      </c>
      <c r="L32" s="340">
        <f t="shared" si="7"/>
        <v>700.69039999999995</v>
      </c>
      <c r="M32" s="308">
        <v>500000</v>
      </c>
      <c r="N32" s="190">
        <f t="shared" si="8"/>
        <v>502995.9819999999</v>
      </c>
      <c r="O32" s="188"/>
      <c r="P32" s="188"/>
    </row>
    <row r="33" spans="1:16" s="311" customFormat="1">
      <c r="A33" s="188">
        <v>28</v>
      </c>
      <c r="B33" s="316" t="s">
        <v>244</v>
      </c>
      <c r="C33" s="189" t="s">
        <v>245</v>
      </c>
      <c r="D33" s="189" t="s">
        <v>89</v>
      </c>
      <c r="E33" s="312" t="s">
        <v>238</v>
      </c>
      <c r="F33" s="307">
        <v>0</v>
      </c>
      <c r="G33" s="307">
        <v>0</v>
      </c>
      <c r="H33" s="343">
        <f t="shared" si="0"/>
        <v>0</v>
      </c>
      <c r="I33" s="307">
        <v>6.05</v>
      </c>
      <c r="J33" s="307">
        <v>102.46</v>
      </c>
      <c r="K33" s="343">
        <f t="shared" si="6"/>
        <v>619.88299999999992</v>
      </c>
      <c r="L33" s="340">
        <f t="shared" si="7"/>
        <v>619.88299999999992</v>
      </c>
      <c r="M33" s="308">
        <v>750000</v>
      </c>
      <c r="N33" s="190">
        <f t="shared" si="8"/>
        <v>1252376.0989999999</v>
      </c>
      <c r="O33" s="188"/>
      <c r="P33" s="188"/>
    </row>
    <row r="34" spans="1:16" s="311" customFormat="1">
      <c r="A34" s="188">
        <v>29</v>
      </c>
      <c r="B34" s="316" t="s">
        <v>244</v>
      </c>
      <c r="C34" s="188" t="s">
        <v>221</v>
      </c>
      <c r="D34" s="188" t="s">
        <v>246</v>
      </c>
      <c r="E34" s="306" t="s">
        <v>223</v>
      </c>
      <c r="F34" s="307">
        <v>1049.47</v>
      </c>
      <c r="G34" s="307">
        <v>92.1</v>
      </c>
      <c r="H34" s="343">
        <f t="shared" si="0"/>
        <v>96656.186999999991</v>
      </c>
      <c r="I34" s="307">
        <v>0</v>
      </c>
      <c r="J34" s="307">
        <v>0</v>
      </c>
      <c r="K34" s="343">
        <f t="shared" si="6"/>
        <v>0</v>
      </c>
      <c r="L34" s="340">
        <f t="shared" si="7"/>
        <v>96656.186999999991</v>
      </c>
      <c r="M34" s="308"/>
      <c r="N34" s="190">
        <f t="shared" si="8"/>
        <v>1155719.912</v>
      </c>
      <c r="O34" s="188"/>
      <c r="P34" s="188"/>
    </row>
    <row r="35" spans="1:16" s="311" customFormat="1">
      <c r="A35" s="188">
        <v>30</v>
      </c>
      <c r="B35" s="316" t="s">
        <v>244</v>
      </c>
      <c r="C35" s="188" t="s">
        <v>247</v>
      </c>
      <c r="D35" s="188" t="s">
        <v>248</v>
      </c>
      <c r="E35" s="306" t="s">
        <v>249</v>
      </c>
      <c r="F35" s="307">
        <v>2190</v>
      </c>
      <c r="G35" s="307">
        <v>91.3</v>
      </c>
      <c r="H35" s="343">
        <f t="shared" si="0"/>
        <v>199947</v>
      </c>
      <c r="I35" s="307">
        <v>0</v>
      </c>
      <c r="J35" s="307">
        <v>0</v>
      </c>
      <c r="K35" s="343">
        <f t="shared" si="6"/>
        <v>0</v>
      </c>
      <c r="L35" s="340">
        <f t="shared" si="7"/>
        <v>199947</v>
      </c>
      <c r="M35" s="308"/>
      <c r="N35" s="190">
        <f t="shared" si="8"/>
        <v>955772.91200000001</v>
      </c>
      <c r="O35" s="188"/>
      <c r="P35" s="188"/>
    </row>
    <row r="36" spans="1:16" s="311" customFormat="1">
      <c r="A36" s="188">
        <v>31</v>
      </c>
      <c r="B36" s="316" t="s">
        <v>244</v>
      </c>
      <c r="C36" s="188" t="s">
        <v>224</v>
      </c>
      <c r="D36" s="188" t="s">
        <v>225</v>
      </c>
      <c r="E36" s="306" t="s">
        <v>226</v>
      </c>
      <c r="F36" s="307">
        <v>325</v>
      </c>
      <c r="G36" s="307">
        <v>92.09</v>
      </c>
      <c r="H36" s="343">
        <f t="shared" si="0"/>
        <v>29929.25</v>
      </c>
      <c r="I36" s="307">
        <v>0</v>
      </c>
      <c r="J36" s="307">
        <v>0</v>
      </c>
      <c r="K36" s="343">
        <f t="shared" si="6"/>
        <v>0</v>
      </c>
      <c r="L36" s="340">
        <f t="shared" si="7"/>
        <v>29929.25</v>
      </c>
      <c r="M36" s="308"/>
      <c r="N36" s="190">
        <f t="shared" si="8"/>
        <v>925843.66200000001</v>
      </c>
      <c r="O36" s="188"/>
      <c r="P36" s="188"/>
    </row>
    <row r="37" spans="1:16" s="311" customFormat="1">
      <c r="A37" s="188">
        <v>32</v>
      </c>
      <c r="B37" s="316" t="s">
        <v>244</v>
      </c>
      <c r="C37" s="188" t="s">
        <v>44</v>
      </c>
      <c r="D37" s="188" t="s">
        <v>250</v>
      </c>
      <c r="E37" s="306" t="s">
        <v>251</v>
      </c>
      <c r="F37" s="307">
        <v>1628.66</v>
      </c>
      <c r="G37" s="307">
        <v>92.1</v>
      </c>
      <c r="H37" s="343">
        <f t="shared" si="0"/>
        <v>149999.58600000001</v>
      </c>
      <c r="I37" s="307">
        <v>0</v>
      </c>
      <c r="J37" s="307">
        <v>0</v>
      </c>
      <c r="K37" s="343">
        <f t="shared" si="6"/>
        <v>0</v>
      </c>
      <c r="L37" s="340">
        <f t="shared" si="7"/>
        <v>149999.58600000001</v>
      </c>
      <c r="M37" s="308"/>
      <c r="N37" s="190">
        <f t="shared" si="8"/>
        <v>775844.076</v>
      </c>
      <c r="O37" s="188"/>
      <c r="P37" s="188"/>
    </row>
    <row r="38" spans="1:16" s="311" customFormat="1">
      <c r="A38" s="188">
        <v>33</v>
      </c>
      <c r="B38" s="316" t="s">
        <v>244</v>
      </c>
      <c r="C38" s="188" t="s">
        <v>205</v>
      </c>
      <c r="D38" s="188" t="s">
        <v>159</v>
      </c>
      <c r="E38" s="306" t="s">
        <v>206</v>
      </c>
      <c r="F38" s="307">
        <v>0</v>
      </c>
      <c r="G38" s="307">
        <v>0</v>
      </c>
      <c r="H38" s="343">
        <f t="shared" si="0"/>
        <v>0</v>
      </c>
      <c r="I38" s="307">
        <v>4.83</v>
      </c>
      <c r="J38" s="307">
        <v>103.44</v>
      </c>
      <c r="K38" s="343">
        <f t="shared" si="6"/>
        <v>499.61520000000002</v>
      </c>
      <c r="L38" s="340">
        <f t="shared" si="7"/>
        <v>499.61520000000002</v>
      </c>
      <c r="M38" s="308"/>
      <c r="N38" s="190">
        <f t="shared" si="8"/>
        <v>775344.4608</v>
      </c>
      <c r="O38" s="188"/>
      <c r="P38" s="188"/>
    </row>
    <row r="39" spans="1:16" s="311" customFormat="1">
      <c r="A39" s="188">
        <v>34</v>
      </c>
      <c r="B39" s="188" t="s">
        <v>252</v>
      </c>
      <c r="C39" s="188" t="s">
        <v>215</v>
      </c>
      <c r="D39" s="188" t="s">
        <v>216</v>
      </c>
      <c r="E39" s="306" t="s">
        <v>217</v>
      </c>
      <c r="F39" s="350">
        <v>61.36</v>
      </c>
      <c r="G39" s="350">
        <v>91.92</v>
      </c>
      <c r="H39" s="351">
        <f t="shared" si="0"/>
        <v>5640.2111999999997</v>
      </c>
      <c r="I39" s="307">
        <v>0</v>
      </c>
      <c r="J39" s="307">
        <v>0</v>
      </c>
      <c r="K39" s="343">
        <f t="shared" si="6"/>
        <v>0</v>
      </c>
      <c r="L39" s="340">
        <f t="shared" si="7"/>
        <v>5640.2111999999997</v>
      </c>
      <c r="M39" s="308"/>
      <c r="N39" s="190">
        <f t="shared" si="8"/>
        <v>769704.24959999998</v>
      </c>
      <c r="O39" s="188"/>
      <c r="P39" s="188"/>
    </row>
    <row r="40" spans="1:16" s="311" customFormat="1">
      <c r="A40" s="188">
        <v>35</v>
      </c>
      <c r="B40" s="188" t="s">
        <v>252</v>
      </c>
      <c r="C40" s="188" t="s">
        <v>253</v>
      </c>
      <c r="D40" s="188" t="s">
        <v>254</v>
      </c>
      <c r="E40" s="349" t="s">
        <v>220</v>
      </c>
      <c r="F40" s="118">
        <v>27.46</v>
      </c>
      <c r="G40" s="118">
        <v>92.03</v>
      </c>
      <c r="H40" s="343">
        <f t="shared" si="0"/>
        <v>2527.1438000000003</v>
      </c>
      <c r="I40" s="307">
        <v>0</v>
      </c>
      <c r="J40" s="307">
        <v>0</v>
      </c>
      <c r="K40" s="343">
        <f t="shared" si="6"/>
        <v>0</v>
      </c>
      <c r="L40" s="340">
        <f t="shared" si="7"/>
        <v>2527.1438000000003</v>
      </c>
      <c r="M40" s="308"/>
      <c r="N40" s="190">
        <f t="shared" si="8"/>
        <v>767177.10580000002</v>
      </c>
      <c r="O40" s="188"/>
      <c r="P40" s="188"/>
    </row>
    <row r="41" spans="1:16" s="311" customFormat="1">
      <c r="A41" s="188">
        <v>36</v>
      </c>
      <c r="B41" s="188" t="s">
        <v>252</v>
      </c>
      <c r="C41" s="188" t="s">
        <v>255</v>
      </c>
      <c r="D41" s="188" t="s">
        <v>256</v>
      </c>
      <c r="E41" s="349" t="s">
        <v>220</v>
      </c>
      <c r="F41" s="118">
        <v>21.79</v>
      </c>
      <c r="G41" s="118">
        <v>91.78</v>
      </c>
      <c r="H41" s="343">
        <f t="shared" si="0"/>
        <v>1999.8861999999999</v>
      </c>
      <c r="I41" s="307">
        <v>0</v>
      </c>
      <c r="J41" s="307">
        <v>0</v>
      </c>
      <c r="K41" s="343">
        <f t="shared" si="6"/>
        <v>0</v>
      </c>
      <c r="L41" s="340">
        <f t="shared" si="7"/>
        <v>1999.8861999999999</v>
      </c>
      <c r="M41" s="308"/>
      <c r="N41" s="190">
        <f t="shared" si="8"/>
        <v>765177.21960000007</v>
      </c>
      <c r="O41" s="188"/>
      <c r="P41" s="188"/>
    </row>
    <row r="42" spans="1:16" s="311" customFormat="1">
      <c r="A42" s="188">
        <v>37</v>
      </c>
      <c r="B42" s="188" t="s">
        <v>252</v>
      </c>
      <c r="C42" s="348" t="s">
        <v>257</v>
      </c>
      <c r="D42" s="348" t="s">
        <v>258</v>
      </c>
      <c r="E42" s="349" t="s">
        <v>259</v>
      </c>
      <c r="F42" s="307">
        <v>1262.0999999999999</v>
      </c>
      <c r="G42" s="307">
        <v>91.47</v>
      </c>
      <c r="H42" s="343">
        <f t="shared" si="0"/>
        <v>115444.287</v>
      </c>
      <c r="I42" s="307">
        <v>0</v>
      </c>
      <c r="J42" s="307">
        <v>0</v>
      </c>
      <c r="K42" s="343">
        <f t="shared" si="6"/>
        <v>0</v>
      </c>
      <c r="L42" s="340">
        <f t="shared" si="7"/>
        <v>115444.287</v>
      </c>
      <c r="M42" s="308"/>
      <c r="N42" s="190">
        <f t="shared" si="8"/>
        <v>649732.93260000006</v>
      </c>
      <c r="O42" s="188"/>
      <c r="P42" s="188"/>
    </row>
    <row r="43" spans="1:16" s="311" customFormat="1">
      <c r="A43" s="188">
        <v>38</v>
      </c>
      <c r="B43" s="188" t="s">
        <v>252</v>
      </c>
      <c r="C43" s="188" t="s">
        <v>205</v>
      </c>
      <c r="D43" s="188" t="s">
        <v>159</v>
      </c>
      <c r="E43" s="306" t="s">
        <v>206</v>
      </c>
      <c r="F43" s="307">
        <v>94.38</v>
      </c>
      <c r="G43" s="307">
        <v>91.5</v>
      </c>
      <c r="H43" s="343">
        <f t="shared" si="0"/>
        <v>8635.77</v>
      </c>
      <c r="I43" s="307">
        <v>5</v>
      </c>
      <c r="J43" s="307">
        <v>103.44</v>
      </c>
      <c r="K43" s="343">
        <f t="shared" si="6"/>
        <v>517.20000000000005</v>
      </c>
      <c r="L43" s="340">
        <f t="shared" si="7"/>
        <v>9152.9700000000012</v>
      </c>
      <c r="M43" s="308"/>
      <c r="N43" s="190">
        <f t="shared" si="8"/>
        <v>640579.96260000009</v>
      </c>
      <c r="O43" s="188"/>
      <c r="P43" s="188"/>
    </row>
    <row r="44" spans="1:16" s="311" customFormat="1">
      <c r="A44" s="316">
        <v>39</v>
      </c>
      <c r="B44" s="188" t="s">
        <v>252</v>
      </c>
      <c r="C44" s="316" t="s">
        <v>211</v>
      </c>
      <c r="D44" s="316" t="s">
        <v>212</v>
      </c>
      <c r="E44" s="326" t="s">
        <v>213</v>
      </c>
      <c r="F44" s="307">
        <v>90</v>
      </c>
      <c r="G44" s="307">
        <v>91.8</v>
      </c>
      <c r="H44" s="343">
        <f t="shared" si="0"/>
        <v>8262</v>
      </c>
      <c r="I44" s="307">
        <v>0</v>
      </c>
      <c r="J44" s="307">
        <v>0</v>
      </c>
      <c r="K44" s="343">
        <f t="shared" si="6"/>
        <v>0</v>
      </c>
      <c r="L44" s="340">
        <f t="shared" si="7"/>
        <v>8262</v>
      </c>
      <c r="M44" s="308"/>
      <c r="N44" s="190">
        <f t="shared" si="8"/>
        <v>632317.96260000009</v>
      </c>
      <c r="O44" s="316"/>
      <c r="P44" s="316"/>
    </row>
    <row r="45" spans="1:16" s="311" customFormat="1">
      <c r="A45" s="188">
        <v>40</v>
      </c>
      <c r="B45" s="188" t="s">
        <v>252</v>
      </c>
      <c r="C45" s="189" t="s">
        <v>207</v>
      </c>
      <c r="D45" s="189" t="s">
        <v>208</v>
      </c>
      <c r="E45" s="312" t="s">
        <v>209</v>
      </c>
      <c r="F45" s="307">
        <v>60</v>
      </c>
      <c r="G45" s="307">
        <v>92.04</v>
      </c>
      <c r="H45" s="343">
        <f t="shared" si="0"/>
        <v>5522.4000000000005</v>
      </c>
      <c r="I45" s="307">
        <v>15</v>
      </c>
      <c r="J45" s="307">
        <v>104.02</v>
      </c>
      <c r="K45" s="343">
        <f t="shared" si="6"/>
        <v>1560.3</v>
      </c>
      <c r="L45" s="340">
        <f t="shared" si="7"/>
        <v>7082.7000000000007</v>
      </c>
      <c r="M45" s="308"/>
      <c r="N45" s="190">
        <f t="shared" si="8"/>
        <v>625235.26260000013</v>
      </c>
      <c r="O45" s="310"/>
      <c r="P45" s="190"/>
    </row>
    <row r="46" spans="1:16" s="311" customFormat="1">
      <c r="A46" s="188">
        <v>41</v>
      </c>
      <c r="B46" s="188" t="s">
        <v>260</v>
      </c>
      <c r="C46" s="188" t="s">
        <v>215</v>
      </c>
      <c r="D46" s="188" t="s">
        <v>216</v>
      </c>
      <c r="E46" s="306" t="s">
        <v>217</v>
      </c>
      <c r="F46" s="307">
        <v>50</v>
      </c>
      <c r="G46" s="307">
        <v>91.92</v>
      </c>
      <c r="H46" s="343">
        <f t="shared" si="0"/>
        <v>4596</v>
      </c>
      <c r="I46" s="307">
        <v>5.0999999999999996</v>
      </c>
      <c r="J46" s="307">
        <v>103.96</v>
      </c>
      <c r="K46" s="343">
        <f t="shared" si="6"/>
        <v>530.19599999999991</v>
      </c>
      <c r="L46" s="340">
        <f t="shared" si="7"/>
        <v>5126.1959999999999</v>
      </c>
      <c r="M46" s="308"/>
      <c r="N46" s="190">
        <f t="shared" si="8"/>
        <v>620109.06660000014</v>
      </c>
      <c r="O46" s="188"/>
      <c r="P46" s="188"/>
    </row>
    <row r="47" spans="1:16" s="311" customFormat="1">
      <c r="A47" s="322">
        <v>42</v>
      </c>
      <c r="B47" s="188" t="s">
        <v>260</v>
      </c>
      <c r="C47" s="322" t="s">
        <v>261</v>
      </c>
      <c r="D47" s="322" t="s">
        <v>262</v>
      </c>
      <c r="E47" s="327" t="s">
        <v>223</v>
      </c>
      <c r="F47" s="307">
        <v>533</v>
      </c>
      <c r="G47" s="307">
        <v>92.1</v>
      </c>
      <c r="H47" s="343">
        <f t="shared" si="0"/>
        <v>49089.299999999996</v>
      </c>
      <c r="I47" s="307">
        <v>8</v>
      </c>
      <c r="J47" s="307">
        <v>103.86</v>
      </c>
      <c r="K47" s="343">
        <f t="shared" si="6"/>
        <v>830.88</v>
      </c>
      <c r="L47" s="340">
        <f t="shared" si="7"/>
        <v>49920.179999999993</v>
      </c>
      <c r="M47" s="308"/>
      <c r="N47" s="190">
        <f t="shared" si="8"/>
        <v>570188.88660000009</v>
      </c>
      <c r="O47" s="322"/>
      <c r="P47" s="322"/>
    </row>
    <row r="48" spans="1:16" s="311" customFormat="1">
      <c r="A48" s="188">
        <v>43</v>
      </c>
      <c r="B48" s="188" t="s">
        <v>260</v>
      </c>
      <c r="C48" s="189" t="s">
        <v>224</v>
      </c>
      <c r="D48" s="189" t="s">
        <v>225</v>
      </c>
      <c r="E48" s="312" t="s">
        <v>226</v>
      </c>
      <c r="F48" s="307">
        <v>200</v>
      </c>
      <c r="G48" s="307">
        <v>92.09</v>
      </c>
      <c r="H48" s="343">
        <f t="shared" si="0"/>
        <v>18418</v>
      </c>
      <c r="I48" s="307">
        <v>15</v>
      </c>
      <c r="J48" s="307">
        <v>103.86</v>
      </c>
      <c r="K48" s="343">
        <f t="shared" si="6"/>
        <v>1557.9</v>
      </c>
      <c r="L48" s="340">
        <f t="shared" si="7"/>
        <v>19975.900000000001</v>
      </c>
      <c r="M48" s="308"/>
      <c r="N48" s="190">
        <f t="shared" si="8"/>
        <v>550212.98660000006</v>
      </c>
      <c r="O48" s="188"/>
      <c r="P48" s="188"/>
    </row>
    <row r="49" spans="1:16" s="311" customFormat="1">
      <c r="A49" s="316">
        <v>44</v>
      </c>
      <c r="B49" s="188" t="s">
        <v>260</v>
      </c>
      <c r="C49" s="316" t="s">
        <v>205</v>
      </c>
      <c r="D49" s="316" t="s">
        <v>159</v>
      </c>
      <c r="E49" s="326" t="s">
        <v>206</v>
      </c>
      <c r="F49" s="307">
        <v>0</v>
      </c>
      <c r="G49" s="307">
        <v>0</v>
      </c>
      <c r="H49" s="343">
        <f t="shared" si="0"/>
        <v>0</v>
      </c>
      <c r="I49" s="307">
        <v>4.83</v>
      </c>
      <c r="J49" s="307">
        <v>103.44</v>
      </c>
      <c r="K49" s="343">
        <f t="shared" si="6"/>
        <v>499.61520000000002</v>
      </c>
      <c r="L49" s="340">
        <f t="shared" si="7"/>
        <v>499.61520000000002</v>
      </c>
      <c r="M49" s="308"/>
      <c r="N49" s="190">
        <f t="shared" si="8"/>
        <v>549713.37140000006</v>
      </c>
      <c r="O49" s="316"/>
      <c r="P49" s="316"/>
    </row>
    <row r="50" spans="1:16" s="311" customFormat="1">
      <c r="A50" s="188">
        <v>45</v>
      </c>
      <c r="B50" s="188" t="s">
        <v>260</v>
      </c>
      <c r="C50" s="188" t="s">
        <v>211</v>
      </c>
      <c r="D50" s="188" t="s">
        <v>212</v>
      </c>
      <c r="E50" s="306" t="s">
        <v>213</v>
      </c>
      <c r="F50" s="307">
        <v>85</v>
      </c>
      <c r="G50" s="307">
        <v>91.8</v>
      </c>
      <c r="H50" s="343">
        <f t="shared" si="0"/>
        <v>7803</v>
      </c>
      <c r="I50" s="307">
        <v>15</v>
      </c>
      <c r="J50" s="307">
        <v>103.76</v>
      </c>
      <c r="K50" s="343">
        <f t="shared" si="6"/>
        <v>1556.4</v>
      </c>
      <c r="L50" s="340">
        <f t="shared" si="7"/>
        <v>9359.4</v>
      </c>
      <c r="M50" s="308"/>
      <c r="N50" s="190">
        <f t="shared" si="8"/>
        <v>540353.97140000004</v>
      </c>
      <c r="O50" s="188"/>
      <c r="P50" s="188"/>
    </row>
    <row r="51" spans="1:16" s="311" customFormat="1">
      <c r="A51" s="316">
        <v>46</v>
      </c>
      <c r="B51" s="188" t="s">
        <v>260</v>
      </c>
      <c r="C51" s="314" t="s">
        <v>207</v>
      </c>
      <c r="D51" s="314" t="s">
        <v>208</v>
      </c>
      <c r="E51" s="315" t="s">
        <v>209</v>
      </c>
      <c r="F51" s="307">
        <v>70</v>
      </c>
      <c r="G51" s="307">
        <v>92.04</v>
      </c>
      <c r="H51" s="343">
        <f t="shared" si="0"/>
        <v>6442.8</v>
      </c>
      <c r="I51" s="307">
        <v>0</v>
      </c>
      <c r="J51" s="307">
        <v>0</v>
      </c>
      <c r="K51" s="343">
        <f t="shared" ref="K51:K99" si="9">I51*J51</f>
        <v>0</v>
      </c>
      <c r="L51" s="340">
        <f t="shared" ref="L51:L100" si="10">H51+K51</f>
        <v>6442.8</v>
      </c>
      <c r="M51" s="308"/>
      <c r="N51" s="190">
        <f t="shared" si="8"/>
        <v>533911.17139999999</v>
      </c>
      <c r="O51" s="316"/>
      <c r="P51" s="316"/>
    </row>
    <row r="52" spans="1:16" s="311" customFormat="1">
      <c r="A52" s="188">
        <v>47</v>
      </c>
      <c r="B52" s="316" t="s">
        <v>263</v>
      </c>
      <c r="C52" s="189" t="s">
        <v>215</v>
      </c>
      <c r="D52" s="189" t="s">
        <v>216</v>
      </c>
      <c r="E52" s="312" t="s">
        <v>217</v>
      </c>
      <c r="F52" s="307">
        <v>79.319999999999993</v>
      </c>
      <c r="G52" s="307">
        <v>91.92</v>
      </c>
      <c r="H52" s="343">
        <f t="shared" si="0"/>
        <v>7291.0944</v>
      </c>
      <c r="I52" s="307"/>
      <c r="J52" s="307"/>
      <c r="K52" s="343">
        <f t="shared" si="9"/>
        <v>0</v>
      </c>
      <c r="L52" s="340">
        <f t="shared" si="10"/>
        <v>7291.0944</v>
      </c>
      <c r="M52" s="308"/>
      <c r="N52" s="190">
        <f t="shared" si="8"/>
        <v>526620.07700000005</v>
      </c>
      <c r="O52" s="188"/>
      <c r="P52" s="188"/>
    </row>
    <row r="53" spans="1:16" s="311" customFormat="1">
      <c r="A53" s="188">
        <v>48</v>
      </c>
      <c r="B53" s="316" t="s">
        <v>263</v>
      </c>
      <c r="C53" s="188" t="s">
        <v>264</v>
      </c>
      <c r="D53" s="188" t="s">
        <v>265</v>
      </c>
      <c r="E53" s="306" t="s">
        <v>266</v>
      </c>
      <c r="F53" s="307">
        <v>52.92</v>
      </c>
      <c r="G53" s="307">
        <v>91.14</v>
      </c>
      <c r="H53" s="343">
        <f t="shared" si="0"/>
        <v>4823.1288000000004</v>
      </c>
      <c r="I53" s="307">
        <v>6</v>
      </c>
      <c r="J53" s="307">
        <v>103.05</v>
      </c>
      <c r="K53" s="343">
        <f t="shared" si="9"/>
        <v>618.29999999999995</v>
      </c>
      <c r="L53" s="340">
        <f t="shared" si="10"/>
        <v>5441.4288000000006</v>
      </c>
      <c r="M53" s="308"/>
      <c r="N53" s="190">
        <f t="shared" si="8"/>
        <v>521178.64820000005</v>
      </c>
      <c r="O53" s="188"/>
      <c r="P53" s="188"/>
    </row>
    <row r="54" spans="1:16" s="311" customFormat="1">
      <c r="A54" s="188">
        <v>49</v>
      </c>
      <c r="B54" s="316" t="s">
        <v>263</v>
      </c>
      <c r="C54" s="188" t="s">
        <v>227</v>
      </c>
      <c r="D54" s="188" t="s">
        <v>228</v>
      </c>
      <c r="E54" s="306" t="s">
        <v>229</v>
      </c>
      <c r="F54" s="307">
        <v>15</v>
      </c>
      <c r="G54" s="307">
        <v>91.59</v>
      </c>
      <c r="H54" s="343">
        <f t="shared" si="0"/>
        <v>1373.8500000000001</v>
      </c>
      <c r="I54" s="307">
        <v>5.65</v>
      </c>
      <c r="J54" s="307">
        <v>103.53</v>
      </c>
      <c r="K54" s="343">
        <f t="shared" si="9"/>
        <v>584.94450000000006</v>
      </c>
      <c r="L54" s="340">
        <f t="shared" si="10"/>
        <v>1958.7945000000002</v>
      </c>
      <c r="M54" s="308"/>
      <c r="N54" s="190">
        <f t="shared" si="8"/>
        <v>519219.85370000004</v>
      </c>
      <c r="O54" s="188"/>
      <c r="P54" s="188"/>
    </row>
    <row r="55" spans="1:16" s="311" customFormat="1">
      <c r="A55" s="188">
        <v>50</v>
      </c>
      <c r="B55" s="316" t="s">
        <v>263</v>
      </c>
      <c r="C55" s="189" t="s">
        <v>239</v>
      </c>
      <c r="D55" s="189" t="s">
        <v>240</v>
      </c>
      <c r="E55" s="312" t="s">
        <v>241</v>
      </c>
      <c r="F55" s="307">
        <v>98.41</v>
      </c>
      <c r="G55" s="307">
        <v>91.45</v>
      </c>
      <c r="H55" s="343">
        <f t="shared" si="0"/>
        <v>8999.5944999999992</v>
      </c>
      <c r="I55" s="307">
        <v>9.68</v>
      </c>
      <c r="J55" s="307">
        <v>103.39</v>
      </c>
      <c r="K55" s="343">
        <f t="shared" si="9"/>
        <v>1000.8152</v>
      </c>
      <c r="L55" s="340">
        <f t="shared" si="10"/>
        <v>10000.4097</v>
      </c>
      <c r="M55" s="308"/>
      <c r="N55" s="190">
        <f t="shared" si="8"/>
        <v>509219.44400000002</v>
      </c>
      <c r="O55" s="188"/>
      <c r="P55" s="188"/>
    </row>
    <row r="56" spans="1:16" s="311" customFormat="1">
      <c r="A56" s="188">
        <v>51</v>
      </c>
      <c r="B56" s="316" t="s">
        <v>263</v>
      </c>
      <c r="C56" s="188" t="s">
        <v>205</v>
      </c>
      <c r="D56" s="189" t="s">
        <v>159</v>
      </c>
      <c r="E56" s="312" t="s">
        <v>206</v>
      </c>
      <c r="F56" s="307">
        <v>50.28</v>
      </c>
      <c r="G56" s="307">
        <v>91.5</v>
      </c>
      <c r="H56" s="343">
        <f t="shared" si="0"/>
        <v>4600.62</v>
      </c>
      <c r="I56" s="307">
        <v>0</v>
      </c>
      <c r="J56" s="307">
        <v>0</v>
      </c>
      <c r="K56" s="343">
        <f t="shared" si="9"/>
        <v>0</v>
      </c>
      <c r="L56" s="340">
        <f t="shared" si="10"/>
        <v>4600.62</v>
      </c>
      <c r="M56" s="308"/>
      <c r="N56" s="190">
        <f t="shared" si="8"/>
        <v>504618.82400000002</v>
      </c>
      <c r="O56" s="188"/>
      <c r="P56" s="188"/>
    </row>
    <row r="57" spans="1:16" s="311" customFormat="1">
      <c r="A57" s="188">
        <v>52</v>
      </c>
      <c r="B57" s="316" t="s">
        <v>263</v>
      </c>
      <c r="C57" s="188" t="s">
        <v>211</v>
      </c>
      <c r="D57" s="188" t="s">
        <v>212</v>
      </c>
      <c r="E57" s="306" t="s">
        <v>213</v>
      </c>
      <c r="F57" s="307">
        <v>70</v>
      </c>
      <c r="G57" s="307">
        <v>91.8</v>
      </c>
      <c r="H57" s="343">
        <f t="shared" si="0"/>
        <v>6426</v>
      </c>
      <c r="I57" s="307">
        <v>0</v>
      </c>
      <c r="J57" s="307">
        <v>0</v>
      </c>
      <c r="K57" s="343">
        <f t="shared" si="9"/>
        <v>0</v>
      </c>
      <c r="L57" s="340">
        <f t="shared" si="10"/>
        <v>6426</v>
      </c>
      <c r="M57" s="308"/>
      <c r="N57" s="190">
        <f t="shared" si="8"/>
        <v>498192.82400000002</v>
      </c>
      <c r="O57" s="188"/>
      <c r="P57" s="188"/>
    </row>
    <row r="58" spans="1:16" s="311" customFormat="1">
      <c r="A58" s="316">
        <v>53</v>
      </c>
      <c r="B58" s="188" t="s">
        <v>267</v>
      </c>
      <c r="C58" s="314" t="s">
        <v>215</v>
      </c>
      <c r="D58" s="314" t="s">
        <v>216</v>
      </c>
      <c r="E58" s="315" t="s">
        <v>217</v>
      </c>
      <c r="F58" s="307">
        <v>0</v>
      </c>
      <c r="G58" s="307">
        <v>0</v>
      </c>
      <c r="H58" s="343">
        <f t="shared" si="0"/>
        <v>0</v>
      </c>
      <c r="I58" s="307">
        <v>7.22</v>
      </c>
      <c r="J58" s="307">
        <v>103.96</v>
      </c>
      <c r="K58" s="343">
        <f t="shared" si="9"/>
        <v>750.59119999999996</v>
      </c>
      <c r="L58" s="340">
        <f t="shared" si="10"/>
        <v>750.59119999999996</v>
      </c>
      <c r="M58" s="308"/>
      <c r="N58" s="190">
        <f t="shared" si="8"/>
        <v>497442.2328</v>
      </c>
      <c r="O58" s="316"/>
      <c r="P58" s="316"/>
    </row>
    <row r="59" spans="1:16" s="311" customFormat="1">
      <c r="A59" s="188">
        <v>54</v>
      </c>
      <c r="B59" s="188" t="s">
        <v>267</v>
      </c>
      <c r="C59" s="189" t="s">
        <v>227</v>
      </c>
      <c r="D59" s="189" t="s">
        <v>228</v>
      </c>
      <c r="E59" s="312" t="s">
        <v>229</v>
      </c>
      <c r="F59" s="307">
        <v>30</v>
      </c>
      <c r="G59" s="307">
        <v>91.59</v>
      </c>
      <c r="H59" s="343">
        <f t="shared" si="0"/>
        <v>2747.7000000000003</v>
      </c>
      <c r="I59" s="307">
        <v>0</v>
      </c>
      <c r="J59" s="307"/>
      <c r="K59" s="343">
        <f t="shared" si="9"/>
        <v>0</v>
      </c>
      <c r="L59" s="340">
        <f t="shared" si="10"/>
        <v>2747.7000000000003</v>
      </c>
      <c r="M59" s="308"/>
      <c r="N59" s="190">
        <f t="shared" si="8"/>
        <v>494694.53279999999</v>
      </c>
      <c r="O59" s="188"/>
      <c r="P59" s="188"/>
    </row>
    <row r="60" spans="1:16" s="311" customFormat="1">
      <c r="A60" s="188">
        <v>55</v>
      </c>
      <c r="B60" s="188" t="s">
        <v>267</v>
      </c>
      <c r="C60" s="188" t="s">
        <v>205</v>
      </c>
      <c r="D60" s="188" t="s">
        <v>159</v>
      </c>
      <c r="E60" s="306" t="s">
        <v>206</v>
      </c>
      <c r="F60" s="307">
        <v>54.65</v>
      </c>
      <c r="G60" s="307">
        <v>91.5</v>
      </c>
      <c r="H60" s="343">
        <f t="shared" si="0"/>
        <v>5000.4749999999995</v>
      </c>
      <c r="I60" s="307">
        <v>0</v>
      </c>
      <c r="J60" s="307"/>
      <c r="K60" s="343">
        <f t="shared" si="9"/>
        <v>0</v>
      </c>
      <c r="L60" s="340">
        <f t="shared" si="10"/>
        <v>5000.4749999999995</v>
      </c>
      <c r="M60" s="308"/>
      <c r="N60" s="190">
        <f t="shared" si="8"/>
        <v>489694.05780000001</v>
      </c>
      <c r="O60" s="188"/>
      <c r="P60" s="188"/>
    </row>
    <row r="61" spans="1:16" s="311" customFormat="1">
      <c r="A61" s="188">
        <v>56</v>
      </c>
      <c r="B61" s="188" t="s">
        <v>267</v>
      </c>
      <c r="C61" s="188" t="s">
        <v>268</v>
      </c>
      <c r="D61" s="188" t="s">
        <v>269</v>
      </c>
      <c r="E61" s="306" t="s">
        <v>270</v>
      </c>
      <c r="F61" s="307">
        <v>15</v>
      </c>
      <c r="G61" s="307">
        <v>91.77</v>
      </c>
      <c r="H61" s="343">
        <f t="shared" si="0"/>
        <v>1376.55</v>
      </c>
      <c r="I61" s="307">
        <v>0</v>
      </c>
      <c r="J61" s="307"/>
      <c r="K61" s="343">
        <f t="shared" si="9"/>
        <v>0</v>
      </c>
      <c r="L61" s="340">
        <f t="shared" si="10"/>
        <v>1376.55</v>
      </c>
      <c r="M61" s="308"/>
      <c r="N61" s="190">
        <f t="shared" si="8"/>
        <v>488317.50780000002</v>
      </c>
      <c r="O61" s="310"/>
      <c r="P61" s="310"/>
    </row>
    <row r="62" spans="1:16" s="311" customFormat="1">
      <c r="A62" s="188">
        <v>57</v>
      </c>
      <c r="B62" s="188" t="s">
        <v>271</v>
      </c>
      <c r="C62" s="188" t="s">
        <v>215</v>
      </c>
      <c r="D62" s="188" t="s">
        <v>216</v>
      </c>
      <c r="E62" s="306" t="s">
        <v>217</v>
      </c>
      <c r="F62" s="307">
        <v>40</v>
      </c>
      <c r="G62" s="307">
        <v>91.92</v>
      </c>
      <c r="H62" s="343">
        <f t="shared" si="0"/>
        <v>3676.8</v>
      </c>
      <c r="I62" s="307">
        <v>0</v>
      </c>
      <c r="J62" s="307"/>
      <c r="K62" s="343">
        <f t="shared" si="9"/>
        <v>0</v>
      </c>
      <c r="L62" s="340">
        <f t="shared" si="10"/>
        <v>3676.8</v>
      </c>
      <c r="M62" s="308"/>
      <c r="N62" s="190">
        <f t="shared" si="8"/>
        <v>484640.70780000003</v>
      </c>
      <c r="O62" s="188"/>
      <c r="P62" s="188"/>
    </row>
    <row r="63" spans="1:16" s="311" customFormat="1">
      <c r="A63" s="188">
        <v>58</v>
      </c>
      <c r="B63" s="188" t="s">
        <v>271</v>
      </c>
      <c r="C63" s="188" t="s">
        <v>264</v>
      </c>
      <c r="D63" s="188" t="s">
        <v>265</v>
      </c>
      <c r="E63" s="306" t="s">
        <v>266</v>
      </c>
      <c r="F63" s="307">
        <v>55.96</v>
      </c>
      <c r="G63" s="307">
        <v>91.14</v>
      </c>
      <c r="H63" s="343">
        <f t="shared" si="0"/>
        <v>5100.1944000000003</v>
      </c>
      <c r="I63" s="307"/>
      <c r="J63" s="307"/>
      <c r="K63" s="343">
        <f t="shared" si="9"/>
        <v>0</v>
      </c>
      <c r="L63" s="340">
        <f t="shared" si="10"/>
        <v>5100.1944000000003</v>
      </c>
      <c r="M63" s="308"/>
      <c r="N63" s="190">
        <f t="shared" si="8"/>
        <v>479540.51340000005</v>
      </c>
      <c r="O63" s="188"/>
      <c r="P63" s="188"/>
    </row>
    <row r="64" spans="1:16" s="311" customFormat="1">
      <c r="A64" s="188">
        <v>59</v>
      </c>
      <c r="B64" s="188" t="s">
        <v>271</v>
      </c>
      <c r="C64" s="188" t="s">
        <v>224</v>
      </c>
      <c r="D64" s="188" t="s">
        <v>225</v>
      </c>
      <c r="E64" s="306" t="s">
        <v>226</v>
      </c>
      <c r="F64" s="307">
        <v>300</v>
      </c>
      <c r="G64" s="307">
        <v>92.09</v>
      </c>
      <c r="H64" s="343">
        <f t="shared" si="0"/>
        <v>27627</v>
      </c>
      <c r="I64" s="307">
        <v>20</v>
      </c>
      <c r="J64" s="307">
        <v>103.86</v>
      </c>
      <c r="K64" s="343">
        <f t="shared" si="9"/>
        <v>2077.1999999999998</v>
      </c>
      <c r="L64" s="340">
        <f t="shared" si="10"/>
        <v>29704.2</v>
      </c>
      <c r="M64" s="308"/>
      <c r="N64" s="190">
        <f t="shared" si="8"/>
        <v>449836.31340000004</v>
      </c>
      <c r="O64" s="188"/>
      <c r="P64" s="188"/>
    </row>
    <row r="65" spans="1:18" s="311" customFormat="1">
      <c r="A65" s="188">
        <v>60</v>
      </c>
      <c r="B65" s="188" t="s">
        <v>271</v>
      </c>
      <c r="C65" s="188" t="s">
        <v>205</v>
      </c>
      <c r="D65" s="188" t="s">
        <v>159</v>
      </c>
      <c r="E65" s="306" t="s">
        <v>206</v>
      </c>
      <c r="F65" s="307">
        <v>50</v>
      </c>
      <c r="G65" s="307">
        <v>91.5</v>
      </c>
      <c r="H65" s="343">
        <f t="shared" si="0"/>
        <v>4575</v>
      </c>
      <c r="I65" s="307"/>
      <c r="J65" s="307"/>
      <c r="K65" s="343">
        <f t="shared" si="9"/>
        <v>0</v>
      </c>
      <c r="L65" s="340">
        <f t="shared" si="10"/>
        <v>4575</v>
      </c>
      <c r="M65" s="308"/>
      <c r="N65" s="190">
        <f t="shared" si="8"/>
        <v>445261.31340000004</v>
      </c>
      <c r="O65" s="188"/>
      <c r="P65" s="188"/>
    </row>
    <row r="66" spans="1:18" s="311" customFormat="1">
      <c r="A66" s="316">
        <v>61</v>
      </c>
      <c r="B66" s="188" t="s">
        <v>271</v>
      </c>
      <c r="C66" s="316" t="s">
        <v>211</v>
      </c>
      <c r="D66" s="316" t="s">
        <v>212</v>
      </c>
      <c r="E66" s="326" t="s">
        <v>213</v>
      </c>
      <c r="F66" s="307">
        <v>80</v>
      </c>
      <c r="G66" s="307">
        <v>91.8</v>
      </c>
      <c r="H66" s="343">
        <f t="shared" si="0"/>
        <v>7344</v>
      </c>
      <c r="I66" s="307"/>
      <c r="J66" s="307"/>
      <c r="K66" s="343">
        <f t="shared" si="9"/>
        <v>0</v>
      </c>
      <c r="L66" s="340">
        <f t="shared" si="10"/>
        <v>7344</v>
      </c>
      <c r="M66" s="308"/>
      <c r="N66" s="190">
        <f t="shared" si="8"/>
        <v>437917.31340000004</v>
      </c>
      <c r="O66" s="316"/>
      <c r="P66" s="316"/>
    </row>
    <row r="67" spans="1:18" s="311" customFormat="1">
      <c r="A67" s="188">
        <v>62</v>
      </c>
      <c r="B67" s="188" t="s">
        <v>271</v>
      </c>
      <c r="C67" s="188" t="s">
        <v>207</v>
      </c>
      <c r="D67" s="188" t="s">
        <v>208</v>
      </c>
      <c r="E67" s="306" t="s">
        <v>209</v>
      </c>
      <c r="F67" s="307">
        <v>100</v>
      </c>
      <c r="G67" s="307">
        <v>92.04</v>
      </c>
      <c r="H67" s="343">
        <f t="shared" si="0"/>
        <v>9204</v>
      </c>
      <c r="I67" s="307"/>
      <c r="J67" s="307"/>
      <c r="K67" s="343">
        <f t="shared" si="9"/>
        <v>0</v>
      </c>
      <c r="L67" s="340">
        <f t="shared" si="10"/>
        <v>9204</v>
      </c>
      <c r="M67" s="308"/>
      <c r="N67" s="190">
        <f t="shared" si="8"/>
        <v>428713.31340000004</v>
      </c>
      <c r="O67" s="188"/>
      <c r="P67" s="188"/>
    </row>
    <row r="68" spans="1:18" s="311" customFormat="1">
      <c r="A68" s="188">
        <v>63</v>
      </c>
      <c r="B68" s="188" t="s">
        <v>271</v>
      </c>
      <c r="C68" s="189" t="s">
        <v>268</v>
      </c>
      <c r="D68" s="189" t="s">
        <v>269</v>
      </c>
      <c r="E68" s="312" t="s">
        <v>270</v>
      </c>
      <c r="F68" s="307">
        <v>60</v>
      </c>
      <c r="G68" s="307">
        <v>91.77</v>
      </c>
      <c r="H68" s="343">
        <f t="shared" si="0"/>
        <v>5506.2</v>
      </c>
      <c r="I68" s="307"/>
      <c r="J68" s="307"/>
      <c r="K68" s="343">
        <f t="shared" si="9"/>
        <v>0</v>
      </c>
      <c r="L68" s="340">
        <f t="shared" si="10"/>
        <v>5506.2</v>
      </c>
      <c r="M68" s="308"/>
      <c r="N68" s="190">
        <f t="shared" si="8"/>
        <v>423207.11340000003</v>
      </c>
      <c r="O68" s="188"/>
      <c r="P68" s="188"/>
    </row>
    <row r="69" spans="1:18" s="311" customFormat="1">
      <c r="A69" s="188">
        <v>64</v>
      </c>
      <c r="B69" s="188" t="s">
        <v>271</v>
      </c>
      <c r="C69" s="188" t="s">
        <v>272</v>
      </c>
      <c r="D69" s="188" t="s">
        <v>273</v>
      </c>
      <c r="E69" s="306" t="s">
        <v>274</v>
      </c>
      <c r="F69" s="307">
        <v>545.73</v>
      </c>
      <c r="G69" s="307">
        <v>91.62</v>
      </c>
      <c r="H69" s="343">
        <f t="shared" si="0"/>
        <v>49999.782600000006</v>
      </c>
      <c r="I69" s="307"/>
      <c r="J69" s="307"/>
      <c r="K69" s="343">
        <f t="shared" si="9"/>
        <v>0</v>
      </c>
      <c r="L69" s="340">
        <f t="shared" si="10"/>
        <v>49999.782600000006</v>
      </c>
      <c r="M69" s="308"/>
      <c r="N69" s="190">
        <f t="shared" si="8"/>
        <v>373207.3308</v>
      </c>
      <c r="O69" s="188"/>
      <c r="P69" s="188"/>
    </row>
    <row r="70" spans="1:18" s="311" customFormat="1">
      <c r="A70" s="188">
        <v>65</v>
      </c>
      <c r="B70" s="188" t="s">
        <v>275</v>
      </c>
      <c r="C70" s="188" t="s">
        <v>215</v>
      </c>
      <c r="D70" s="188" t="s">
        <v>216</v>
      </c>
      <c r="E70" s="306" t="s">
        <v>217</v>
      </c>
      <c r="F70" s="307"/>
      <c r="G70" s="307"/>
      <c r="H70" s="343">
        <f t="shared" si="0"/>
        <v>0</v>
      </c>
      <c r="I70" s="307">
        <v>6.3</v>
      </c>
      <c r="J70" s="307">
        <v>103.96</v>
      </c>
      <c r="K70" s="343">
        <f t="shared" si="9"/>
        <v>654.94799999999998</v>
      </c>
      <c r="L70" s="340">
        <f t="shared" si="10"/>
        <v>654.94799999999998</v>
      </c>
      <c r="M70" s="308"/>
      <c r="N70" s="190">
        <f t="shared" si="8"/>
        <v>372552.38280000002</v>
      </c>
      <c r="O70" s="188"/>
      <c r="P70" s="188"/>
    </row>
    <row r="71" spans="1:18" s="311" customFormat="1">
      <c r="A71" s="188">
        <v>66</v>
      </c>
      <c r="B71" s="188" t="s">
        <v>275</v>
      </c>
      <c r="C71" s="188" t="s">
        <v>264</v>
      </c>
      <c r="D71" s="188" t="s">
        <v>265</v>
      </c>
      <c r="E71" s="306" t="s">
        <v>266</v>
      </c>
      <c r="F71" s="307"/>
      <c r="G71" s="307"/>
      <c r="H71" s="343">
        <f t="shared" ref="H71:H102" si="11">F71*G71</f>
        <v>0</v>
      </c>
      <c r="I71" s="307">
        <v>6</v>
      </c>
      <c r="J71" s="307">
        <v>103.05</v>
      </c>
      <c r="K71" s="343">
        <f t="shared" si="9"/>
        <v>618.29999999999995</v>
      </c>
      <c r="L71" s="340">
        <f t="shared" si="10"/>
        <v>618.29999999999995</v>
      </c>
      <c r="M71" s="308"/>
      <c r="N71" s="190">
        <f t="shared" si="8"/>
        <v>371934.08280000003</v>
      </c>
      <c r="O71" s="188"/>
      <c r="P71" s="188"/>
    </row>
    <row r="72" spans="1:18" s="311" customFormat="1">
      <c r="A72" s="188">
        <v>67</v>
      </c>
      <c r="B72" s="188" t="s">
        <v>275</v>
      </c>
      <c r="C72" s="188" t="s">
        <v>234</v>
      </c>
      <c r="D72" s="188" t="s">
        <v>235</v>
      </c>
      <c r="E72" s="306" t="s">
        <v>220</v>
      </c>
      <c r="F72" s="307">
        <v>44.39</v>
      </c>
      <c r="G72" s="307">
        <v>91.47</v>
      </c>
      <c r="H72" s="343">
        <f t="shared" si="11"/>
        <v>4060.3533000000002</v>
      </c>
      <c r="I72" s="307"/>
      <c r="J72" s="307"/>
      <c r="K72" s="343">
        <f t="shared" si="9"/>
        <v>0</v>
      </c>
      <c r="L72" s="340">
        <f t="shared" si="10"/>
        <v>4060.3533000000002</v>
      </c>
      <c r="M72" s="308"/>
      <c r="N72" s="190">
        <f t="shared" si="8"/>
        <v>367873.72950000002</v>
      </c>
      <c r="O72" s="188"/>
      <c r="P72" s="188"/>
    </row>
    <row r="73" spans="1:18" s="311" customFormat="1">
      <c r="A73" s="188">
        <v>68</v>
      </c>
      <c r="B73" s="188" t="s">
        <v>275</v>
      </c>
      <c r="C73" s="188" t="s">
        <v>247</v>
      </c>
      <c r="D73" s="189" t="s">
        <v>248</v>
      </c>
      <c r="E73" s="312" t="s">
        <v>249</v>
      </c>
      <c r="F73" s="307">
        <v>1095</v>
      </c>
      <c r="G73" s="307">
        <v>91.3</v>
      </c>
      <c r="H73" s="343">
        <f t="shared" si="11"/>
        <v>99973.5</v>
      </c>
      <c r="I73" s="307"/>
      <c r="J73" s="307"/>
      <c r="K73" s="343">
        <f t="shared" si="9"/>
        <v>0</v>
      </c>
      <c r="L73" s="340">
        <f t="shared" si="10"/>
        <v>99973.5</v>
      </c>
      <c r="M73" s="308"/>
      <c r="N73" s="190">
        <f t="shared" si="8"/>
        <v>267900.22950000002</v>
      </c>
      <c r="O73" s="188"/>
      <c r="P73" s="188"/>
    </row>
    <row r="74" spans="1:18" s="311" customFormat="1">
      <c r="A74" s="316">
        <v>69</v>
      </c>
      <c r="B74" s="188" t="s">
        <v>275</v>
      </c>
      <c r="C74" s="316" t="s">
        <v>276</v>
      </c>
      <c r="D74" s="316" t="s">
        <v>277</v>
      </c>
      <c r="E74" s="326" t="s">
        <v>232</v>
      </c>
      <c r="F74" s="307">
        <v>420</v>
      </c>
      <c r="G74" s="307">
        <v>91.19</v>
      </c>
      <c r="H74" s="343">
        <f t="shared" si="11"/>
        <v>38299.799999999996</v>
      </c>
      <c r="I74" s="307"/>
      <c r="J74" s="307"/>
      <c r="K74" s="343">
        <f t="shared" si="9"/>
        <v>0</v>
      </c>
      <c r="L74" s="340">
        <f t="shared" si="10"/>
        <v>38299.799999999996</v>
      </c>
      <c r="M74" s="308"/>
      <c r="N74" s="190">
        <f t="shared" si="8"/>
        <v>229600.42950000003</v>
      </c>
      <c r="O74" s="316"/>
      <c r="P74" s="316"/>
    </row>
    <row r="75" spans="1:18" s="311" customFormat="1">
      <c r="A75" s="188">
        <v>70</v>
      </c>
      <c r="B75" s="188" t="s">
        <v>275</v>
      </c>
      <c r="C75" s="188" t="s">
        <v>211</v>
      </c>
      <c r="D75" s="188" t="s">
        <v>212</v>
      </c>
      <c r="E75" s="306" t="s">
        <v>213</v>
      </c>
      <c r="F75" s="307">
        <v>40</v>
      </c>
      <c r="G75" s="307">
        <v>91.8</v>
      </c>
      <c r="H75" s="343">
        <f t="shared" si="11"/>
        <v>3672</v>
      </c>
      <c r="I75" s="307">
        <v>5</v>
      </c>
      <c r="J75" s="307">
        <v>103.76</v>
      </c>
      <c r="K75" s="343">
        <f t="shared" si="9"/>
        <v>518.80000000000007</v>
      </c>
      <c r="L75" s="340">
        <f t="shared" si="10"/>
        <v>4190.8</v>
      </c>
      <c r="M75" s="308"/>
      <c r="N75" s="190">
        <f t="shared" si="8"/>
        <v>225409.62950000004</v>
      </c>
      <c r="O75" s="188"/>
      <c r="P75" s="188"/>
    </row>
    <row r="76" spans="1:18" s="311" customFormat="1">
      <c r="A76" s="188">
        <v>71</v>
      </c>
      <c r="B76" s="188" t="s">
        <v>275</v>
      </c>
      <c r="C76" s="188" t="s">
        <v>207</v>
      </c>
      <c r="D76" s="188" t="s">
        <v>208</v>
      </c>
      <c r="E76" s="306" t="s">
        <v>209</v>
      </c>
      <c r="F76" s="307">
        <v>100</v>
      </c>
      <c r="G76" s="307">
        <v>92.04</v>
      </c>
      <c r="H76" s="343">
        <f t="shared" si="11"/>
        <v>9204</v>
      </c>
      <c r="I76" s="307"/>
      <c r="J76" s="307"/>
      <c r="K76" s="343">
        <f t="shared" si="9"/>
        <v>0</v>
      </c>
      <c r="L76" s="340">
        <f t="shared" si="10"/>
        <v>9204</v>
      </c>
      <c r="M76" s="308"/>
      <c r="N76" s="190">
        <f t="shared" si="8"/>
        <v>216205.62950000004</v>
      </c>
      <c r="O76" s="188"/>
      <c r="P76" s="188"/>
    </row>
    <row r="77" spans="1:18" s="311" customFormat="1">
      <c r="A77" s="188">
        <v>72</v>
      </c>
      <c r="B77" s="188" t="s">
        <v>278</v>
      </c>
      <c r="C77" s="189" t="s">
        <v>215</v>
      </c>
      <c r="D77" s="189" t="s">
        <v>216</v>
      </c>
      <c r="E77" s="312" t="s">
        <v>217</v>
      </c>
      <c r="F77" s="307">
        <v>40</v>
      </c>
      <c r="G77" s="307">
        <v>91.92</v>
      </c>
      <c r="H77" s="343">
        <f t="shared" si="11"/>
        <v>3676.8</v>
      </c>
      <c r="I77" s="307"/>
      <c r="J77" s="307"/>
      <c r="K77" s="343">
        <f t="shared" si="9"/>
        <v>0</v>
      </c>
      <c r="L77" s="340">
        <f t="shared" si="10"/>
        <v>3676.8</v>
      </c>
      <c r="M77" s="308"/>
      <c r="N77" s="190">
        <f t="shared" si="8"/>
        <v>212528.82950000005</v>
      </c>
      <c r="O77" s="188"/>
      <c r="P77" s="188"/>
    </row>
    <row r="78" spans="1:18" s="311" customFormat="1">
      <c r="A78" s="188">
        <v>73</v>
      </c>
      <c r="B78" s="188" t="s">
        <v>278</v>
      </c>
      <c r="C78" s="188" t="s">
        <v>264</v>
      </c>
      <c r="D78" s="188" t="s">
        <v>265</v>
      </c>
      <c r="E78" s="306" t="s">
        <v>266</v>
      </c>
      <c r="F78" s="307"/>
      <c r="G78" s="307"/>
      <c r="H78" s="343">
        <f t="shared" si="11"/>
        <v>0</v>
      </c>
      <c r="I78" s="307">
        <v>6</v>
      </c>
      <c r="J78" s="307">
        <v>103.05</v>
      </c>
      <c r="K78" s="343">
        <f t="shared" si="9"/>
        <v>618.29999999999995</v>
      </c>
      <c r="L78" s="340">
        <f t="shared" si="10"/>
        <v>618.29999999999995</v>
      </c>
      <c r="M78" s="308"/>
      <c r="N78" s="190">
        <f t="shared" si="8"/>
        <v>211910.52950000006</v>
      </c>
      <c r="O78" s="188"/>
      <c r="P78" s="188"/>
      <c r="R78" s="325">
        <v>345860.14</v>
      </c>
    </row>
    <row r="79" spans="1:18" s="311" customFormat="1">
      <c r="A79" s="188">
        <v>74</v>
      </c>
      <c r="B79" s="188" t="s">
        <v>278</v>
      </c>
      <c r="C79" s="188" t="s">
        <v>234</v>
      </c>
      <c r="D79" s="188" t="s">
        <v>235</v>
      </c>
      <c r="E79" s="306" t="s">
        <v>220</v>
      </c>
      <c r="F79" s="307">
        <v>21.87</v>
      </c>
      <c r="G79" s="307">
        <v>91.47</v>
      </c>
      <c r="H79" s="343">
        <f t="shared" si="11"/>
        <v>2000.4489000000001</v>
      </c>
      <c r="I79" s="307"/>
      <c r="J79" s="307"/>
      <c r="K79" s="343">
        <f t="shared" si="9"/>
        <v>0</v>
      </c>
      <c r="L79" s="340">
        <f t="shared" si="10"/>
        <v>2000.4489000000001</v>
      </c>
      <c r="M79" s="308"/>
      <c r="N79" s="190">
        <f t="shared" si="8"/>
        <v>209910.08060000007</v>
      </c>
      <c r="O79" s="188"/>
      <c r="P79" s="188"/>
    </row>
    <row r="80" spans="1:18" s="311" customFormat="1">
      <c r="A80" s="188">
        <v>75</v>
      </c>
      <c r="B80" s="188" t="s">
        <v>278</v>
      </c>
      <c r="C80" s="188" t="s">
        <v>245</v>
      </c>
      <c r="D80" s="188" t="s">
        <v>89</v>
      </c>
      <c r="E80" s="306" t="s">
        <v>238</v>
      </c>
      <c r="F80" s="307"/>
      <c r="G80" s="307"/>
      <c r="H80" s="343">
        <f t="shared" si="11"/>
        <v>0</v>
      </c>
      <c r="I80" s="307">
        <v>7.8</v>
      </c>
      <c r="J80" s="307">
        <v>102.46</v>
      </c>
      <c r="K80" s="343">
        <f t="shared" si="9"/>
        <v>799.18799999999999</v>
      </c>
      <c r="L80" s="340">
        <f t="shared" si="10"/>
        <v>799.18799999999999</v>
      </c>
      <c r="M80" s="308"/>
      <c r="N80" s="190">
        <f t="shared" si="8"/>
        <v>209110.89260000008</v>
      </c>
      <c r="O80" s="188"/>
      <c r="P80" s="188"/>
    </row>
    <row r="81" spans="1:18" s="311" customFormat="1">
      <c r="A81" s="188">
        <v>76</v>
      </c>
      <c r="B81" s="188" t="s">
        <v>278</v>
      </c>
      <c r="C81" s="188" t="s">
        <v>239</v>
      </c>
      <c r="D81" s="188" t="s">
        <v>240</v>
      </c>
      <c r="E81" s="306" t="s">
        <v>241</v>
      </c>
      <c r="F81" s="307"/>
      <c r="G81" s="307"/>
      <c r="H81" s="343">
        <f t="shared" si="11"/>
        <v>0</v>
      </c>
      <c r="I81" s="307">
        <v>4.84</v>
      </c>
      <c r="J81" s="307">
        <v>103.39</v>
      </c>
      <c r="K81" s="343">
        <f t="shared" si="9"/>
        <v>500.4076</v>
      </c>
      <c r="L81" s="340">
        <f t="shared" si="10"/>
        <v>500.4076</v>
      </c>
      <c r="M81" s="308"/>
      <c r="N81" s="190">
        <f t="shared" si="8"/>
        <v>208610.48500000007</v>
      </c>
      <c r="O81" s="188"/>
      <c r="P81" s="188"/>
      <c r="R81" s="190">
        <v>345838.45</v>
      </c>
    </row>
    <row r="82" spans="1:18" s="311" customFormat="1">
      <c r="A82" s="188">
        <v>77</v>
      </c>
      <c r="B82" s="188" t="s">
        <v>278</v>
      </c>
      <c r="C82" s="188" t="s">
        <v>205</v>
      </c>
      <c r="D82" s="188" t="s">
        <v>159</v>
      </c>
      <c r="E82" s="306" t="s">
        <v>206</v>
      </c>
      <c r="F82" s="307">
        <v>42.19</v>
      </c>
      <c r="G82" s="307">
        <v>91.5</v>
      </c>
      <c r="H82" s="343">
        <f t="shared" si="11"/>
        <v>3860.3849999999998</v>
      </c>
      <c r="I82" s="307">
        <v>9.83</v>
      </c>
      <c r="J82" s="307">
        <v>103.44</v>
      </c>
      <c r="K82" s="343">
        <f t="shared" si="9"/>
        <v>1016.8152</v>
      </c>
      <c r="L82" s="340">
        <f t="shared" si="10"/>
        <v>4877.2001999999993</v>
      </c>
      <c r="M82" s="308"/>
      <c r="N82" s="190">
        <f t="shared" si="8"/>
        <v>203733.28480000008</v>
      </c>
      <c r="O82" s="188"/>
      <c r="P82" s="188"/>
      <c r="R82" s="325">
        <f>R78-R81</f>
        <v>21.690000000002328</v>
      </c>
    </row>
    <row r="83" spans="1:18" s="311" customFormat="1">
      <c r="A83" s="316">
        <v>78</v>
      </c>
      <c r="B83" s="188" t="s">
        <v>278</v>
      </c>
      <c r="C83" s="316" t="s">
        <v>230</v>
      </c>
      <c r="D83" s="316" t="s">
        <v>231</v>
      </c>
      <c r="E83" s="326" t="s">
        <v>232</v>
      </c>
      <c r="F83" s="307">
        <v>700</v>
      </c>
      <c r="G83" s="307">
        <v>91.19</v>
      </c>
      <c r="H83" s="343">
        <f t="shared" si="11"/>
        <v>63833</v>
      </c>
      <c r="I83" s="307"/>
      <c r="J83" s="307"/>
      <c r="K83" s="343">
        <f t="shared" si="9"/>
        <v>0</v>
      </c>
      <c r="L83" s="340">
        <f t="shared" si="10"/>
        <v>63833</v>
      </c>
      <c r="M83" s="308"/>
      <c r="N83" s="190">
        <f t="shared" si="8"/>
        <v>139900.28480000008</v>
      </c>
      <c r="O83" s="316"/>
      <c r="P83" s="316"/>
    </row>
    <row r="84" spans="1:18" s="311" customFormat="1">
      <c r="A84" s="188">
        <v>79</v>
      </c>
      <c r="B84" s="188" t="s">
        <v>278</v>
      </c>
      <c r="C84" s="188" t="s">
        <v>211</v>
      </c>
      <c r="D84" s="188" t="s">
        <v>212</v>
      </c>
      <c r="E84" s="306" t="s">
        <v>213</v>
      </c>
      <c r="F84" s="307">
        <v>30</v>
      </c>
      <c r="G84" s="307">
        <v>91.8</v>
      </c>
      <c r="H84" s="343">
        <f t="shared" si="11"/>
        <v>2754</v>
      </c>
      <c r="I84" s="307">
        <v>5</v>
      </c>
      <c r="J84" s="307">
        <v>103.76</v>
      </c>
      <c r="K84" s="343">
        <f t="shared" si="9"/>
        <v>518.80000000000007</v>
      </c>
      <c r="L84" s="340">
        <f t="shared" si="10"/>
        <v>3272.8</v>
      </c>
      <c r="M84" s="308"/>
      <c r="N84" s="190">
        <f t="shared" si="8"/>
        <v>136627.48480000009</v>
      </c>
      <c r="O84" s="188"/>
      <c r="P84" s="188"/>
    </row>
    <row r="85" spans="1:18" s="311" customFormat="1">
      <c r="A85" s="188">
        <v>80</v>
      </c>
      <c r="B85" s="188" t="s">
        <v>278</v>
      </c>
      <c r="C85" s="189" t="s">
        <v>207</v>
      </c>
      <c r="D85" s="189" t="s">
        <v>208</v>
      </c>
      <c r="E85" s="312" t="s">
        <v>209</v>
      </c>
      <c r="F85" s="307">
        <v>170</v>
      </c>
      <c r="G85" s="307">
        <v>92.04</v>
      </c>
      <c r="H85" s="343">
        <f t="shared" si="11"/>
        <v>15646.800000000001</v>
      </c>
      <c r="I85" s="307">
        <v>5</v>
      </c>
      <c r="J85" s="307">
        <v>104.02</v>
      </c>
      <c r="K85" s="343">
        <f t="shared" si="9"/>
        <v>520.1</v>
      </c>
      <c r="L85" s="340">
        <f t="shared" si="10"/>
        <v>16166.900000000001</v>
      </c>
      <c r="M85" s="308"/>
      <c r="N85" s="190">
        <f t="shared" si="8"/>
        <v>120460.5848000001</v>
      </c>
      <c r="O85" s="188"/>
      <c r="P85" s="188"/>
    </row>
    <row r="86" spans="1:18" s="311" customFormat="1">
      <c r="A86" s="316">
        <v>81</v>
      </c>
      <c r="B86" s="188" t="s">
        <v>279</v>
      </c>
      <c r="C86" s="189" t="s">
        <v>236</v>
      </c>
      <c r="D86" s="189" t="s">
        <v>237</v>
      </c>
      <c r="E86" s="312" t="s">
        <v>238</v>
      </c>
      <c r="F86" s="307">
        <v>0</v>
      </c>
      <c r="G86" s="307">
        <v>0</v>
      </c>
      <c r="H86" s="343">
        <f t="shared" si="11"/>
        <v>0</v>
      </c>
      <c r="I86" s="307">
        <v>0</v>
      </c>
      <c r="J86" s="307">
        <v>102.46</v>
      </c>
      <c r="K86" s="343">
        <f t="shared" si="9"/>
        <v>0</v>
      </c>
      <c r="L86" s="340">
        <f t="shared" si="10"/>
        <v>0</v>
      </c>
      <c r="M86" s="308"/>
      <c r="N86" s="190">
        <f t="shared" si="8"/>
        <v>120460.5848000001</v>
      </c>
      <c r="O86" s="188"/>
      <c r="P86" s="188"/>
    </row>
    <row r="87" spans="1:18" s="311" customFormat="1">
      <c r="A87" s="188">
        <v>82</v>
      </c>
      <c r="B87" s="188" t="s">
        <v>279</v>
      </c>
      <c r="C87" s="188" t="s">
        <v>215</v>
      </c>
      <c r="D87" s="188" t="s">
        <v>216</v>
      </c>
      <c r="E87" s="306" t="s">
        <v>217</v>
      </c>
      <c r="F87" s="307">
        <v>97</v>
      </c>
      <c r="G87" s="307">
        <v>91.92</v>
      </c>
      <c r="H87" s="343">
        <f t="shared" si="11"/>
        <v>8916.24</v>
      </c>
      <c r="I87" s="307">
        <v>0</v>
      </c>
      <c r="J87" s="307"/>
      <c r="K87" s="343">
        <f t="shared" si="9"/>
        <v>0</v>
      </c>
      <c r="L87" s="340">
        <f t="shared" si="10"/>
        <v>8916.24</v>
      </c>
      <c r="M87" s="308"/>
      <c r="N87" s="190">
        <f t="shared" si="8"/>
        <v>111544.34480000009</v>
      </c>
      <c r="O87" s="188"/>
      <c r="P87" s="188"/>
    </row>
    <row r="88" spans="1:18" s="311" customFormat="1">
      <c r="A88" s="316">
        <v>83</v>
      </c>
      <c r="B88" s="188" t="s">
        <v>279</v>
      </c>
      <c r="C88" s="316" t="s">
        <v>264</v>
      </c>
      <c r="D88" s="188" t="s">
        <v>265</v>
      </c>
      <c r="E88" s="306" t="s">
        <v>266</v>
      </c>
      <c r="F88" s="307">
        <v>20</v>
      </c>
      <c r="G88" s="307">
        <v>91.14</v>
      </c>
      <c r="H88" s="343">
        <f t="shared" si="11"/>
        <v>1822.8</v>
      </c>
      <c r="I88" s="307">
        <v>0</v>
      </c>
      <c r="J88" s="307"/>
      <c r="K88" s="343">
        <f t="shared" si="9"/>
        <v>0</v>
      </c>
      <c r="L88" s="340">
        <f t="shared" si="10"/>
        <v>1822.8</v>
      </c>
      <c r="M88" s="308"/>
      <c r="N88" s="190">
        <f t="shared" si="8"/>
        <v>109721.54480000009</v>
      </c>
      <c r="O88" s="188"/>
      <c r="P88" s="188"/>
    </row>
    <row r="89" spans="1:18" s="311" customFormat="1">
      <c r="A89" s="316">
        <v>84</v>
      </c>
      <c r="B89" s="188" t="s">
        <v>279</v>
      </c>
      <c r="C89" s="316" t="s">
        <v>280</v>
      </c>
      <c r="D89" s="328" t="s">
        <v>281</v>
      </c>
      <c r="E89" s="326" t="s">
        <v>220</v>
      </c>
      <c r="F89" s="307">
        <v>41.5</v>
      </c>
      <c r="G89" s="307">
        <v>91.56</v>
      </c>
      <c r="H89" s="343">
        <f t="shared" si="11"/>
        <v>3799.7400000000002</v>
      </c>
      <c r="I89" s="307">
        <v>0</v>
      </c>
      <c r="J89" s="307"/>
      <c r="K89" s="343">
        <f t="shared" si="9"/>
        <v>0</v>
      </c>
      <c r="L89" s="340">
        <f t="shared" si="10"/>
        <v>3799.7400000000002</v>
      </c>
      <c r="M89" s="308"/>
      <c r="N89" s="190">
        <f t="shared" si="8"/>
        <v>105921.80480000009</v>
      </c>
      <c r="O89" s="316"/>
      <c r="P89" s="316"/>
    </row>
    <row r="90" spans="1:18" s="311" customFormat="1">
      <c r="A90" s="188">
        <v>85</v>
      </c>
      <c r="B90" s="188" t="s">
        <v>279</v>
      </c>
      <c r="C90" s="188" t="s">
        <v>234</v>
      </c>
      <c r="D90" s="188" t="s">
        <v>235</v>
      </c>
      <c r="E90" s="306" t="s">
        <v>220</v>
      </c>
      <c r="F90" s="307">
        <v>300.66000000000003</v>
      </c>
      <c r="G90" s="307">
        <v>91.47</v>
      </c>
      <c r="H90" s="343">
        <f t="shared" si="11"/>
        <v>27501.370200000001</v>
      </c>
      <c r="I90" s="307">
        <v>0</v>
      </c>
      <c r="J90" s="307"/>
      <c r="K90" s="343">
        <f t="shared" si="9"/>
        <v>0</v>
      </c>
      <c r="L90" s="340">
        <f t="shared" si="10"/>
        <v>27501.370200000001</v>
      </c>
      <c r="M90" s="308"/>
      <c r="N90" s="190">
        <f t="shared" si="8"/>
        <v>78420.434600000081</v>
      </c>
      <c r="O90" s="188"/>
      <c r="P90" s="188"/>
    </row>
    <row r="91" spans="1:18" s="311" customFormat="1">
      <c r="A91" s="188">
        <v>86</v>
      </c>
      <c r="B91" s="188" t="s">
        <v>279</v>
      </c>
      <c r="C91" s="188" t="s">
        <v>236</v>
      </c>
      <c r="D91" s="329" t="s">
        <v>237</v>
      </c>
      <c r="E91" s="306" t="s">
        <v>238</v>
      </c>
      <c r="F91" s="307"/>
      <c r="G91" s="307"/>
      <c r="H91" s="343">
        <f t="shared" si="11"/>
        <v>0</v>
      </c>
      <c r="I91" s="307">
        <v>3.9</v>
      </c>
      <c r="J91" s="307">
        <v>102.46</v>
      </c>
      <c r="K91" s="343">
        <f t="shared" si="9"/>
        <v>399.59399999999999</v>
      </c>
      <c r="L91" s="340">
        <f t="shared" si="10"/>
        <v>399.59399999999999</v>
      </c>
      <c r="M91" s="308"/>
      <c r="N91" s="190">
        <f t="shared" si="8"/>
        <v>78020.840600000083</v>
      </c>
      <c r="O91" s="188"/>
      <c r="P91" s="188"/>
    </row>
    <row r="92" spans="1:18" s="311" customFormat="1">
      <c r="A92" s="316">
        <v>87</v>
      </c>
      <c r="B92" s="188" t="s">
        <v>279</v>
      </c>
      <c r="C92" s="316" t="s">
        <v>227</v>
      </c>
      <c r="D92" s="316" t="s">
        <v>228</v>
      </c>
      <c r="E92" s="326" t="s">
        <v>229</v>
      </c>
      <c r="F92" s="307">
        <v>150.01</v>
      </c>
      <c r="G92" s="307">
        <v>91.59</v>
      </c>
      <c r="H92" s="343">
        <f t="shared" si="11"/>
        <v>13739.4159</v>
      </c>
      <c r="I92" s="307">
        <v>6</v>
      </c>
      <c r="J92" s="307">
        <v>103.53</v>
      </c>
      <c r="K92" s="343">
        <f t="shared" si="9"/>
        <v>621.18000000000006</v>
      </c>
      <c r="L92" s="340">
        <f t="shared" si="10"/>
        <v>14360.5959</v>
      </c>
      <c r="M92" s="308"/>
      <c r="N92" s="190">
        <f t="shared" si="8"/>
        <v>63660.244700000083</v>
      </c>
      <c r="O92" s="316"/>
      <c r="P92" s="316"/>
    </row>
    <row r="93" spans="1:18" s="311" customFormat="1">
      <c r="A93" s="188">
        <v>88</v>
      </c>
      <c r="B93" s="188" t="s">
        <v>279</v>
      </c>
      <c r="C93" s="188" t="s">
        <v>239</v>
      </c>
      <c r="D93" s="188" t="s">
        <v>240</v>
      </c>
      <c r="E93" s="306" t="s">
        <v>241</v>
      </c>
      <c r="F93" s="307"/>
      <c r="G93" s="307"/>
      <c r="H93" s="343">
        <f t="shared" si="11"/>
        <v>0</v>
      </c>
      <c r="I93" s="307">
        <v>4.84</v>
      </c>
      <c r="J93" s="307">
        <v>103.39</v>
      </c>
      <c r="K93" s="343">
        <f t="shared" si="9"/>
        <v>500.4076</v>
      </c>
      <c r="L93" s="340">
        <f t="shared" si="10"/>
        <v>500.4076</v>
      </c>
      <c r="M93" s="308"/>
      <c r="N93" s="190">
        <f t="shared" si="8"/>
        <v>63159.837100000084</v>
      </c>
      <c r="O93" s="188"/>
      <c r="P93" s="188"/>
    </row>
    <row r="94" spans="1:18" s="311" customFormat="1">
      <c r="A94" s="188">
        <v>89</v>
      </c>
      <c r="B94" s="188" t="s">
        <v>279</v>
      </c>
      <c r="C94" s="188" t="s">
        <v>205</v>
      </c>
      <c r="D94" s="188" t="s">
        <v>159</v>
      </c>
      <c r="E94" s="306" t="s">
        <v>206</v>
      </c>
      <c r="F94" s="307">
        <v>74.23</v>
      </c>
      <c r="G94" s="307">
        <v>91.5</v>
      </c>
      <c r="H94" s="343">
        <f t="shared" si="11"/>
        <v>6792.0450000000001</v>
      </c>
      <c r="I94" s="307">
        <v>4.83</v>
      </c>
      <c r="J94" s="307">
        <v>103.44</v>
      </c>
      <c r="K94" s="343">
        <f t="shared" si="9"/>
        <v>499.61520000000002</v>
      </c>
      <c r="L94" s="340">
        <f t="shared" si="10"/>
        <v>7291.6602000000003</v>
      </c>
      <c r="M94" s="308"/>
      <c r="N94" s="190">
        <f t="shared" si="8"/>
        <v>55868.176900000086</v>
      </c>
      <c r="O94" s="188"/>
      <c r="P94" s="188"/>
    </row>
    <row r="95" spans="1:18" s="311" customFormat="1">
      <c r="A95" s="188">
        <v>90</v>
      </c>
      <c r="B95" s="188" t="s">
        <v>279</v>
      </c>
      <c r="C95" s="188" t="s">
        <v>211</v>
      </c>
      <c r="D95" s="188" t="s">
        <v>212</v>
      </c>
      <c r="E95" s="306" t="s">
        <v>213</v>
      </c>
      <c r="F95" s="307">
        <v>45</v>
      </c>
      <c r="G95" s="307">
        <v>91.8</v>
      </c>
      <c r="H95" s="343">
        <f t="shared" si="11"/>
        <v>4131</v>
      </c>
      <c r="I95" s="307">
        <v>0</v>
      </c>
      <c r="J95" s="307"/>
      <c r="K95" s="343">
        <f t="shared" si="9"/>
        <v>0</v>
      </c>
      <c r="L95" s="340">
        <f t="shared" si="10"/>
        <v>4131</v>
      </c>
      <c r="M95" s="308"/>
      <c r="N95" s="190">
        <f t="shared" ref="N95:N102" si="12">N94+M95-L95</f>
        <v>51737.176900000086</v>
      </c>
      <c r="O95" s="188"/>
      <c r="P95" s="188"/>
    </row>
    <row r="96" spans="1:18" s="311" customFormat="1">
      <c r="A96" s="188">
        <v>91</v>
      </c>
      <c r="B96" s="188" t="s">
        <v>279</v>
      </c>
      <c r="C96" s="188" t="s">
        <v>207</v>
      </c>
      <c r="D96" s="188" t="s">
        <v>208</v>
      </c>
      <c r="E96" s="306" t="s">
        <v>209</v>
      </c>
      <c r="F96" s="307">
        <v>145</v>
      </c>
      <c r="G96" s="307">
        <v>92.04</v>
      </c>
      <c r="H96" s="343">
        <f t="shared" si="11"/>
        <v>13345.800000000001</v>
      </c>
      <c r="I96" s="307">
        <v>0</v>
      </c>
      <c r="J96" s="307"/>
      <c r="K96" s="343">
        <f t="shared" si="9"/>
        <v>0</v>
      </c>
      <c r="L96" s="340">
        <f t="shared" si="10"/>
        <v>13345.800000000001</v>
      </c>
      <c r="M96" s="308"/>
      <c r="N96" s="190">
        <f t="shared" si="12"/>
        <v>38391.376900000083</v>
      </c>
      <c r="O96" s="188"/>
      <c r="P96" s="188"/>
    </row>
    <row r="97" spans="1:16" s="311" customFormat="1">
      <c r="A97" s="188">
        <v>92</v>
      </c>
      <c r="B97" s="188" t="s">
        <v>279</v>
      </c>
      <c r="C97" s="188" t="s">
        <v>268</v>
      </c>
      <c r="D97" s="188" t="s">
        <v>269</v>
      </c>
      <c r="E97" s="306" t="s">
        <v>270</v>
      </c>
      <c r="F97" s="307">
        <v>60</v>
      </c>
      <c r="G97" s="307">
        <v>91.77</v>
      </c>
      <c r="H97" s="343">
        <f t="shared" si="11"/>
        <v>5506.2</v>
      </c>
      <c r="I97" s="307">
        <v>0</v>
      </c>
      <c r="J97" s="307"/>
      <c r="K97" s="343">
        <f t="shared" si="9"/>
        <v>0</v>
      </c>
      <c r="L97" s="340">
        <f t="shared" si="10"/>
        <v>5506.2</v>
      </c>
      <c r="M97" s="308"/>
      <c r="N97" s="190">
        <f t="shared" si="12"/>
        <v>32885.176900000086</v>
      </c>
      <c r="O97" s="310"/>
      <c r="P97" s="190"/>
    </row>
    <row r="98" spans="1:16" s="311" customFormat="1">
      <c r="A98" s="188">
        <v>93</v>
      </c>
      <c r="B98" s="188" t="s">
        <v>282</v>
      </c>
      <c r="C98" s="188" t="s">
        <v>215</v>
      </c>
      <c r="D98" s="188" t="s">
        <v>216</v>
      </c>
      <c r="E98" s="306" t="s">
        <v>217</v>
      </c>
      <c r="F98" s="307">
        <v>20</v>
      </c>
      <c r="G98" s="307">
        <v>91.92</v>
      </c>
      <c r="H98" s="343">
        <f t="shared" si="11"/>
        <v>1838.4</v>
      </c>
      <c r="I98" s="307">
        <v>0</v>
      </c>
      <c r="J98" s="307"/>
      <c r="K98" s="343">
        <f t="shared" si="9"/>
        <v>0</v>
      </c>
      <c r="L98" s="340">
        <f t="shared" si="10"/>
        <v>1838.4</v>
      </c>
      <c r="M98" s="308"/>
      <c r="N98" s="190">
        <f t="shared" si="12"/>
        <v>31046.776900000084</v>
      </c>
      <c r="O98" s="188"/>
      <c r="P98" s="188"/>
    </row>
    <row r="99" spans="1:16" s="311" customFormat="1">
      <c r="A99" s="188">
        <v>94</v>
      </c>
      <c r="B99" s="188" t="s">
        <v>282</v>
      </c>
      <c r="C99" s="188" t="s">
        <v>245</v>
      </c>
      <c r="D99" s="188" t="s">
        <v>89</v>
      </c>
      <c r="E99" s="306" t="s">
        <v>238</v>
      </c>
      <c r="F99" s="307">
        <v>0</v>
      </c>
      <c r="G99" s="307">
        <v>0</v>
      </c>
      <c r="H99" s="343">
        <f t="shared" si="11"/>
        <v>0</v>
      </c>
      <c r="I99" s="307">
        <v>3.9</v>
      </c>
      <c r="J99" s="307">
        <v>102.46</v>
      </c>
      <c r="K99" s="343">
        <f t="shared" si="9"/>
        <v>399.59399999999999</v>
      </c>
      <c r="L99" s="340">
        <f t="shared" si="10"/>
        <v>399.59399999999999</v>
      </c>
      <c r="M99" s="308"/>
      <c r="N99" s="190">
        <f t="shared" si="12"/>
        <v>30647.182900000083</v>
      </c>
      <c r="O99" s="188"/>
      <c r="P99" s="188"/>
    </row>
    <row r="100" spans="1:16" s="311" customFormat="1">
      <c r="A100" s="316">
        <v>95</v>
      </c>
      <c r="B100" s="188" t="s">
        <v>282</v>
      </c>
      <c r="C100" s="316" t="s">
        <v>227</v>
      </c>
      <c r="D100" s="316" t="s">
        <v>228</v>
      </c>
      <c r="E100" s="326" t="s">
        <v>229</v>
      </c>
      <c r="F100" s="307">
        <v>155.01</v>
      </c>
      <c r="G100" s="307">
        <v>91.59</v>
      </c>
      <c r="H100" s="343">
        <f t="shared" si="11"/>
        <v>14197.365899999999</v>
      </c>
      <c r="I100" s="307">
        <v>0</v>
      </c>
      <c r="J100" s="307"/>
      <c r="K100" s="343">
        <f t="shared" ref="K100:K101" si="13">I100*J100</f>
        <v>0</v>
      </c>
      <c r="L100" s="340">
        <f t="shared" ref="L100:L101" si="14">H100+K100</f>
        <v>14197.365899999999</v>
      </c>
      <c r="M100" s="308"/>
      <c r="N100" s="190">
        <f t="shared" si="12"/>
        <v>16449.817000000083</v>
      </c>
      <c r="O100" s="316"/>
      <c r="P100" s="316"/>
    </row>
    <row r="101" spans="1:16" s="311" customFormat="1">
      <c r="A101" s="188">
        <v>96</v>
      </c>
      <c r="B101" s="188" t="s">
        <v>282</v>
      </c>
      <c r="C101" s="188" t="s">
        <v>211</v>
      </c>
      <c r="D101" s="188" t="s">
        <v>212</v>
      </c>
      <c r="E101" s="306" t="s">
        <v>213</v>
      </c>
      <c r="F101" s="307">
        <v>70</v>
      </c>
      <c r="G101" s="307">
        <v>91.8</v>
      </c>
      <c r="H101" s="343">
        <f t="shared" si="11"/>
        <v>6426</v>
      </c>
      <c r="I101" s="307">
        <v>5</v>
      </c>
      <c r="J101" s="307">
        <v>103.76</v>
      </c>
      <c r="K101" s="343">
        <f t="shared" si="13"/>
        <v>518.80000000000007</v>
      </c>
      <c r="L101" s="340">
        <f t="shared" si="14"/>
        <v>6944.8</v>
      </c>
      <c r="M101" s="308"/>
      <c r="N101" s="190">
        <f t="shared" si="12"/>
        <v>9505.0170000000835</v>
      </c>
      <c r="O101" s="188"/>
      <c r="P101" s="188"/>
    </row>
    <row r="102" spans="1:16" s="311" customFormat="1">
      <c r="A102" s="188">
        <v>97</v>
      </c>
      <c r="B102" s="188" t="s">
        <v>282</v>
      </c>
      <c r="C102" s="188" t="s">
        <v>207</v>
      </c>
      <c r="D102" s="188" t="s">
        <v>208</v>
      </c>
      <c r="E102" s="306" t="s">
        <v>209</v>
      </c>
      <c r="F102" s="307">
        <v>75</v>
      </c>
      <c r="G102" s="307">
        <v>92.04</v>
      </c>
      <c r="H102" s="343">
        <f t="shared" si="11"/>
        <v>6903.0000000000009</v>
      </c>
      <c r="I102" s="307">
        <v>0</v>
      </c>
      <c r="J102" s="307">
        <v>0</v>
      </c>
      <c r="K102" s="343">
        <f t="shared" ref="K102" si="15">I102*J102</f>
        <v>0</v>
      </c>
      <c r="L102" s="340">
        <f t="shared" ref="L102" si="16">H102+K102</f>
        <v>6903.0000000000009</v>
      </c>
      <c r="M102" s="308">
        <v>4880.4799999999996</v>
      </c>
      <c r="N102" s="190">
        <f t="shared" si="12"/>
        <v>7482.4970000000822</v>
      </c>
      <c r="O102" s="188"/>
      <c r="P102" s="188"/>
    </row>
    <row r="103" spans="1:16" s="311" customFormat="1">
      <c r="A103" s="316">
        <v>98</v>
      </c>
      <c r="B103" s="188"/>
      <c r="C103" s="316"/>
      <c r="D103" s="316"/>
      <c r="E103" s="326"/>
      <c r="F103" s="307"/>
      <c r="G103" s="307"/>
      <c r="H103" s="307"/>
      <c r="I103" s="307"/>
      <c r="J103" s="307"/>
      <c r="K103" s="307"/>
      <c r="L103" s="307"/>
      <c r="M103" s="308"/>
      <c r="N103" s="309"/>
      <c r="O103" s="316"/>
      <c r="P103" s="316"/>
    </row>
    <row r="104" spans="1:16" s="311" customFormat="1">
      <c r="A104" s="316">
        <v>99</v>
      </c>
      <c r="B104" s="188"/>
      <c r="C104" s="316"/>
      <c r="D104" s="316"/>
      <c r="E104" s="326"/>
      <c r="F104" s="307"/>
      <c r="G104" s="307"/>
      <c r="H104" s="307"/>
      <c r="I104" s="307"/>
      <c r="J104" s="307"/>
      <c r="K104" s="307"/>
      <c r="L104" s="307"/>
      <c r="M104" s="308"/>
      <c r="N104" s="309"/>
      <c r="O104" s="316"/>
      <c r="P104" s="316"/>
    </row>
    <row r="105" spans="1:16" s="311" customFormat="1">
      <c r="A105" s="188">
        <v>100</v>
      </c>
      <c r="B105" s="188"/>
      <c r="C105" s="188"/>
      <c r="D105" s="188"/>
      <c r="E105" s="306"/>
      <c r="F105" s="307"/>
      <c r="G105" s="307"/>
      <c r="H105" s="307"/>
      <c r="I105" s="307"/>
      <c r="J105" s="307"/>
      <c r="K105" s="307"/>
      <c r="L105" s="307"/>
      <c r="M105" s="308"/>
      <c r="N105" s="190"/>
      <c r="O105" s="188"/>
      <c r="P105" s="188"/>
    </row>
    <row r="106" spans="1:16" s="311" customFormat="1">
      <c r="A106" s="188">
        <v>101</v>
      </c>
      <c r="B106" s="188"/>
      <c r="C106" s="188"/>
      <c r="D106" s="188"/>
      <c r="E106" s="306"/>
      <c r="F106" s="307"/>
      <c r="G106" s="307"/>
      <c r="H106" s="307"/>
      <c r="I106" s="307"/>
      <c r="J106" s="307"/>
      <c r="K106" s="307"/>
      <c r="L106" s="307"/>
      <c r="M106" s="308"/>
      <c r="N106" s="190"/>
      <c r="O106" s="188"/>
      <c r="P106" s="188"/>
    </row>
    <row r="107" spans="1:16" s="311" customFormat="1">
      <c r="A107" s="188">
        <v>102</v>
      </c>
      <c r="B107" s="316"/>
      <c r="C107" s="316"/>
      <c r="D107" s="316"/>
      <c r="E107" s="326"/>
      <c r="F107" s="307"/>
      <c r="G107" s="307"/>
      <c r="H107" s="307"/>
      <c r="I107" s="307"/>
      <c r="J107" s="307"/>
      <c r="K107" s="307"/>
      <c r="L107" s="307"/>
      <c r="M107" s="308"/>
      <c r="N107" s="309"/>
      <c r="O107" s="330"/>
      <c r="P107" s="309"/>
    </row>
    <row r="108" spans="1:16" s="311" customFormat="1">
      <c r="A108" s="304">
        <v>103</v>
      </c>
      <c r="B108" s="316"/>
      <c r="C108" s="188"/>
      <c r="D108" s="188"/>
      <c r="E108" s="306"/>
      <c r="F108" s="307"/>
      <c r="G108" s="307"/>
      <c r="H108" s="307"/>
      <c r="I108" s="307"/>
      <c r="J108" s="307"/>
      <c r="K108" s="307"/>
      <c r="L108" s="307"/>
      <c r="M108" s="308"/>
      <c r="N108" s="190"/>
      <c r="O108" s="188"/>
      <c r="P108" s="188"/>
    </row>
    <row r="109" spans="1:16" s="311" customFormat="1">
      <c r="A109" s="304">
        <v>104</v>
      </c>
      <c r="B109" s="316"/>
      <c r="C109" s="188"/>
      <c r="D109" s="188"/>
      <c r="E109" s="306"/>
      <c r="F109" s="307"/>
      <c r="G109" s="307"/>
      <c r="H109" s="307"/>
      <c r="I109" s="307"/>
      <c r="J109" s="307"/>
      <c r="K109" s="307"/>
      <c r="L109" s="307"/>
      <c r="M109" s="308"/>
      <c r="N109" s="190"/>
      <c r="O109" s="188"/>
      <c r="P109" s="188"/>
    </row>
    <row r="110" spans="1:16" s="311" customFormat="1">
      <c r="A110" s="304">
        <v>105</v>
      </c>
      <c r="B110" s="316"/>
      <c r="C110" s="188"/>
      <c r="D110" s="188"/>
      <c r="E110" s="306"/>
      <c r="F110" s="307"/>
      <c r="G110" s="307"/>
      <c r="H110" s="307"/>
      <c r="I110" s="307"/>
      <c r="J110" s="307"/>
      <c r="K110" s="307"/>
      <c r="L110" s="307"/>
      <c r="M110" s="308"/>
      <c r="N110" s="190"/>
      <c r="O110" s="188"/>
      <c r="P110" s="188"/>
    </row>
    <row r="111" spans="1:16" s="311" customFormat="1">
      <c r="A111" s="304">
        <v>106</v>
      </c>
      <c r="B111" s="316"/>
      <c r="C111" s="188"/>
      <c r="D111" s="188"/>
      <c r="E111" s="306"/>
      <c r="F111" s="307"/>
      <c r="G111" s="307"/>
      <c r="H111" s="307"/>
      <c r="I111" s="307"/>
      <c r="J111" s="307"/>
      <c r="K111" s="307"/>
      <c r="L111" s="307"/>
      <c r="M111" s="308"/>
      <c r="N111" s="190"/>
      <c r="O111" s="188"/>
      <c r="P111" s="188"/>
    </row>
    <row r="112" spans="1:16" s="311" customFormat="1">
      <c r="A112" s="304">
        <v>107</v>
      </c>
      <c r="B112" s="316"/>
      <c r="C112" s="316"/>
      <c r="D112" s="316"/>
      <c r="E112" s="326"/>
      <c r="F112" s="307"/>
      <c r="G112" s="307"/>
      <c r="H112" s="307"/>
      <c r="I112" s="307"/>
      <c r="J112" s="307"/>
      <c r="K112" s="307"/>
      <c r="L112" s="307"/>
      <c r="M112" s="308"/>
      <c r="N112" s="309"/>
      <c r="O112" s="330"/>
      <c r="P112" s="309"/>
    </row>
    <row r="113" spans="1:16" s="311" customFormat="1">
      <c r="A113" s="304">
        <v>108</v>
      </c>
      <c r="B113" s="316"/>
      <c r="C113" s="188"/>
      <c r="D113" s="188"/>
      <c r="E113" s="306"/>
      <c r="F113" s="307"/>
      <c r="G113" s="307"/>
      <c r="H113" s="307"/>
      <c r="I113" s="307"/>
      <c r="J113" s="307"/>
      <c r="K113" s="307"/>
      <c r="L113" s="307"/>
      <c r="M113" s="308"/>
      <c r="N113" s="190"/>
      <c r="O113" s="188"/>
      <c r="P113" s="188"/>
    </row>
    <row r="114" spans="1:16" s="311" customFormat="1">
      <c r="A114" s="304">
        <v>109</v>
      </c>
      <c r="B114" s="316"/>
      <c r="C114" s="188"/>
      <c r="D114" s="188"/>
      <c r="E114" s="306"/>
      <c r="F114" s="307"/>
      <c r="G114" s="307"/>
      <c r="H114" s="307"/>
      <c r="I114" s="307"/>
      <c r="J114" s="307"/>
      <c r="K114" s="307"/>
      <c r="L114" s="307"/>
      <c r="M114" s="308"/>
      <c r="N114" s="190"/>
      <c r="O114" s="188"/>
      <c r="P114" s="188"/>
    </row>
    <row r="115" spans="1:16" s="311" customFormat="1">
      <c r="A115" s="304">
        <v>110</v>
      </c>
      <c r="B115" s="316"/>
      <c r="C115" s="188"/>
      <c r="D115" s="188"/>
      <c r="E115" s="306"/>
      <c r="F115" s="307"/>
      <c r="G115" s="307"/>
      <c r="H115" s="307"/>
      <c r="I115" s="307"/>
      <c r="J115" s="307"/>
      <c r="K115" s="307"/>
      <c r="L115" s="307"/>
      <c r="M115" s="308"/>
      <c r="N115" s="190"/>
      <c r="O115" s="188"/>
      <c r="P115" s="188"/>
    </row>
    <row r="116" spans="1:16" s="311" customFormat="1">
      <c r="A116" s="304">
        <v>111</v>
      </c>
      <c r="B116" s="188"/>
      <c r="C116" s="188"/>
      <c r="D116" s="188"/>
      <c r="E116" s="306"/>
      <c r="F116" s="307"/>
      <c r="G116" s="307"/>
      <c r="H116" s="307"/>
      <c r="I116" s="307"/>
      <c r="J116" s="307"/>
      <c r="K116" s="307"/>
      <c r="L116" s="307"/>
      <c r="M116" s="308"/>
      <c r="N116" s="190"/>
      <c r="O116" s="188"/>
      <c r="P116" s="188"/>
    </row>
    <row r="117" spans="1:16" s="311" customFormat="1">
      <c r="A117" s="304">
        <v>112</v>
      </c>
      <c r="B117" s="188"/>
      <c r="C117" s="188"/>
      <c r="D117" s="188"/>
      <c r="E117" s="306"/>
      <c r="F117" s="307"/>
      <c r="G117" s="307"/>
      <c r="H117" s="307"/>
      <c r="I117" s="307"/>
      <c r="J117" s="307"/>
      <c r="K117" s="307"/>
      <c r="L117" s="307"/>
      <c r="M117" s="308"/>
      <c r="N117" s="190"/>
      <c r="O117" s="188"/>
      <c r="P117" s="188"/>
    </row>
    <row r="118" spans="1:16" s="311" customFormat="1">
      <c r="A118" s="304">
        <v>113</v>
      </c>
      <c r="B118" s="188"/>
      <c r="C118" s="316"/>
      <c r="D118" s="316"/>
      <c r="E118" s="326"/>
      <c r="F118" s="307"/>
      <c r="G118" s="307"/>
      <c r="H118" s="307"/>
      <c r="I118" s="307"/>
      <c r="J118" s="307"/>
      <c r="K118" s="307"/>
      <c r="L118" s="307"/>
      <c r="M118" s="308"/>
      <c r="N118" s="309"/>
      <c r="O118" s="316"/>
      <c r="P118" s="316"/>
    </row>
    <row r="119" spans="1:16" s="311" customFormat="1">
      <c r="A119" s="304">
        <v>114</v>
      </c>
      <c r="B119" s="188"/>
      <c r="C119" s="188"/>
      <c r="D119" s="188"/>
      <c r="E119" s="306"/>
      <c r="F119" s="307"/>
      <c r="G119" s="307"/>
      <c r="H119" s="307"/>
      <c r="I119" s="307"/>
      <c r="J119" s="307"/>
      <c r="K119" s="307"/>
      <c r="L119" s="307"/>
      <c r="M119" s="308"/>
      <c r="N119" s="190"/>
      <c r="O119" s="188"/>
      <c r="P119" s="188"/>
    </row>
    <row r="120" spans="1:16" s="311" customFormat="1">
      <c r="A120" s="304">
        <v>115</v>
      </c>
      <c r="B120" s="188"/>
      <c r="C120" s="188"/>
      <c r="D120" s="188"/>
      <c r="E120" s="306"/>
      <c r="F120" s="307"/>
      <c r="G120" s="307"/>
      <c r="H120" s="307"/>
      <c r="I120" s="307"/>
      <c r="J120" s="307"/>
      <c r="K120" s="307"/>
      <c r="L120" s="307"/>
      <c r="M120" s="308"/>
      <c r="N120" s="190"/>
      <c r="O120" s="188"/>
      <c r="P120" s="188"/>
    </row>
    <row r="121" spans="1:16" s="311" customFormat="1">
      <c r="A121" s="304">
        <v>116</v>
      </c>
      <c r="B121" s="188"/>
      <c r="C121" s="188"/>
      <c r="D121" s="188"/>
      <c r="E121" s="306"/>
      <c r="F121" s="307"/>
      <c r="G121" s="307"/>
      <c r="H121" s="307"/>
      <c r="I121" s="307"/>
      <c r="J121" s="307"/>
      <c r="K121" s="307"/>
      <c r="L121" s="307"/>
      <c r="M121" s="308"/>
      <c r="N121" s="190"/>
      <c r="O121" s="310"/>
      <c r="P121" s="309"/>
    </row>
    <row r="122" spans="1:16" s="311" customFormat="1">
      <c r="A122" s="304">
        <v>117</v>
      </c>
      <c r="B122" s="188"/>
      <c r="C122" s="316"/>
      <c r="D122" s="316"/>
      <c r="E122" s="326"/>
      <c r="F122" s="307"/>
      <c r="G122" s="307"/>
      <c r="H122" s="307"/>
      <c r="I122" s="307"/>
      <c r="J122" s="307"/>
      <c r="K122" s="307"/>
      <c r="L122" s="307"/>
      <c r="M122" s="308"/>
      <c r="N122" s="309"/>
      <c r="O122" s="316"/>
      <c r="P122" s="316"/>
    </row>
    <row r="123" spans="1:16" s="311" customFormat="1">
      <c r="A123" s="304">
        <v>118</v>
      </c>
      <c r="B123" s="188"/>
      <c r="C123" s="188"/>
      <c r="D123" s="188"/>
      <c r="E123" s="306"/>
      <c r="F123" s="307"/>
      <c r="G123" s="307"/>
      <c r="H123" s="307"/>
      <c r="I123" s="307"/>
      <c r="J123" s="307"/>
      <c r="K123" s="307"/>
      <c r="L123" s="307"/>
      <c r="M123" s="308"/>
      <c r="N123" s="309"/>
      <c r="O123" s="188"/>
      <c r="P123" s="188"/>
    </row>
    <row r="124" spans="1:16" s="311" customFormat="1">
      <c r="A124" s="304">
        <v>119</v>
      </c>
      <c r="B124" s="188"/>
      <c r="C124" s="188"/>
      <c r="D124" s="188"/>
      <c r="E124" s="306"/>
      <c r="F124" s="307"/>
      <c r="G124" s="307"/>
      <c r="H124" s="307"/>
      <c r="I124" s="307"/>
      <c r="J124" s="307"/>
      <c r="K124" s="307"/>
      <c r="L124" s="307"/>
      <c r="M124" s="308"/>
      <c r="N124" s="309"/>
      <c r="O124" s="188"/>
      <c r="P124" s="188"/>
    </row>
    <row r="125" spans="1:16" s="311" customFormat="1">
      <c r="A125" s="304">
        <v>120</v>
      </c>
      <c r="B125" s="188"/>
      <c r="C125" s="188"/>
      <c r="D125" s="188"/>
      <c r="E125" s="306"/>
      <c r="F125" s="307"/>
      <c r="G125" s="307"/>
      <c r="H125" s="307"/>
      <c r="I125" s="307"/>
      <c r="J125" s="307"/>
      <c r="K125" s="307"/>
      <c r="L125" s="307"/>
      <c r="M125" s="308"/>
      <c r="N125" s="309"/>
      <c r="O125" s="188"/>
      <c r="P125" s="188"/>
    </row>
    <row r="126" spans="1:16" s="311" customFormat="1">
      <c r="A126" s="304">
        <v>121</v>
      </c>
      <c r="B126" s="188"/>
      <c r="C126" s="316"/>
      <c r="D126" s="316"/>
      <c r="E126" s="326"/>
      <c r="F126" s="307"/>
      <c r="G126" s="307"/>
      <c r="H126" s="307"/>
      <c r="I126" s="307"/>
      <c r="J126" s="307"/>
      <c r="K126" s="307"/>
      <c r="L126" s="307"/>
      <c r="M126" s="308"/>
      <c r="N126" s="309"/>
      <c r="O126" s="316"/>
      <c r="P126" s="316"/>
    </row>
    <row r="127" spans="1:16" s="311" customFormat="1">
      <c r="A127" s="304">
        <v>122</v>
      </c>
      <c r="B127" s="188"/>
      <c r="C127" s="189"/>
      <c r="D127" s="189"/>
      <c r="E127" s="312"/>
      <c r="F127" s="307"/>
      <c r="G127" s="307"/>
      <c r="H127" s="307"/>
      <c r="I127" s="307"/>
      <c r="J127" s="307"/>
      <c r="K127" s="307"/>
      <c r="L127" s="307"/>
      <c r="M127" s="308"/>
      <c r="N127" s="309"/>
      <c r="O127" s="188"/>
      <c r="P127" s="188"/>
    </row>
    <row r="128" spans="1:16" s="311" customFormat="1">
      <c r="A128" s="304">
        <v>123</v>
      </c>
      <c r="B128" s="188"/>
      <c r="C128" s="188"/>
      <c r="D128" s="188"/>
      <c r="E128" s="306"/>
      <c r="F128" s="307"/>
      <c r="G128" s="307"/>
      <c r="H128" s="307"/>
      <c r="I128" s="307"/>
      <c r="J128" s="307"/>
      <c r="K128" s="307"/>
      <c r="L128" s="307"/>
      <c r="M128" s="308"/>
      <c r="N128" s="309"/>
      <c r="O128" s="188"/>
      <c r="P128" s="188"/>
    </row>
    <row r="129" spans="1:16" s="311" customFormat="1">
      <c r="A129" s="304">
        <v>124</v>
      </c>
      <c r="B129" s="188"/>
      <c r="C129" s="305"/>
      <c r="D129" s="305"/>
      <c r="E129" s="306"/>
      <c r="F129" s="307"/>
      <c r="G129" s="307"/>
      <c r="H129" s="307"/>
      <c r="I129" s="307"/>
      <c r="J129" s="307"/>
      <c r="K129" s="307"/>
      <c r="L129" s="307"/>
      <c r="M129" s="308"/>
      <c r="N129" s="309"/>
      <c r="O129" s="310"/>
      <c r="P129" s="190"/>
    </row>
    <row r="130" spans="1:16" s="311" customFormat="1">
      <c r="A130" s="304">
        <v>125</v>
      </c>
      <c r="B130" s="188"/>
      <c r="C130" s="189"/>
      <c r="D130" s="189"/>
      <c r="E130" s="312"/>
      <c r="F130" s="307"/>
      <c r="G130" s="307"/>
      <c r="H130" s="307"/>
      <c r="I130" s="307"/>
      <c r="J130" s="307"/>
      <c r="K130" s="307"/>
      <c r="L130" s="307"/>
      <c r="M130" s="308"/>
      <c r="N130" s="309"/>
      <c r="O130" s="188"/>
      <c r="P130" s="188"/>
    </row>
    <row r="131" spans="1:16" s="311" customFormat="1">
      <c r="A131" s="304">
        <v>126</v>
      </c>
      <c r="B131" s="188"/>
      <c r="C131" s="189"/>
      <c r="D131" s="189"/>
      <c r="E131" s="312"/>
      <c r="F131" s="307"/>
      <c r="G131" s="307"/>
      <c r="H131" s="307"/>
      <c r="I131" s="307"/>
      <c r="J131" s="307"/>
      <c r="K131" s="307"/>
      <c r="L131" s="307"/>
      <c r="M131" s="308"/>
      <c r="N131" s="309"/>
      <c r="O131" s="188"/>
      <c r="P131" s="188"/>
    </row>
    <row r="132" spans="1:16" s="311" customFormat="1">
      <c r="A132" s="304">
        <v>127</v>
      </c>
      <c r="B132" s="188"/>
      <c r="C132" s="189"/>
      <c r="D132" s="189"/>
      <c r="E132" s="312"/>
      <c r="F132" s="307"/>
      <c r="G132" s="307"/>
      <c r="H132" s="307"/>
      <c r="I132" s="307"/>
      <c r="J132" s="307"/>
      <c r="K132" s="307"/>
      <c r="L132" s="307"/>
      <c r="M132" s="308"/>
      <c r="N132" s="309"/>
      <c r="O132" s="188"/>
      <c r="P132" s="188"/>
    </row>
    <row r="133" spans="1:16" s="311" customFormat="1">
      <c r="A133" s="313">
        <v>128</v>
      </c>
      <c r="B133" s="188"/>
      <c r="C133" s="314"/>
      <c r="D133" s="314"/>
      <c r="E133" s="315"/>
      <c r="F133" s="307"/>
      <c r="G133" s="307"/>
      <c r="H133" s="307"/>
      <c r="I133" s="307"/>
      <c r="J133" s="307"/>
      <c r="K133" s="307"/>
      <c r="L133" s="307"/>
      <c r="M133" s="308"/>
      <c r="N133" s="309"/>
      <c r="O133" s="316"/>
      <c r="P133" s="316"/>
    </row>
    <row r="134" spans="1:16" s="311" customFormat="1">
      <c r="A134" s="188">
        <v>129</v>
      </c>
      <c r="B134" s="188"/>
      <c r="C134" s="189"/>
      <c r="D134" s="189"/>
      <c r="E134" s="312"/>
      <c r="F134" s="307"/>
      <c r="G134" s="307"/>
      <c r="H134" s="307"/>
      <c r="I134" s="307"/>
      <c r="J134" s="307"/>
      <c r="K134" s="307"/>
      <c r="L134" s="307"/>
      <c r="M134" s="308"/>
      <c r="N134" s="190"/>
      <c r="O134" s="188"/>
      <c r="P134" s="188"/>
    </row>
    <row r="135" spans="1:16" s="311" customFormat="1">
      <c r="A135" s="188">
        <v>130</v>
      </c>
      <c r="B135" s="188"/>
      <c r="C135" s="188"/>
      <c r="D135" s="188"/>
      <c r="E135" s="306"/>
      <c r="F135" s="307"/>
      <c r="G135" s="307"/>
      <c r="H135" s="307"/>
      <c r="I135" s="307"/>
      <c r="J135" s="307"/>
      <c r="K135" s="307"/>
      <c r="L135" s="307"/>
      <c r="M135" s="308"/>
      <c r="N135" s="190"/>
      <c r="O135" s="188"/>
      <c r="P135" s="188"/>
    </row>
    <row r="136" spans="1:16" s="311" customFormat="1">
      <c r="A136" s="188">
        <v>131</v>
      </c>
      <c r="B136" s="188"/>
      <c r="C136" s="188"/>
      <c r="D136" s="188"/>
      <c r="E136" s="306"/>
      <c r="F136" s="307"/>
      <c r="G136" s="307"/>
      <c r="H136" s="307"/>
      <c r="I136" s="307"/>
      <c r="J136" s="307"/>
      <c r="K136" s="307"/>
      <c r="L136" s="307"/>
      <c r="M136" s="308"/>
      <c r="N136" s="190"/>
      <c r="O136" s="188"/>
      <c r="P136" s="188"/>
    </row>
    <row r="137" spans="1:16" s="311" customFormat="1">
      <c r="A137" s="188">
        <v>132</v>
      </c>
      <c r="B137" s="188"/>
      <c r="C137" s="188"/>
      <c r="D137" s="188"/>
      <c r="E137" s="306"/>
      <c r="F137" s="307"/>
      <c r="G137" s="307"/>
      <c r="H137" s="307"/>
      <c r="I137" s="307"/>
      <c r="J137" s="307"/>
      <c r="K137" s="307"/>
      <c r="L137" s="307"/>
      <c r="M137" s="308"/>
      <c r="N137" s="190"/>
      <c r="O137" s="188"/>
      <c r="P137" s="188"/>
    </row>
    <row r="138" spans="1:16" s="311" customFormat="1">
      <c r="A138" s="188">
        <v>133</v>
      </c>
      <c r="B138" s="188"/>
      <c r="C138" s="188"/>
      <c r="D138" s="188"/>
      <c r="E138" s="306"/>
      <c r="F138" s="307"/>
      <c r="G138" s="307"/>
      <c r="H138" s="307"/>
      <c r="I138" s="307"/>
      <c r="J138" s="307"/>
      <c r="K138" s="307"/>
      <c r="L138" s="307"/>
      <c r="M138" s="308"/>
      <c r="N138" s="190"/>
      <c r="O138" s="188"/>
      <c r="P138" s="188"/>
    </row>
    <row r="139" spans="1:16" s="311" customFormat="1">
      <c r="A139" s="188">
        <v>134</v>
      </c>
      <c r="B139" s="188"/>
      <c r="C139" s="188"/>
      <c r="D139" s="188"/>
      <c r="E139" s="306"/>
      <c r="F139" s="307"/>
      <c r="G139" s="307"/>
      <c r="H139" s="307"/>
      <c r="I139" s="307"/>
      <c r="J139" s="307"/>
      <c r="K139" s="307"/>
      <c r="L139" s="307"/>
      <c r="M139" s="308"/>
      <c r="N139" s="190"/>
      <c r="O139" s="188"/>
      <c r="P139" s="188"/>
    </row>
    <row r="140" spans="1:16" s="311" customFormat="1">
      <c r="A140" s="188">
        <v>135</v>
      </c>
      <c r="B140" s="188"/>
      <c r="C140" s="188"/>
      <c r="D140" s="188"/>
      <c r="E140" s="306"/>
      <c r="F140" s="307"/>
      <c r="G140" s="307"/>
      <c r="H140" s="307"/>
      <c r="I140" s="307"/>
      <c r="J140" s="307"/>
      <c r="K140" s="307"/>
      <c r="L140" s="307"/>
      <c r="M140" s="308"/>
      <c r="N140" s="190"/>
      <c r="O140" s="188"/>
      <c r="P140" s="188"/>
    </row>
    <row r="141" spans="1:16" s="311" customFormat="1">
      <c r="A141" s="188">
        <v>136</v>
      </c>
      <c r="B141" s="188"/>
      <c r="C141" s="188"/>
      <c r="D141" s="188"/>
      <c r="E141" s="306"/>
      <c r="F141" s="307"/>
      <c r="G141" s="307"/>
      <c r="H141" s="307"/>
      <c r="I141" s="307"/>
      <c r="J141" s="307"/>
      <c r="K141" s="307"/>
      <c r="L141" s="307"/>
      <c r="M141" s="308"/>
      <c r="N141" s="190"/>
      <c r="O141" s="188"/>
      <c r="P141" s="188"/>
    </row>
    <row r="142" spans="1:16" s="311" customFormat="1">
      <c r="A142" s="188">
        <v>137</v>
      </c>
      <c r="B142" s="188"/>
      <c r="C142" s="188"/>
      <c r="D142" s="188"/>
      <c r="E142" s="306"/>
      <c r="F142" s="307"/>
      <c r="G142" s="307"/>
      <c r="H142" s="307"/>
      <c r="I142" s="307"/>
      <c r="J142" s="307"/>
      <c r="K142" s="307"/>
      <c r="L142" s="307"/>
      <c r="M142" s="308"/>
      <c r="N142" s="190"/>
      <c r="O142" s="188"/>
      <c r="P142" s="188"/>
    </row>
    <row r="143" spans="1:16" s="311" customFormat="1">
      <c r="A143" s="188">
        <v>138</v>
      </c>
      <c r="B143" s="188"/>
      <c r="C143" s="316"/>
      <c r="D143" s="316"/>
      <c r="E143" s="326"/>
      <c r="F143" s="307"/>
      <c r="G143" s="307"/>
      <c r="H143" s="307"/>
      <c r="I143" s="307"/>
      <c r="J143" s="307"/>
      <c r="K143" s="307"/>
      <c r="L143" s="307"/>
      <c r="M143" s="308"/>
      <c r="N143" s="309"/>
      <c r="O143" s="316"/>
      <c r="P143" s="316"/>
    </row>
    <row r="144" spans="1:16" s="311" customFormat="1">
      <c r="A144" s="304">
        <v>139</v>
      </c>
      <c r="B144" s="188"/>
      <c r="C144" s="188"/>
      <c r="D144" s="188"/>
      <c r="E144" s="306"/>
      <c r="F144" s="307"/>
      <c r="G144" s="307"/>
      <c r="H144" s="307"/>
      <c r="I144" s="307"/>
      <c r="J144" s="307"/>
      <c r="K144" s="307"/>
      <c r="L144" s="307"/>
      <c r="M144" s="308"/>
      <c r="N144" s="190"/>
      <c r="O144" s="188"/>
      <c r="P144" s="188"/>
    </row>
    <row r="145" spans="1:16" s="311" customFormat="1">
      <c r="A145" s="304">
        <v>140</v>
      </c>
      <c r="B145" s="188"/>
      <c r="C145" s="329"/>
      <c r="D145" s="188"/>
      <c r="E145" s="306"/>
      <c r="F145" s="307"/>
      <c r="G145" s="307"/>
      <c r="H145" s="307"/>
      <c r="I145" s="307"/>
      <c r="J145" s="307"/>
      <c r="K145" s="307"/>
      <c r="L145" s="307"/>
      <c r="M145" s="308"/>
      <c r="N145" s="190"/>
      <c r="O145" s="188"/>
      <c r="P145" s="188"/>
    </row>
    <row r="146" spans="1:16" s="311" customFormat="1">
      <c r="A146" s="304">
        <v>141</v>
      </c>
      <c r="B146" s="188"/>
      <c r="C146" s="188"/>
      <c r="D146" s="188"/>
      <c r="E146" s="306"/>
      <c r="F146" s="307"/>
      <c r="G146" s="307"/>
      <c r="H146" s="307"/>
      <c r="I146" s="307"/>
      <c r="J146" s="307"/>
      <c r="K146" s="307"/>
      <c r="L146" s="307"/>
      <c r="M146" s="308"/>
      <c r="N146" s="190"/>
      <c r="O146" s="310"/>
      <c r="P146" s="310"/>
    </row>
    <row r="147" spans="1:16" s="311" customFormat="1">
      <c r="A147" s="304">
        <v>142</v>
      </c>
      <c r="B147" s="188"/>
      <c r="C147" s="188"/>
      <c r="D147" s="188"/>
      <c r="E147" s="306"/>
      <c r="F147" s="307"/>
      <c r="G147" s="307"/>
      <c r="H147" s="307"/>
      <c r="I147" s="307"/>
      <c r="J147" s="307"/>
      <c r="K147" s="307"/>
      <c r="L147" s="307"/>
      <c r="M147" s="308"/>
      <c r="N147" s="190"/>
      <c r="O147" s="188"/>
      <c r="P147" s="188"/>
    </row>
    <row r="148" spans="1:16" s="311" customFormat="1">
      <c r="A148" s="313">
        <v>143</v>
      </c>
      <c r="B148" s="188"/>
      <c r="C148" s="316"/>
      <c r="D148" s="316"/>
      <c r="E148" s="326"/>
      <c r="F148" s="307"/>
      <c r="G148" s="307"/>
      <c r="H148" s="307"/>
      <c r="I148" s="307"/>
      <c r="J148" s="307"/>
      <c r="K148" s="307"/>
      <c r="L148" s="307"/>
      <c r="M148" s="308"/>
      <c r="N148" s="309"/>
      <c r="O148" s="316"/>
      <c r="P148" s="316"/>
    </row>
    <row r="149" spans="1:16" s="311" customFormat="1">
      <c r="A149" s="188">
        <v>144</v>
      </c>
      <c r="B149" s="188"/>
      <c r="C149" s="188"/>
      <c r="D149" s="329"/>
      <c r="E149" s="306"/>
      <c r="F149" s="307"/>
      <c r="G149" s="307"/>
      <c r="H149" s="307"/>
      <c r="I149" s="307"/>
      <c r="J149" s="307"/>
      <c r="K149" s="307"/>
      <c r="L149" s="307"/>
      <c r="M149" s="308"/>
      <c r="N149" s="190"/>
      <c r="O149" s="188"/>
      <c r="P149" s="188"/>
    </row>
    <row r="150" spans="1:16" s="311" customFormat="1">
      <c r="A150" s="188">
        <v>145</v>
      </c>
      <c r="B150" s="188"/>
      <c r="C150" s="188"/>
      <c r="D150" s="188"/>
      <c r="E150" s="306"/>
      <c r="F150" s="307"/>
      <c r="G150" s="307"/>
      <c r="H150" s="307"/>
      <c r="I150" s="307"/>
      <c r="J150" s="307"/>
      <c r="K150" s="307"/>
      <c r="L150" s="307"/>
      <c r="M150" s="308"/>
      <c r="N150" s="190"/>
      <c r="O150" s="188"/>
      <c r="P150" s="188"/>
    </row>
    <row r="151" spans="1:16" s="311" customFormat="1">
      <c r="A151" s="188">
        <v>146</v>
      </c>
      <c r="B151" s="188"/>
      <c r="C151" s="188"/>
      <c r="D151" s="188"/>
      <c r="E151" s="306"/>
      <c r="F151" s="307"/>
      <c r="G151" s="307"/>
      <c r="H151" s="307"/>
      <c r="I151" s="307"/>
      <c r="J151" s="307"/>
      <c r="K151" s="307"/>
      <c r="L151" s="307"/>
      <c r="M151" s="308"/>
      <c r="N151" s="190"/>
      <c r="O151" s="188"/>
      <c r="P151" s="188"/>
    </row>
    <row r="152" spans="1:16" s="311" customFormat="1">
      <c r="A152" s="188">
        <v>147</v>
      </c>
      <c r="B152" s="188"/>
      <c r="C152" s="188"/>
      <c r="D152" s="188"/>
      <c r="E152" s="306"/>
      <c r="F152" s="307"/>
      <c r="G152" s="307"/>
      <c r="H152" s="307"/>
      <c r="I152" s="307"/>
      <c r="J152" s="307"/>
      <c r="K152" s="307"/>
      <c r="L152" s="307"/>
      <c r="M152" s="308"/>
      <c r="N152" s="190"/>
      <c r="O152" s="188"/>
      <c r="P152" s="188"/>
    </row>
    <row r="153" spans="1:16" s="311" customFormat="1">
      <c r="A153" s="188">
        <v>148</v>
      </c>
      <c r="B153" s="188"/>
      <c r="C153" s="188"/>
      <c r="D153" s="188"/>
      <c r="E153" s="306"/>
      <c r="F153" s="307"/>
      <c r="G153" s="307"/>
      <c r="H153" s="307"/>
      <c r="I153" s="307"/>
      <c r="J153" s="307"/>
      <c r="K153" s="307"/>
      <c r="L153" s="307"/>
      <c r="M153" s="308"/>
      <c r="N153" s="190"/>
      <c r="O153" s="188"/>
      <c r="P153" s="188"/>
    </row>
    <row r="154" spans="1:16" s="311" customFormat="1">
      <c r="A154" s="188">
        <v>149</v>
      </c>
      <c r="B154" s="188"/>
      <c r="C154" s="188"/>
      <c r="D154" s="188"/>
      <c r="E154" s="306"/>
      <c r="F154" s="307"/>
      <c r="G154" s="307"/>
      <c r="H154" s="307"/>
      <c r="I154" s="307"/>
      <c r="J154" s="307"/>
      <c r="K154" s="307"/>
      <c r="L154" s="307"/>
      <c r="M154" s="308"/>
      <c r="N154" s="190"/>
      <c r="O154" s="310"/>
      <c r="P154" s="190"/>
    </row>
    <row r="155" spans="1:16" s="311" customFormat="1">
      <c r="A155" s="188">
        <v>150</v>
      </c>
      <c r="B155" s="188"/>
      <c r="C155" s="188"/>
      <c r="D155" s="188"/>
      <c r="E155" s="306"/>
      <c r="F155" s="307"/>
      <c r="G155" s="307"/>
      <c r="H155" s="307"/>
      <c r="I155" s="307"/>
      <c r="J155" s="307"/>
      <c r="K155" s="307"/>
      <c r="L155" s="307"/>
      <c r="M155" s="308"/>
      <c r="N155" s="190"/>
      <c r="O155" s="188"/>
      <c r="P155" s="188"/>
    </row>
    <row r="156" spans="1:16" s="311" customFormat="1">
      <c r="A156" s="188">
        <v>151</v>
      </c>
      <c r="B156" s="188"/>
      <c r="C156" s="324"/>
      <c r="D156" s="189"/>
      <c r="E156" s="312"/>
      <c r="F156" s="307"/>
      <c r="G156" s="307"/>
      <c r="H156" s="307"/>
      <c r="I156" s="307"/>
      <c r="J156" s="307"/>
      <c r="K156" s="307"/>
      <c r="L156" s="307"/>
      <c r="M156" s="308"/>
      <c r="N156" s="190"/>
      <c r="O156" s="188"/>
      <c r="P156" s="188"/>
    </row>
    <row r="157" spans="1:16" s="311" customFormat="1">
      <c r="A157" s="188">
        <v>152</v>
      </c>
      <c r="B157" s="188"/>
      <c r="C157" s="189"/>
      <c r="D157" s="189"/>
      <c r="E157" s="312"/>
      <c r="F157" s="307"/>
      <c r="G157" s="307"/>
      <c r="H157" s="307"/>
      <c r="I157" s="307"/>
      <c r="J157" s="307"/>
      <c r="K157" s="307"/>
      <c r="L157" s="307"/>
      <c r="M157" s="308"/>
      <c r="N157" s="190"/>
      <c r="O157" s="188"/>
      <c r="P157" s="188"/>
    </row>
    <row r="158" spans="1:16" s="311" customFormat="1">
      <c r="A158" s="188">
        <v>153</v>
      </c>
      <c r="B158" s="188"/>
      <c r="C158" s="189"/>
      <c r="D158" s="189"/>
      <c r="E158" s="312"/>
      <c r="F158" s="307"/>
      <c r="G158" s="307"/>
      <c r="H158" s="307"/>
      <c r="I158" s="307"/>
      <c r="J158" s="307"/>
      <c r="K158" s="307"/>
      <c r="L158" s="307"/>
      <c r="M158" s="308"/>
      <c r="N158" s="190"/>
      <c r="O158" s="188"/>
      <c r="P158" s="188"/>
    </row>
    <row r="159" spans="1:16" s="311" customFormat="1">
      <c r="A159" s="188">
        <v>154</v>
      </c>
      <c r="B159" s="188"/>
      <c r="C159" s="188"/>
      <c r="D159" s="188"/>
      <c r="E159" s="306"/>
      <c r="F159" s="307"/>
      <c r="G159" s="307"/>
      <c r="H159" s="307"/>
      <c r="I159" s="307"/>
      <c r="J159" s="307"/>
      <c r="K159" s="307"/>
      <c r="L159" s="307"/>
      <c r="M159" s="308"/>
      <c r="N159" s="190"/>
      <c r="O159" s="188"/>
      <c r="P159" s="188"/>
    </row>
    <row r="160" spans="1:16" s="311" customFormat="1">
      <c r="A160" s="316">
        <v>155</v>
      </c>
      <c r="B160" s="188"/>
      <c r="C160" s="331"/>
      <c r="D160" s="316"/>
      <c r="E160" s="326"/>
      <c r="F160" s="307"/>
      <c r="G160" s="307"/>
      <c r="H160" s="307"/>
      <c r="I160" s="307"/>
      <c r="J160" s="307"/>
      <c r="K160" s="307"/>
      <c r="L160" s="307"/>
      <c r="M160" s="308"/>
      <c r="N160" s="309"/>
      <c r="O160" s="316"/>
      <c r="P160" s="316"/>
    </row>
    <row r="161" spans="1:16" s="311" customFormat="1">
      <c r="A161" s="188">
        <v>156</v>
      </c>
      <c r="B161" s="188"/>
      <c r="C161" s="188"/>
      <c r="D161" s="188"/>
      <c r="E161" s="306"/>
      <c r="F161" s="307"/>
      <c r="G161" s="307"/>
      <c r="H161" s="307"/>
      <c r="I161" s="307"/>
      <c r="J161" s="307"/>
      <c r="K161" s="307"/>
      <c r="L161" s="307"/>
      <c r="M161" s="308"/>
      <c r="N161" s="190"/>
      <c r="O161" s="188"/>
      <c r="P161" s="188"/>
    </row>
    <row r="162" spans="1:16" s="311" customFormat="1">
      <c r="A162" s="188">
        <v>157</v>
      </c>
      <c r="B162" s="188"/>
      <c r="C162" s="188"/>
      <c r="D162" s="188"/>
      <c r="E162" s="306"/>
      <c r="F162" s="307"/>
      <c r="G162" s="307"/>
      <c r="H162" s="307"/>
      <c r="I162" s="307"/>
      <c r="J162" s="307"/>
      <c r="K162" s="307"/>
      <c r="L162" s="307"/>
      <c r="M162" s="308"/>
      <c r="N162" s="190"/>
      <c r="O162" s="188"/>
      <c r="P162" s="188"/>
    </row>
    <row r="163" spans="1:16" s="311" customFormat="1">
      <c r="A163" s="188">
        <v>158</v>
      </c>
      <c r="B163" s="188"/>
      <c r="C163" s="188"/>
      <c r="D163" s="188"/>
      <c r="E163" s="306"/>
      <c r="F163" s="307"/>
      <c r="G163" s="307"/>
      <c r="H163" s="307"/>
      <c r="I163" s="307"/>
      <c r="J163" s="307"/>
      <c r="K163" s="307"/>
      <c r="L163" s="307"/>
      <c r="M163" s="308"/>
      <c r="N163" s="190"/>
      <c r="O163" s="188"/>
      <c r="P163" s="188"/>
    </row>
    <row r="164" spans="1:16" s="311" customFormat="1">
      <c r="A164" s="188">
        <v>159</v>
      </c>
      <c r="B164" s="329"/>
      <c r="C164" s="188"/>
      <c r="D164" s="188"/>
      <c r="E164" s="306"/>
      <c r="F164" s="307"/>
      <c r="G164" s="307"/>
      <c r="H164" s="307"/>
      <c r="I164" s="307"/>
      <c r="J164" s="307"/>
      <c r="K164" s="307"/>
      <c r="L164" s="307"/>
      <c r="M164" s="308"/>
      <c r="N164" s="190"/>
      <c r="O164" s="188"/>
      <c r="P164" s="188"/>
    </row>
    <row r="165" spans="1:16" s="311" customFormat="1">
      <c r="A165" s="188">
        <v>160</v>
      </c>
      <c r="B165" s="329"/>
      <c r="C165" s="188"/>
      <c r="D165" s="188"/>
      <c r="E165" s="306"/>
      <c r="F165" s="307"/>
      <c r="G165" s="307"/>
      <c r="H165" s="307"/>
      <c r="I165" s="307"/>
      <c r="J165" s="307"/>
      <c r="K165" s="307"/>
      <c r="L165" s="307"/>
      <c r="M165" s="308"/>
      <c r="N165" s="190"/>
      <c r="O165" s="188"/>
      <c r="P165" s="188"/>
    </row>
    <row r="166" spans="1:16" s="311" customFormat="1">
      <c r="A166" s="188">
        <v>161</v>
      </c>
      <c r="B166" s="329"/>
      <c r="C166" s="188"/>
      <c r="D166" s="188"/>
      <c r="E166" s="306"/>
      <c r="F166" s="307"/>
      <c r="G166" s="307"/>
      <c r="H166" s="307"/>
      <c r="I166" s="307"/>
      <c r="J166" s="307"/>
      <c r="K166" s="307"/>
      <c r="L166" s="307"/>
      <c r="M166" s="308"/>
      <c r="N166" s="190"/>
      <c r="O166" s="188"/>
      <c r="P166" s="188"/>
    </row>
    <row r="167" spans="1:16" s="311" customFormat="1">
      <c r="A167" s="188">
        <v>162</v>
      </c>
      <c r="B167" s="329"/>
      <c r="C167" s="188"/>
      <c r="D167" s="188"/>
      <c r="E167" s="306"/>
      <c r="F167" s="307"/>
      <c r="G167" s="307"/>
      <c r="H167" s="307"/>
      <c r="I167" s="307"/>
      <c r="J167" s="307"/>
      <c r="K167" s="307"/>
      <c r="L167" s="307"/>
      <c r="M167" s="308"/>
      <c r="N167" s="190"/>
      <c r="O167" s="310"/>
      <c r="P167" s="190"/>
    </row>
    <row r="168" spans="1:16" s="311" customFormat="1">
      <c r="A168" s="188">
        <v>163</v>
      </c>
      <c r="B168" s="188"/>
      <c r="C168" s="188"/>
      <c r="D168" s="188"/>
      <c r="E168" s="306"/>
      <c r="F168" s="307"/>
      <c r="G168" s="307"/>
      <c r="H168" s="307"/>
      <c r="I168" s="307"/>
      <c r="J168" s="307"/>
      <c r="K168" s="307"/>
      <c r="L168" s="307"/>
      <c r="M168" s="308"/>
      <c r="N168" s="190"/>
      <c r="O168" s="188"/>
      <c r="P168" s="188"/>
    </row>
    <row r="169" spans="1:16" s="311" customFormat="1">
      <c r="A169" s="188">
        <v>164</v>
      </c>
      <c r="B169" s="188"/>
      <c r="C169" s="316"/>
      <c r="D169" s="316"/>
      <c r="E169" s="326"/>
      <c r="F169" s="307"/>
      <c r="G169" s="307"/>
      <c r="H169" s="307"/>
      <c r="I169" s="307"/>
      <c r="J169" s="307"/>
      <c r="K169" s="307"/>
      <c r="L169" s="307"/>
      <c r="M169" s="308"/>
      <c r="N169" s="309"/>
      <c r="O169" s="316"/>
      <c r="P169" s="316"/>
    </row>
    <row r="170" spans="1:16" s="311" customFormat="1">
      <c r="A170" s="304">
        <v>165</v>
      </c>
      <c r="B170" s="188"/>
      <c r="C170" s="188"/>
      <c r="D170" s="188"/>
      <c r="E170" s="306"/>
      <c r="F170" s="307"/>
      <c r="G170" s="307"/>
      <c r="H170" s="307"/>
      <c r="I170" s="307"/>
      <c r="J170" s="307"/>
      <c r="K170" s="307"/>
      <c r="L170" s="307"/>
      <c r="M170" s="308"/>
      <c r="N170" s="190"/>
      <c r="O170" s="188"/>
      <c r="P170" s="188"/>
    </row>
    <row r="171" spans="1:16" s="311" customFormat="1">
      <c r="A171" s="304">
        <v>166</v>
      </c>
      <c r="B171" s="188"/>
      <c r="C171" s="188"/>
      <c r="D171" s="188"/>
      <c r="E171" s="306"/>
      <c r="F171" s="307"/>
      <c r="G171" s="307"/>
      <c r="H171" s="307"/>
      <c r="I171" s="307"/>
      <c r="J171" s="307"/>
      <c r="K171" s="307"/>
      <c r="L171" s="307"/>
      <c r="M171" s="308"/>
      <c r="N171" s="190"/>
      <c r="O171" s="188"/>
      <c r="P171" s="188"/>
    </row>
    <row r="172" spans="1:16" s="311" customFormat="1">
      <c r="A172" s="304">
        <v>167</v>
      </c>
      <c r="B172" s="188"/>
      <c r="C172" s="189"/>
      <c r="D172" s="189"/>
      <c r="E172" s="312"/>
      <c r="F172" s="307"/>
      <c r="G172" s="307"/>
      <c r="H172" s="307"/>
      <c r="I172" s="307"/>
      <c r="J172" s="307"/>
      <c r="K172" s="307"/>
      <c r="L172" s="307"/>
      <c r="M172" s="308"/>
      <c r="N172" s="190"/>
      <c r="O172" s="188"/>
      <c r="P172" s="188"/>
    </row>
    <row r="173" spans="1:16" s="311" customFormat="1">
      <c r="A173" s="304">
        <v>168</v>
      </c>
      <c r="B173" s="188"/>
      <c r="C173" s="188"/>
      <c r="D173" s="188"/>
      <c r="E173" s="306"/>
      <c r="F173" s="307"/>
      <c r="G173" s="307"/>
      <c r="H173" s="307"/>
      <c r="I173" s="307"/>
      <c r="J173" s="307"/>
      <c r="K173" s="307"/>
      <c r="L173" s="307"/>
      <c r="M173" s="308"/>
      <c r="N173" s="190"/>
      <c r="O173" s="188"/>
      <c r="P173" s="188"/>
    </row>
    <row r="174" spans="1:16" s="311" customFormat="1">
      <c r="A174" s="304">
        <v>169</v>
      </c>
      <c r="B174" s="188"/>
      <c r="C174" s="188"/>
      <c r="D174" s="188"/>
      <c r="E174" s="306"/>
      <c r="F174" s="307"/>
      <c r="G174" s="307"/>
      <c r="H174" s="307"/>
      <c r="I174" s="307"/>
      <c r="J174" s="307"/>
      <c r="K174" s="307"/>
      <c r="L174" s="307"/>
      <c r="M174" s="308"/>
      <c r="N174" s="190"/>
      <c r="O174" s="188"/>
      <c r="P174" s="188"/>
    </row>
    <row r="175" spans="1:16" s="311" customFormat="1">
      <c r="A175" s="304">
        <v>170</v>
      </c>
      <c r="B175" s="188"/>
      <c r="C175" s="188"/>
      <c r="D175" s="188"/>
      <c r="E175" s="306"/>
      <c r="F175" s="307"/>
      <c r="G175" s="307"/>
      <c r="H175" s="307"/>
      <c r="I175" s="307"/>
      <c r="J175" s="307"/>
      <c r="K175" s="307"/>
      <c r="L175" s="307"/>
      <c r="M175" s="308"/>
      <c r="N175" s="190"/>
      <c r="O175" s="188"/>
      <c r="P175" s="188"/>
    </row>
    <row r="176" spans="1:16" s="311" customFormat="1">
      <c r="A176" s="304">
        <v>171</v>
      </c>
      <c r="B176" s="188"/>
      <c r="C176" s="329"/>
      <c r="D176" s="188"/>
      <c r="E176" s="306"/>
      <c r="F176" s="307"/>
      <c r="G176" s="307"/>
      <c r="H176" s="307"/>
      <c r="I176" s="307"/>
      <c r="J176" s="307"/>
      <c r="K176" s="307"/>
      <c r="L176" s="307"/>
      <c r="M176" s="308"/>
      <c r="N176" s="190"/>
      <c r="O176" s="188"/>
      <c r="P176" s="188"/>
    </row>
    <row r="177" spans="1:16" s="311" customFormat="1">
      <c r="A177" s="304">
        <v>172</v>
      </c>
      <c r="B177" s="188"/>
      <c r="C177" s="188"/>
      <c r="D177" s="188"/>
      <c r="E177" s="306"/>
      <c r="F177" s="307"/>
      <c r="G177" s="307"/>
      <c r="H177" s="307"/>
      <c r="I177" s="307"/>
      <c r="J177" s="307"/>
      <c r="K177" s="307"/>
      <c r="L177" s="307"/>
      <c r="M177" s="308"/>
      <c r="N177" s="190"/>
      <c r="O177" s="188"/>
      <c r="P177" s="188"/>
    </row>
    <row r="178" spans="1:16" s="311" customFormat="1">
      <c r="A178" s="304">
        <v>173</v>
      </c>
      <c r="B178" s="188"/>
      <c r="C178" s="188"/>
      <c r="D178" s="188"/>
      <c r="E178" s="306"/>
      <c r="F178" s="307"/>
      <c r="G178" s="307"/>
      <c r="H178" s="307"/>
      <c r="I178" s="307"/>
      <c r="J178" s="307"/>
      <c r="K178" s="307"/>
      <c r="L178" s="307"/>
      <c r="M178" s="308"/>
      <c r="N178" s="190"/>
      <c r="O178" s="188"/>
      <c r="P178" s="188"/>
    </row>
    <row r="179" spans="1:16" s="311" customFormat="1">
      <c r="A179" s="304">
        <v>174</v>
      </c>
      <c r="B179" s="188"/>
      <c r="C179" s="188"/>
      <c r="D179" s="188"/>
      <c r="E179" s="306"/>
      <c r="F179" s="307"/>
      <c r="G179" s="307"/>
      <c r="H179" s="307"/>
      <c r="I179" s="307"/>
      <c r="J179" s="307"/>
      <c r="K179" s="307"/>
      <c r="L179" s="307"/>
      <c r="M179" s="308"/>
      <c r="N179" s="190"/>
      <c r="O179" s="188"/>
      <c r="P179" s="188"/>
    </row>
    <row r="180" spans="1:16" s="311" customFormat="1">
      <c r="A180" s="304">
        <v>175</v>
      </c>
      <c r="B180" s="188"/>
      <c r="C180" s="188"/>
      <c r="D180" s="188"/>
      <c r="E180" s="306"/>
      <c r="F180" s="307"/>
      <c r="G180" s="307"/>
      <c r="H180" s="307"/>
      <c r="I180" s="307"/>
      <c r="J180" s="307"/>
      <c r="K180" s="307"/>
      <c r="L180" s="307"/>
      <c r="M180" s="308"/>
      <c r="N180" s="190"/>
      <c r="O180" s="188"/>
      <c r="P180" s="188"/>
    </row>
    <row r="181" spans="1:16" s="311" customFormat="1">
      <c r="A181" s="304">
        <v>176</v>
      </c>
      <c r="B181" s="188"/>
      <c r="C181" s="188"/>
      <c r="D181" s="188"/>
      <c r="E181" s="306"/>
      <c r="F181" s="307"/>
      <c r="G181" s="307"/>
      <c r="H181" s="307"/>
      <c r="I181" s="307"/>
      <c r="J181" s="307"/>
      <c r="K181" s="307"/>
      <c r="L181" s="307"/>
      <c r="M181" s="308"/>
      <c r="N181" s="309"/>
      <c r="O181" s="316"/>
      <c r="P181" s="316"/>
    </row>
    <row r="182" spans="1:16" s="311" customFormat="1">
      <c r="A182" s="304">
        <v>177</v>
      </c>
      <c r="B182" s="316"/>
      <c r="C182" s="316"/>
      <c r="D182" s="316"/>
      <c r="E182" s="326"/>
      <c r="F182" s="307"/>
      <c r="G182" s="307"/>
      <c r="H182" s="307"/>
      <c r="I182" s="307"/>
      <c r="J182" s="307"/>
      <c r="K182" s="307"/>
      <c r="L182" s="307"/>
      <c r="M182" s="308"/>
      <c r="N182" s="190"/>
      <c r="O182" s="188"/>
      <c r="P182" s="188"/>
    </row>
    <row r="183" spans="1:16" s="311" customFormat="1">
      <c r="A183" s="304">
        <v>178</v>
      </c>
      <c r="B183" s="188"/>
      <c r="C183" s="188"/>
      <c r="D183" s="188"/>
      <c r="E183" s="306"/>
      <c r="F183" s="307"/>
      <c r="G183" s="307"/>
      <c r="H183" s="307"/>
      <c r="I183" s="307"/>
      <c r="J183" s="307"/>
      <c r="K183" s="307"/>
      <c r="L183" s="307"/>
      <c r="M183" s="308"/>
      <c r="N183" s="190"/>
      <c r="O183" s="188"/>
      <c r="P183" s="188"/>
    </row>
    <row r="184" spans="1:16" s="311" customFormat="1">
      <c r="A184" s="313">
        <v>179</v>
      </c>
      <c r="B184" s="316"/>
      <c r="C184" s="316"/>
      <c r="D184" s="316"/>
      <c r="E184" s="326"/>
      <c r="F184" s="307"/>
      <c r="G184" s="307"/>
      <c r="H184" s="307"/>
      <c r="I184" s="307"/>
      <c r="J184" s="307"/>
      <c r="K184" s="307"/>
      <c r="L184" s="307"/>
      <c r="M184" s="308"/>
      <c r="N184" s="190"/>
      <c r="O184" s="316"/>
      <c r="P184" s="316"/>
    </row>
    <row r="185" spans="1:16" s="311" customFormat="1">
      <c r="A185" s="188">
        <v>180</v>
      </c>
      <c r="B185" s="188"/>
      <c r="C185" s="188"/>
      <c r="D185" s="188"/>
      <c r="E185" s="306"/>
      <c r="F185" s="307"/>
      <c r="G185" s="307"/>
      <c r="H185" s="307"/>
      <c r="I185" s="307"/>
      <c r="J185" s="307"/>
      <c r="K185" s="307"/>
      <c r="L185" s="307"/>
      <c r="M185" s="308"/>
      <c r="N185" s="190"/>
      <c r="O185" s="310"/>
      <c r="P185" s="190"/>
    </row>
    <row r="186" spans="1:16" s="311" customFormat="1">
      <c r="A186" s="188">
        <v>181</v>
      </c>
      <c r="B186" s="188"/>
      <c r="C186" s="188"/>
      <c r="D186" s="188"/>
      <c r="E186" s="306"/>
      <c r="F186" s="307"/>
      <c r="G186" s="307"/>
      <c r="H186" s="307"/>
      <c r="I186" s="307"/>
      <c r="J186" s="307"/>
      <c r="K186" s="307"/>
      <c r="L186" s="307"/>
      <c r="M186" s="308"/>
      <c r="N186" s="190"/>
      <c r="O186" s="188"/>
      <c r="P186" s="188"/>
    </row>
    <row r="187" spans="1:16" s="311" customFormat="1">
      <c r="A187" s="188">
        <v>182</v>
      </c>
      <c r="B187" s="188"/>
      <c r="C187" s="188"/>
      <c r="D187" s="188"/>
      <c r="E187" s="306"/>
      <c r="F187" s="307"/>
      <c r="G187" s="307"/>
      <c r="H187" s="307"/>
      <c r="I187" s="307"/>
      <c r="J187" s="307"/>
      <c r="K187" s="307"/>
      <c r="L187" s="307"/>
      <c r="M187" s="308"/>
      <c r="N187" s="190"/>
      <c r="O187" s="188"/>
      <c r="P187" s="188"/>
    </row>
    <row r="188" spans="1:16" s="311" customFormat="1">
      <c r="A188" s="188">
        <v>183</v>
      </c>
      <c r="B188" s="188"/>
      <c r="C188" s="188"/>
      <c r="D188" s="188"/>
      <c r="E188" s="306"/>
      <c r="F188" s="307"/>
      <c r="G188" s="307"/>
      <c r="H188" s="307"/>
      <c r="I188" s="307"/>
      <c r="J188" s="307"/>
      <c r="K188" s="307"/>
      <c r="L188" s="307"/>
      <c r="M188" s="308"/>
      <c r="N188" s="190"/>
      <c r="O188" s="188"/>
      <c r="P188" s="188"/>
    </row>
    <row r="189" spans="1:16" s="311" customFormat="1">
      <c r="A189" s="188">
        <v>184</v>
      </c>
      <c r="B189" s="188"/>
      <c r="C189" s="188"/>
      <c r="D189" s="188"/>
      <c r="E189" s="306"/>
      <c r="F189" s="307"/>
      <c r="G189" s="307"/>
      <c r="H189" s="307"/>
      <c r="I189" s="307"/>
      <c r="J189" s="307"/>
      <c r="K189" s="307"/>
      <c r="L189" s="307"/>
      <c r="M189" s="308"/>
      <c r="N189" s="190"/>
      <c r="O189" s="188"/>
      <c r="P189" s="188"/>
    </row>
    <row r="190" spans="1:16" s="311" customFormat="1">
      <c r="A190" s="188">
        <v>185</v>
      </c>
      <c r="B190" s="188"/>
      <c r="C190" s="188"/>
      <c r="D190" s="329"/>
      <c r="E190" s="306"/>
      <c r="F190" s="307"/>
      <c r="G190" s="307"/>
      <c r="H190" s="307"/>
      <c r="I190" s="307"/>
      <c r="J190" s="307"/>
      <c r="K190" s="307"/>
      <c r="L190" s="307"/>
      <c r="M190" s="308"/>
      <c r="N190" s="190"/>
      <c r="O190" s="188"/>
      <c r="P190" s="188"/>
    </row>
    <row r="191" spans="1:16" s="311" customFormat="1">
      <c r="A191" s="188">
        <v>186</v>
      </c>
      <c r="B191" s="188"/>
      <c r="C191" s="188"/>
      <c r="D191" s="188"/>
      <c r="E191" s="306"/>
      <c r="F191" s="307"/>
      <c r="G191" s="307"/>
      <c r="H191" s="307"/>
      <c r="I191" s="307"/>
      <c r="J191" s="307"/>
      <c r="K191" s="307"/>
      <c r="L191" s="307"/>
      <c r="M191" s="308"/>
      <c r="N191" s="190"/>
      <c r="O191" s="188"/>
      <c r="P191" s="188"/>
    </row>
    <row r="192" spans="1:16" s="311" customFormat="1">
      <c r="A192" s="188">
        <v>187</v>
      </c>
      <c r="B192" s="188"/>
      <c r="C192" s="188"/>
      <c r="D192" s="188"/>
      <c r="E192" s="306"/>
      <c r="F192" s="307"/>
      <c r="G192" s="307"/>
      <c r="H192" s="307"/>
      <c r="I192" s="307"/>
      <c r="J192" s="307"/>
      <c r="K192" s="307"/>
      <c r="L192" s="307"/>
      <c r="M192" s="308"/>
      <c r="N192" s="190"/>
      <c r="O192" s="188"/>
      <c r="P192" s="188"/>
    </row>
    <row r="193" spans="1:16" s="311" customFormat="1">
      <c r="A193" s="188">
        <v>188</v>
      </c>
      <c r="B193" s="188"/>
      <c r="C193" s="188"/>
      <c r="D193" s="188"/>
      <c r="E193" s="306"/>
      <c r="F193" s="307"/>
      <c r="G193" s="307"/>
      <c r="H193" s="307"/>
      <c r="I193" s="307"/>
      <c r="J193" s="307"/>
      <c r="K193" s="307"/>
      <c r="L193" s="307"/>
      <c r="M193" s="308"/>
      <c r="N193" s="190"/>
      <c r="O193" s="188"/>
      <c r="P193" s="188"/>
    </row>
    <row r="194" spans="1:16" s="311" customFormat="1">
      <c r="A194" s="188">
        <v>189</v>
      </c>
      <c r="B194" s="188"/>
      <c r="C194" s="188"/>
      <c r="D194" s="188"/>
      <c r="E194" s="306"/>
      <c r="F194" s="307"/>
      <c r="G194" s="307"/>
      <c r="H194" s="307"/>
      <c r="I194" s="307"/>
      <c r="J194" s="307"/>
      <c r="K194" s="307"/>
      <c r="L194" s="307"/>
      <c r="M194" s="308"/>
      <c r="N194" s="190"/>
      <c r="O194" s="188"/>
      <c r="P194" s="188"/>
    </row>
    <row r="195" spans="1:16" s="311" customFormat="1">
      <c r="A195" s="188">
        <v>190</v>
      </c>
      <c r="B195" s="188"/>
      <c r="C195" s="188"/>
      <c r="D195" s="188"/>
      <c r="E195" s="306"/>
      <c r="F195" s="307"/>
      <c r="G195" s="307"/>
      <c r="H195" s="307"/>
      <c r="I195" s="307"/>
      <c r="J195" s="307"/>
      <c r="K195" s="307"/>
      <c r="L195" s="307"/>
      <c r="M195" s="308"/>
      <c r="N195" s="190"/>
      <c r="O195" s="188"/>
      <c r="P195" s="188"/>
    </row>
    <row r="196" spans="1:16" s="311" customFormat="1">
      <c r="A196" s="188">
        <v>191</v>
      </c>
      <c r="B196" s="188"/>
      <c r="C196" s="188"/>
      <c r="D196" s="188"/>
      <c r="E196" s="306"/>
      <c r="F196" s="307"/>
      <c r="G196" s="307"/>
      <c r="H196" s="307"/>
      <c r="I196" s="307"/>
      <c r="J196" s="307"/>
      <c r="K196" s="307"/>
      <c r="L196" s="307"/>
      <c r="M196" s="308"/>
      <c r="N196" s="190"/>
      <c r="O196" s="188"/>
      <c r="P196" s="188"/>
    </row>
    <row r="197" spans="1:16" s="311" customFormat="1">
      <c r="A197" s="188">
        <v>192</v>
      </c>
      <c r="B197" s="188"/>
      <c r="C197" s="188"/>
      <c r="D197" s="188"/>
      <c r="E197" s="306"/>
      <c r="F197" s="307"/>
      <c r="G197" s="307"/>
      <c r="H197" s="307"/>
      <c r="I197" s="307"/>
      <c r="J197" s="307"/>
      <c r="K197" s="307"/>
      <c r="L197" s="307"/>
      <c r="M197" s="308"/>
      <c r="N197" s="190"/>
      <c r="O197" s="188"/>
      <c r="P197" s="188"/>
    </row>
    <row r="198" spans="1:16" s="311" customFormat="1">
      <c r="A198" s="188">
        <v>193</v>
      </c>
      <c r="B198" s="188"/>
      <c r="C198" s="188"/>
      <c r="D198" s="188"/>
      <c r="E198" s="306"/>
      <c r="F198" s="307"/>
      <c r="G198" s="307"/>
      <c r="H198" s="307"/>
      <c r="I198" s="307"/>
      <c r="J198" s="307"/>
      <c r="K198" s="307"/>
      <c r="L198" s="307"/>
      <c r="M198" s="308"/>
      <c r="N198" s="190"/>
      <c r="O198" s="188"/>
      <c r="P198" s="188"/>
    </row>
    <row r="199" spans="1:16" s="311" customFormat="1">
      <c r="A199" s="316">
        <v>194</v>
      </c>
      <c r="B199" s="316"/>
      <c r="C199" s="316"/>
      <c r="D199" s="316"/>
      <c r="E199" s="326"/>
      <c r="F199" s="307"/>
      <c r="G199" s="307"/>
      <c r="H199" s="307"/>
      <c r="I199" s="307"/>
      <c r="J199" s="307"/>
      <c r="K199" s="307"/>
      <c r="L199" s="307"/>
      <c r="M199" s="308"/>
      <c r="N199" s="309"/>
      <c r="O199" s="316"/>
      <c r="P199" s="316"/>
    </row>
    <row r="200" spans="1:16" s="311" customFormat="1">
      <c r="A200" s="188">
        <v>195</v>
      </c>
      <c r="B200" s="188"/>
      <c r="C200" s="188"/>
      <c r="D200" s="188"/>
      <c r="E200" s="306"/>
      <c r="F200" s="307"/>
      <c r="G200" s="307"/>
      <c r="H200" s="307"/>
      <c r="I200" s="307"/>
      <c r="J200" s="307"/>
      <c r="K200" s="307"/>
      <c r="L200" s="307"/>
      <c r="M200" s="308"/>
      <c r="N200" s="190"/>
      <c r="O200" s="188"/>
      <c r="P200" s="188"/>
    </row>
    <row r="201" spans="1:16" s="311" customFormat="1">
      <c r="A201" s="188">
        <v>196</v>
      </c>
      <c r="B201" s="188"/>
      <c r="C201" s="188"/>
      <c r="D201" s="188"/>
      <c r="E201" s="306"/>
      <c r="F201" s="307"/>
      <c r="G201" s="307"/>
      <c r="H201" s="307"/>
      <c r="I201" s="307"/>
      <c r="J201" s="307"/>
      <c r="K201" s="307"/>
      <c r="L201" s="307"/>
      <c r="M201" s="308"/>
      <c r="N201" s="190"/>
      <c r="O201" s="188"/>
      <c r="P201" s="188"/>
    </row>
    <row r="202" spans="1:16" s="311" customFormat="1">
      <c r="A202" s="188">
        <v>197</v>
      </c>
      <c r="B202" s="188"/>
      <c r="C202" s="188"/>
      <c r="D202" s="188"/>
      <c r="E202" s="306"/>
      <c r="F202" s="307"/>
      <c r="G202" s="307"/>
      <c r="H202" s="307"/>
      <c r="I202" s="307"/>
      <c r="J202" s="307"/>
      <c r="K202" s="307"/>
      <c r="L202" s="307"/>
      <c r="M202" s="308"/>
      <c r="N202" s="190"/>
      <c r="O202" s="188"/>
      <c r="P202" s="188"/>
    </row>
    <row r="203" spans="1:16" s="311" customFormat="1">
      <c r="A203" s="188">
        <v>198</v>
      </c>
      <c r="B203" s="188"/>
      <c r="C203" s="188"/>
      <c r="D203" s="188"/>
      <c r="E203" s="306"/>
      <c r="F203" s="307"/>
      <c r="G203" s="307"/>
      <c r="H203" s="307"/>
      <c r="I203" s="307"/>
      <c r="J203" s="307"/>
      <c r="K203" s="307"/>
      <c r="L203" s="307"/>
      <c r="M203" s="308"/>
      <c r="N203" s="190"/>
      <c r="O203" s="188"/>
      <c r="P203" s="188"/>
    </row>
    <row r="204" spans="1:16" s="311" customFormat="1">
      <c r="A204" s="188">
        <v>199</v>
      </c>
      <c r="B204" s="188"/>
      <c r="C204" s="188"/>
      <c r="D204" s="188"/>
      <c r="E204" s="306"/>
      <c r="F204" s="307"/>
      <c r="G204" s="307"/>
      <c r="H204" s="307"/>
      <c r="I204" s="307"/>
      <c r="J204" s="307"/>
      <c r="K204" s="307"/>
      <c r="L204" s="307"/>
      <c r="M204" s="308"/>
      <c r="N204" s="190"/>
      <c r="O204" s="188"/>
      <c r="P204" s="188"/>
    </row>
    <row r="205" spans="1:16">
      <c r="M205" s="56"/>
    </row>
    <row r="206" spans="1:16">
      <c r="M206" s="56"/>
    </row>
    <row r="208" spans="1:16">
      <c r="N208" s="24">
        <v>132613.01</v>
      </c>
    </row>
    <row r="209" spans="14:14">
      <c r="N209" s="24">
        <v>132594.57999999999</v>
      </c>
    </row>
    <row r="210" spans="14:14">
      <c r="N210" s="24">
        <f>N208-N209</f>
        <v>18.430000000022119</v>
      </c>
    </row>
  </sheetData>
  <mergeCells count="2">
    <mergeCell ref="A1:P1"/>
    <mergeCell ref="A3:K3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2B0F2-641D-4F53-BA0F-B63DE3F29F26}">
  <dimension ref="A1:U79"/>
  <sheetViews>
    <sheetView workbookViewId="0">
      <pane ySplit="3" topLeftCell="A35" activePane="bottomLeft" state="frozen"/>
      <selection pane="bottomLeft" activeCell="D16" sqref="D16"/>
    </sheetView>
  </sheetViews>
  <sheetFormatPr defaultRowHeight="15"/>
  <cols>
    <col min="2" max="2" width="16.28515625" customWidth="1"/>
    <col min="3" max="3" width="38.85546875" bestFit="1" customWidth="1"/>
    <col min="4" max="4" width="15.5703125" customWidth="1"/>
    <col min="5" max="5" width="12.28515625" style="216" customWidth="1"/>
    <col min="6" max="6" width="12.85546875" style="216" customWidth="1"/>
    <col min="7" max="7" width="11.42578125" style="216" bestFit="1" customWidth="1"/>
    <col min="8" max="8" width="12.5703125" style="216" customWidth="1"/>
    <col min="9" max="10" width="9.140625" style="216"/>
    <col min="11" max="11" width="18.7109375" style="216" customWidth="1"/>
    <col min="12" max="12" width="24.140625" style="216" customWidth="1"/>
    <col min="13" max="13" width="16.5703125" style="216" customWidth="1"/>
    <col min="14" max="14" width="19.85546875" style="216" customWidth="1"/>
    <col min="15" max="15" width="13.42578125" style="216" customWidth="1"/>
    <col min="16" max="21" width="9.140625" style="216"/>
  </cols>
  <sheetData>
    <row r="1" spans="1:15" ht="15.75">
      <c r="A1" s="317" t="s">
        <v>283</v>
      </c>
      <c r="B1" s="317"/>
      <c r="C1" s="317"/>
      <c r="D1" s="317"/>
      <c r="E1" s="405"/>
      <c r="F1" s="405"/>
      <c r="G1" s="405"/>
      <c r="H1" s="405"/>
      <c r="I1" s="405"/>
      <c r="J1" s="405"/>
      <c r="K1" s="405"/>
      <c r="L1" s="405"/>
      <c r="M1" s="405"/>
      <c r="N1" s="405"/>
      <c r="O1" s="405"/>
    </row>
    <row r="2" spans="1:15" ht="26.25" customHeight="1">
      <c r="A2" s="76" t="s">
        <v>102</v>
      </c>
      <c r="B2" s="96" t="s">
        <v>103</v>
      </c>
      <c r="C2" s="96" t="s">
        <v>196</v>
      </c>
      <c r="D2" s="96" t="s">
        <v>198</v>
      </c>
      <c r="E2" s="406" t="s">
        <v>106</v>
      </c>
      <c r="F2" s="406" t="s">
        <v>107</v>
      </c>
      <c r="G2" s="407" t="s">
        <v>108</v>
      </c>
      <c r="H2" s="406" t="s">
        <v>109</v>
      </c>
      <c r="I2" s="406" t="s">
        <v>107</v>
      </c>
      <c r="J2" s="407" t="s">
        <v>108</v>
      </c>
      <c r="K2" s="408" t="s">
        <v>110</v>
      </c>
      <c r="L2" s="409" t="s">
        <v>199</v>
      </c>
      <c r="M2" s="410" t="s">
        <v>149</v>
      </c>
      <c r="N2" s="406" t="s">
        <v>113</v>
      </c>
      <c r="O2" s="406" t="s">
        <v>200</v>
      </c>
    </row>
    <row r="3" spans="1:15" ht="15.75">
      <c r="A3" s="318" t="s">
        <v>114</v>
      </c>
      <c r="B3" s="318"/>
      <c r="C3" s="318"/>
      <c r="D3" s="318"/>
      <c r="E3" s="411"/>
      <c r="F3" s="411"/>
      <c r="G3" s="411"/>
      <c r="H3" s="411"/>
      <c r="I3" s="411"/>
      <c r="J3" s="411"/>
      <c r="K3" s="412">
        <v>207460.95</v>
      </c>
      <c r="L3" s="413"/>
      <c r="M3" s="413"/>
      <c r="N3" s="413"/>
      <c r="O3" s="414"/>
    </row>
    <row r="4" spans="1:15">
      <c r="A4" s="188">
        <v>1</v>
      </c>
      <c r="B4" s="271" t="s">
        <v>284</v>
      </c>
      <c r="C4" s="189" t="s">
        <v>285</v>
      </c>
      <c r="D4" s="189" t="s">
        <v>286</v>
      </c>
      <c r="E4" s="415">
        <v>0</v>
      </c>
      <c r="F4" s="415"/>
      <c r="G4" s="415">
        <f>E4*F4</f>
        <v>0</v>
      </c>
      <c r="H4" s="415">
        <v>4.87</v>
      </c>
      <c r="I4" s="415">
        <v>102.77</v>
      </c>
      <c r="J4" s="415">
        <f>H4*I4</f>
        <v>500.48989999999998</v>
      </c>
      <c r="K4" s="415">
        <f>G4+J4</f>
        <v>500.48989999999998</v>
      </c>
      <c r="L4" s="416">
        <v>0</v>
      </c>
      <c r="M4" s="416">
        <f>K3+L4-K4</f>
        <v>206960.46010000003</v>
      </c>
      <c r="N4" s="416"/>
      <c r="O4" s="416"/>
    </row>
    <row r="5" spans="1:15">
      <c r="A5" s="19">
        <v>2</v>
      </c>
      <c r="B5" s="271" t="s">
        <v>160</v>
      </c>
      <c r="C5" s="189" t="s">
        <v>287</v>
      </c>
      <c r="D5" s="189" t="s">
        <v>288</v>
      </c>
      <c r="E5" s="415">
        <v>1177.95</v>
      </c>
      <c r="F5" s="415">
        <v>91.26</v>
      </c>
      <c r="G5" s="415">
        <f t="shared" ref="G5:G56" si="0">E5*F5</f>
        <v>107499.717</v>
      </c>
      <c r="H5" s="415">
        <v>0</v>
      </c>
      <c r="I5" s="415">
        <v>0</v>
      </c>
      <c r="J5" s="415">
        <f t="shared" ref="J5:J56" si="1">H5*I5</f>
        <v>0</v>
      </c>
      <c r="K5" s="415">
        <f t="shared" ref="K5:K56" si="2">G5+J5</f>
        <v>107499.717</v>
      </c>
      <c r="L5" s="416">
        <v>0</v>
      </c>
      <c r="M5" s="415">
        <f>M4+L5-K5</f>
        <v>99460.743100000022</v>
      </c>
      <c r="N5" s="415"/>
      <c r="O5" s="415"/>
    </row>
    <row r="6" spans="1:15">
      <c r="A6" s="19">
        <v>3</v>
      </c>
      <c r="B6" s="271" t="s">
        <v>160</v>
      </c>
      <c r="C6" s="189" t="s">
        <v>289</v>
      </c>
      <c r="D6" s="189" t="s">
        <v>290</v>
      </c>
      <c r="E6" s="415">
        <v>32.369999999999997</v>
      </c>
      <c r="F6" s="415">
        <v>95.78</v>
      </c>
      <c r="G6" s="415">
        <f t="shared" si="0"/>
        <v>3100.3986</v>
      </c>
      <c r="H6" s="415">
        <v>0</v>
      </c>
      <c r="I6" s="415">
        <v>0</v>
      </c>
      <c r="J6" s="415">
        <f t="shared" si="1"/>
        <v>0</v>
      </c>
      <c r="K6" s="415">
        <f t="shared" si="2"/>
        <v>3100.3986</v>
      </c>
      <c r="L6" s="416">
        <v>0</v>
      </c>
      <c r="M6" s="415">
        <f t="shared" ref="M6:M69" si="3">M5+L6-K6</f>
        <v>96360.344500000021</v>
      </c>
      <c r="N6" s="415"/>
      <c r="O6" s="415"/>
    </row>
    <row r="7" spans="1:15">
      <c r="A7" s="188">
        <v>4</v>
      </c>
      <c r="B7" s="271" t="s">
        <v>160</v>
      </c>
      <c r="C7" s="189" t="s">
        <v>291</v>
      </c>
      <c r="D7" s="189" t="s">
        <v>292</v>
      </c>
      <c r="E7" s="415">
        <v>700</v>
      </c>
      <c r="F7" s="415">
        <v>96.23</v>
      </c>
      <c r="G7" s="415">
        <f t="shared" si="0"/>
        <v>67361</v>
      </c>
      <c r="H7" s="415">
        <v>0</v>
      </c>
      <c r="I7" s="415">
        <v>0</v>
      </c>
      <c r="J7" s="415">
        <f t="shared" si="1"/>
        <v>0</v>
      </c>
      <c r="K7" s="415">
        <f t="shared" si="2"/>
        <v>67361</v>
      </c>
      <c r="L7" s="416">
        <v>0</v>
      </c>
      <c r="M7" s="415">
        <f t="shared" si="3"/>
        <v>28999.344500000021</v>
      </c>
      <c r="N7" s="415"/>
      <c r="O7" s="415"/>
    </row>
    <row r="8" spans="1:15">
      <c r="A8" s="19">
        <v>5</v>
      </c>
      <c r="B8" s="271" t="s">
        <v>162</v>
      </c>
      <c r="C8" s="189" t="s">
        <v>291</v>
      </c>
      <c r="D8" s="189" t="s">
        <v>292</v>
      </c>
      <c r="E8" s="415">
        <v>290</v>
      </c>
      <c r="F8" s="415">
        <v>96.23</v>
      </c>
      <c r="G8" s="415">
        <f t="shared" si="0"/>
        <v>27906.7</v>
      </c>
      <c r="H8" s="415">
        <v>0</v>
      </c>
      <c r="I8" s="415">
        <v>0</v>
      </c>
      <c r="J8" s="415">
        <f t="shared" si="1"/>
        <v>0</v>
      </c>
      <c r="K8" s="415">
        <f t="shared" si="2"/>
        <v>27906.7</v>
      </c>
      <c r="L8" s="416">
        <v>0</v>
      </c>
      <c r="M8" s="415">
        <f t="shared" si="3"/>
        <v>1092.6445000000203</v>
      </c>
      <c r="N8" s="415"/>
      <c r="O8" s="415"/>
    </row>
    <row r="9" spans="1:15">
      <c r="A9" s="19">
        <v>6</v>
      </c>
      <c r="B9" s="271" t="s">
        <v>163</v>
      </c>
      <c r="C9" s="189" t="s">
        <v>291</v>
      </c>
      <c r="D9" s="189" t="s">
        <v>292</v>
      </c>
      <c r="E9" s="415">
        <v>500</v>
      </c>
      <c r="F9" s="415">
        <v>96.23</v>
      </c>
      <c r="G9" s="415">
        <f t="shared" si="0"/>
        <v>48115</v>
      </c>
      <c r="H9" s="415">
        <v>0</v>
      </c>
      <c r="I9" s="415">
        <v>0</v>
      </c>
      <c r="J9" s="415">
        <f t="shared" si="1"/>
        <v>0</v>
      </c>
      <c r="K9" s="415">
        <f t="shared" si="2"/>
        <v>48115</v>
      </c>
      <c r="L9" s="416">
        <v>200000</v>
      </c>
      <c r="M9" s="415">
        <f t="shared" si="3"/>
        <v>152977.64450000002</v>
      </c>
      <c r="N9" s="415"/>
      <c r="O9" s="415"/>
    </row>
    <row r="10" spans="1:15">
      <c r="A10" s="188">
        <v>7</v>
      </c>
      <c r="B10" s="271" t="s">
        <v>163</v>
      </c>
      <c r="C10" s="189" t="s">
        <v>293</v>
      </c>
      <c r="D10" s="189" t="s">
        <v>294</v>
      </c>
      <c r="E10" s="415">
        <v>51.64</v>
      </c>
      <c r="F10" s="415">
        <v>96.83</v>
      </c>
      <c r="G10" s="415">
        <f t="shared" si="0"/>
        <v>5000.3011999999999</v>
      </c>
      <c r="H10" s="415">
        <v>0</v>
      </c>
      <c r="I10" s="415">
        <v>0</v>
      </c>
      <c r="J10" s="415">
        <f t="shared" si="1"/>
        <v>0</v>
      </c>
      <c r="K10" s="415">
        <f t="shared" si="2"/>
        <v>5000.3011999999999</v>
      </c>
      <c r="L10" s="416">
        <v>0</v>
      </c>
      <c r="M10" s="417">
        <f t="shared" si="3"/>
        <v>147977.34330000004</v>
      </c>
      <c r="N10" s="417"/>
      <c r="O10" s="417"/>
    </row>
    <row r="11" spans="1:15">
      <c r="A11" s="19">
        <v>8</v>
      </c>
      <c r="B11" s="271" t="s">
        <v>295</v>
      </c>
      <c r="C11" s="189" t="s">
        <v>296</v>
      </c>
      <c r="D11" s="189" t="s">
        <v>297</v>
      </c>
      <c r="E11" s="415">
        <v>31.34</v>
      </c>
      <c r="F11" s="415">
        <v>95.73</v>
      </c>
      <c r="G11" s="415">
        <f t="shared" si="0"/>
        <v>3000.1782000000003</v>
      </c>
      <c r="H11" s="415">
        <v>0</v>
      </c>
      <c r="I11" s="415">
        <v>0</v>
      </c>
      <c r="J11" s="415">
        <f t="shared" si="1"/>
        <v>0</v>
      </c>
      <c r="K11" s="415">
        <f t="shared" si="2"/>
        <v>3000.1782000000003</v>
      </c>
      <c r="L11" s="416">
        <v>3260000</v>
      </c>
      <c r="M11" s="417">
        <f t="shared" si="3"/>
        <v>3404977.1650999999</v>
      </c>
      <c r="N11" s="417"/>
      <c r="O11" s="417"/>
    </row>
    <row r="12" spans="1:15">
      <c r="A12" s="19">
        <v>9</v>
      </c>
      <c r="B12" s="271" t="s">
        <v>295</v>
      </c>
      <c r="C12" s="189" t="s">
        <v>298</v>
      </c>
      <c r="D12" s="189" t="s">
        <v>299</v>
      </c>
      <c r="E12" s="415">
        <v>11029.35</v>
      </c>
      <c r="F12" s="415">
        <v>91.14</v>
      </c>
      <c r="G12" s="415">
        <f t="shared" si="0"/>
        <v>1005214.959</v>
      </c>
      <c r="H12" s="415">
        <v>0</v>
      </c>
      <c r="I12" s="415">
        <v>0</v>
      </c>
      <c r="J12" s="415">
        <f t="shared" si="1"/>
        <v>0</v>
      </c>
      <c r="K12" s="415">
        <f t="shared" si="2"/>
        <v>1005214.959</v>
      </c>
      <c r="L12" s="416">
        <v>0</v>
      </c>
      <c r="M12" s="417">
        <f t="shared" si="3"/>
        <v>2399762.2061000001</v>
      </c>
      <c r="N12" s="417"/>
      <c r="O12" s="417"/>
    </row>
    <row r="13" spans="1:15">
      <c r="A13" s="188">
        <v>10</v>
      </c>
      <c r="B13" s="271" t="s">
        <v>295</v>
      </c>
      <c r="C13" s="189" t="s">
        <v>300</v>
      </c>
      <c r="D13" s="189" t="s">
        <v>301</v>
      </c>
      <c r="E13" s="418">
        <v>16791.87</v>
      </c>
      <c r="F13" s="418">
        <v>96.42</v>
      </c>
      <c r="G13" s="418">
        <f t="shared" si="0"/>
        <v>1619072.1054</v>
      </c>
      <c r="H13" s="418">
        <v>0</v>
      </c>
      <c r="I13" s="418">
        <v>0</v>
      </c>
      <c r="J13" s="418">
        <f t="shared" si="1"/>
        <v>0</v>
      </c>
      <c r="K13" s="418">
        <f t="shared" si="2"/>
        <v>1619072.1054</v>
      </c>
      <c r="L13" s="416">
        <v>0</v>
      </c>
      <c r="M13" s="415">
        <f t="shared" si="3"/>
        <v>780690.10070000007</v>
      </c>
      <c r="N13" s="415"/>
      <c r="O13" s="415"/>
    </row>
    <row r="14" spans="1:15">
      <c r="A14" s="19">
        <v>11</v>
      </c>
      <c r="B14" s="271" t="s">
        <v>295</v>
      </c>
      <c r="C14" s="189" t="s">
        <v>302</v>
      </c>
      <c r="D14" s="189" t="s">
        <v>303</v>
      </c>
      <c r="E14" s="415">
        <v>0</v>
      </c>
      <c r="F14" s="415"/>
      <c r="G14" s="416">
        <f t="shared" si="0"/>
        <v>0</v>
      </c>
      <c r="H14" s="415">
        <v>4.3</v>
      </c>
      <c r="I14" s="415">
        <v>107.46</v>
      </c>
      <c r="J14" s="415">
        <f t="shared" si="1"/>
        <v>462.07799999999997</v>
      </c>
      <c r="K14" s="415">
        <f t="shared" si="2"/>
        <v>462.07799999999997</v>
      </c>
      <c r="L14" s="416">
        <v>0</v>
      </c>
      <c r="M14" s="415">
        <f t="shared" si="3"/>
        <v>780228.02270000009</v>
      </c>
      <c r="N14" s="415"/>
      <c r="O14" s="415"/>
    </row>
    <row r="15" spans="1:15">
      <c r="A15" s="19">
        <v>12</v>
      </c>
      <c r="B15" s="271" t="s">
        <v>295</v>
      </c>
      <c r="C15" s="189" t="s">
        <v>304</v>
      </c>
      <c r="D15" s="189" t="s">
        <v>288</v>
      </c>
      <c r="E15" s="415">
        <v>1066.18</v>
      </c>
      <c r="F15" s="415">
        <v>91.26</v>
      </c>
      <c r="G15" s="415">
        <f t="shared" si="0"/>
        <v>97299.586800000005</v>
      </c>
      <c r="H15" s="415">
        <v>0</v>
      </c>
      <c r="I15" s="415">
        <v>0</v>
      </c>
      <c r="J15" s="415">
        <f t="shared" si="1"/>
        <v>0</v>
      </c>
      <c r="K15" s="415">
        <f t="shared" si="2"/>
        <v>97299.586800000005</v>
      </c>
      <c r="L15" s="416">
        <v>0</v>
      </c>
      <c r="M15" s="415">
        <f t="shared" si="3"/>
        <v>682928.43590000004</v>
      </c>
      <c r="N15" s="415"/>
      <c r="O15" s="415"/>
    </row>
    <row r="16" spans="1:15">
      <c r="A16" s="188">
        <v>13</v>
      </c>
      <c r="B16" s="271" t="s">
        <v>295</v>
      </c>
      <c r="C16" s="189" t="s">
        <v>305</v>
      </c>
      <c r="D16" s="189" t="s">
        <v>306</v>
      </c>
      <c r="E16" s="415">
        <v>3130.05</v>
      </c>
      <c r="F16" s="415">
        <v>91.93</v>
      </c>
      <c r="G16" s="415">
        <f t="shared" si="0"/>
        <v>287745.49650000007</v>
      </c>
      <c r="H16" s="415">
        <v>0</v>
      </c>
      <c r="I16" s="415">
        <v>0</v>
      </c>
      <c r="J16" s="415">
        <f t="shared" si="1"/>
        <v>0</v>
      </c>
      <c r="K16" s="415">
        <f t="shared" si="2"/>
        <v>287745.49650000007</v>
      </c>
      <c r="L16" s="416">
        <v>0</v>
      </c>
      <c r="M16" s="415">
        <f t="shared" si="3"/>
        <v>395182.93939999997</v>
      </c>
      <c r="N16" s="415"/>
      <c r="O16" s="415"/>
    </row>
    <row r="17" spans="1:15">
      <c r="A17" s="19">
        <v>14</v>
      </c>
      <c r="B17" s="271" t="s">
        <v>243</v>
      </c>
      <c r="C17" s="189" t="s">
        <v>285</v>
      </c>
      <c r="D17" s="189" t="s">
        <v>286</v>
      </c>
      <c r="E17" s="415">
        <v>20</v>
      </c>
      <c r="F17" s="415">
        <v>90.88</v>
      </c>
      <c r="G17" s="415">
        <f t="shared" si="0"/>
        <v>1817.6</v>
      </c>
      <c r="H17" s="415">
        <v>4.87</v>
      </c>
      <c r="I17" s="415">
        <v>102.77</v>
      </c>
      <c r="J17" s="415">
        <f t="shared" si="1"/>
        <v>500.48989999999998</v>
      </c>
      <c r="K17" s="415">
        <f t="shared" si="2"/>
        <v>2318.0898999999999</v>
      </c>
      <c r="L17" s="416">
        <v>0</v>
      </c>
      <c r="M17" s="415">
        <f t="shared" si="3"/>
        <v>392864.84949999995</v>
      </c>
      <c r="N17" s="415"/>
      <c r="O17" s="415"/>
    </row>
    <row r="18" spans="1:15">
      <c r="A18" s="19">
        <v>15</v>
      </c>
      <c r="B18" s="271" t="s">
        <v>307</v>
      </c>
      <c r="C18" s="189" t="s">
        <v>285</v>
      </c>
      <c r="D18" s="189" t="s">
        <v>286</v>
      </c>
      <c r="E18" s="415">
        <v>20</v>
      </c>
      <c r="F18" s="415">
        <v>90.88</v>
      </c>
      <c r="G18" s="415">
        <f t="shared" si="0"/>
        <v>1817.6</v>
      </c>
      <c r="H18" s="415">
        <v>0</v>
      </c>
      <c r="I18" s="415">
        <v>0</v>
      </c>
      <c r="J18" s="415">
        <f t="shared" si="1"/>
        <v>0</v>
      </c>
      <c r="K18" s="415">
        <f t="shared" si="2"/>
        <v>1817.6</v>
      </c>
      <c r="L18" s="416">
        <v>0</v>
      </c>
      <c r="M18" s="415">
        <f t="shared" si="3"/>
        <v>391047.24949999998</v>
      </c>
      <c r="N18" s="415"/>
      <c r="O18" s="415"/>
    </row>
    <row r="19" spans="1:15">
      <c r="A19" s="188">
        <v>16</v>
      </c>
      <c r="B19" s="271" t="s">
        <v>186</v>
      </c>
      <c r="C19" s="189" t="s">
        <v>285</v>
      </c>
      <c r="D19" s="189" t="s">
        <v>286</v>
      </c>
      <c r="E19" s="415">
        <v>20</v>
      </c>
      <c r="F19" s="415">
        <v>90.88</v>
      </c>
      <c r="G19" s="415">
        <f t="shared" si="0"/>
        <v>1817.6</v>
      </c>
      <c r="H19" s="415">
        <v>0</v>
      </c>
      <c r="I19" s="415">
        <v>0</v>
      </c>
      <c r="J19" s="415">
        <f t="shared" si="1"/>
        <v>0</v>
      </c>
      <c r="K19" s="415">
        <f t="shared" si="2"/>
        <v>1817.6</v>
      </c>
      <c r="L19" s="416">
        <v>0</v>
      </c>
      <c r="M19" s="415">
        <f t="shared" si="3"/>
        <v>389229.6495</v>
      </c>
      <c r="N19" s="417"/>
      <c r="O19" s="417"/>
    </row>
    <row r="20" spans="1:15">
      <c r="A20" s="19">
        <v>17</v>
      </c>
      <c r="B20" s="271" t="s">
        <v>166</v>
      </c>
      <c r="C20" s="189" t="s">
        <v>285</v>
      </c>
      <c r="D20" s="189" t="s">
        <v>286</v>
      </c>
      <c r="E20" s="415">
        <v>20</v>
      </c>
      <c r="F20" s="415">
        <v>90.88</v>
      </c>
      <c r="G20" s="415">
        <f t="shared" si="0"/>
        <v>1817.6</v>
      </c>
      <c r="H20" s="415">
        <v>17.690000000000001</v>
      </c>
      <c r="I20" s="415">
        <v>102.77</v>
      </c>
      <c r="J20" s="415">
        <f t="shared" si="1"/>
        <v>1818.0013000000001</v>
      </c>
      <c r="K20" s="415">
        <f t="shared" si="2"/>
        <v>3635.6013000000003</v>
      </c>
      <c r="L20" s="416">
        <v>0</v>
      </c>
      <c r="M20" s="415">
        <f t="shared" si="3"/>
        <v>385594.04820000002</v>
      </c>
      <c r="N20" s="415"/>
      <c r="O20" s="415"/>
    </row>
    <row r="21" spans="1:15">
      <c r="A21" s="19">
        <v>18</v>
      </c>
      <c r="B21" s="271" t="s">
        <v>167</v>
      </c>
      <c r="C21" s="189" t="s">
        <v>285</v>
      </c>
      <c r="D21" s="189" t="s">
        <v>286</v>
      </c>
      <c r="E21" s="415">
        <v>40</v>
      </c>
      <c r="F21" s="415">
        <v>90.88</v>
      </c>
      <c r="G21" s="415">
        <f t="shared" si="0"/>
        <v>3635.2</v>
      </c>
      <c r="H21" s="415">
        <v>0</v>
      </c>
      <c r="I21" s="415">
        <v>0</v>
      </c>
      <c r="J21" s="415">
        <f t="shared" si="1"/>
        <v>0</v>
      </c>
      <c r="K21" s="415">
        <f t="shared" si="2"/>
        <v>3635.2</v>
      </c>
      <c r="L21" s="416">
        <v>0</v>
      </c>
      <c r="M21" s="415">
        <f t="shared" si="3"/>
        <v>381958.84820000001</v>
      </c>
      <c r="N21" s="415"/>
      <c r="O21" s="415"/>
    </row>
    <row r="22" spans="1:15">
      <c r="A22" s="188">
        <v>19</v>
      </c>
      <c r="B22" s="271" t="s">
        <v>167</v>
      </c>
      <c r="C22" s="189" t="s">
        <v>308</v>
      </c>
      <c r="D22" s="189" t="s">
        <v>290</v>
      </c>
      <c r="E22" s="415">
        <v>32.39</v>
      </c>
      <c r="F22" s="415">
        <v>95.7</v>
      </c>
      <c r="G22" s="415">
        <f t="shared" si="0"/>
        <v>3099.723</v>
      </c>
      <c r="H22" s="415">
        <v>0</v>
      </c>
      <c r="I22" s="415">
        <v>0</v>
      </c>
      <c r="J22" s="415">
        <f t="shared" si="1"/>
        <v>0</v>
      </c>
      <c r="K22" s="415">
        <f t="shared" si="2"/>
        <v>3099.723</v>
      </c>
      <c r="L22" s="416">
        <v>0</v>
      </c>
      <c r="M22" s="415">
        <f t="shared" si="3"/>
        <v>378859.12520000001</v>
      </c>
      <c r="N22" s="417">
        <v>212851.45</v>
      </c>
      <c r="O22" s="417">
        <f>N22-M22</f>
        <v>-166007.6752</v>
      </c>
    </row>
    <row r="23" spans="1:15">
      <c r="A23" s="19">
        <v>20</v>
      </c>
      <c r="B23" s="271" t="s">
        <v>168</v>
      </c>
      <c r="C23" s="189" t="s">
        <v>285</v>
      </c>
      <c r="D23" s="348" t="s">
        <v>286</v>
      </c>
      <c r="E23" s="415">
        <v>20</v>
      </c>
      <c r="F23" s="415">
        <v>90.88</v>
      </c>
      <c r="G23" s="415">
        <f t="shared" si="0"/>
        <v>1817.6</v>
      </c>
      <c r="H23" s="415">
        <v>0</v>
      </c>
      <c r="I23" s="415">
        <v>0</v>
      </c>
      <c r="J23" s="415">
        <f t="shared" si="1"/>
        <v>0</v>
      </c>
      <c r="K23" s="415">
        <f t="shared" si="2"/>
        <v>1817.6</v>
      </c>
      <c r="L23" s="416">
        <v>0</v>
      </c>
      <c r="M23" s="415">
        <f t="shared" si="3"/>
        <v>377041.52520000003</v>
      </c>
      <c r="N23" s="415"/>
      <c r="O23" s="415"/>
    </row>
    <row r="24" spans="1:15">
      <c r="A24" s="19">
        <v>21</v>
      </c>
      <c r="B24" s="271" t="s">
        <v>168</v>
      </c>
      <c r="C24" s="189" t="s">
        <v>309</v>
      </c>
      <c r="D24" s="348" t="s">
        <v>286</v>
      </c>
      <c r="E24" s="415">
        <v>0</v>
      </c>
      <c r="F24" s="415">
        <v>0</v>
      </c>
      <c r="G24" s="415">
        <f t="shared" si="0"/>
        <v>0</v>
      </c>
      <c r="H24" s="415">
        <v>4.87</v>
      </c>
      <c r="I24" s="415">
        <v>102.77</v>
      </c>
      <c r="J24" s="415">
        <f t="shared" si="1"/>
        <v>500.48989999999998</v>
      </c>
      <c r="K24" s="415">
        <f t="shared" si="2"/>
        <v>500.48989999999998</v>
      </c>
      <c r="L24" s="416">
        <v>0</v>
      </c>
      <c r="M24" s="415">
        <f>M23+L24-K24</f>
        <v>376541.03530000005</v>
      </c>
      <c r="N24" s="417"/>
      <c r="O24" s="417"/>
    </row>
    <row r="25" spans="1:15">
      <c r="A25" s="188">
        <v>22</v>
      </c>
      <c r="B25" s="271" t="s">
        <v>188</v>
      </c>
      <c r="C25" s="189" t="s">
        <v>293</v>
      </c>
      <c r="D25" s="189" t="s">
        <v>294</v>
      </c>
      <c r="E25" s="415">
        <v>124.06</v>
      </c>
      <c r="F25" s="415">
        <v>96.83</v>
      </c>
      <c r="G25" s="415">
        <f t="shared" si="0"/>
        <v>12012.729799999999</v>
      </c>
      <c r="H25" s="415">
        <v>0</v>
      </c>
      <c r="I25" s="415">
        <v>0</v>
      </c>
      <c r="J25" s="415">
        <f t="shared" si="1"/>
        <v>0</v>
      </c>
      <c r="K25" s="415">
        <f t="shared" si="2"/>
        <v>12012.729799999999</v>
      </c>
      <c r="L25" s="416">
        <v>0</v>
      </c>
      <c r="M25" s="415">
        <f t="shared" si="3"/>
        <v>364528.30550000007</v>
      </c>
      <c r="N25" s="415"/>
      <c r="O25" s="415"/>
    </row>
    <row r="26" spans="1:15">
      <c r="A26" s="19">
        <v>23</v>
      </c>
      <c r="B26" s="271" t="s">
        <v>188</v>
      </c>
      <c r="C26" s="189" t="s">
        <v>285</v>
      </c>
      <c r="D26" s="348" t="s">
        <v>286</v>
      </c>
      <c r="E26" s="415">
        <v>15</v>
      </c>
      <c r="F26" s="415">
        <v>90.88</v>
      </c>
      <c r="G26" s="415">
        <f t="shared" si="0"/>
        <v>1363.1999999999998</v>
      </c>
      <c r="H26" s="415">
        <v>0</v>
      </c>
      <c r="I26" s="415">
        <v>0</v>
      </c>
      <c r="J26" s="415">
        <f t="shared" si="1"/>
        <v>0</v>
      </c>
      <c r="K26" s="415">
        <f t="shared" si="2"/>
        <v>1363.1999999999998</v>
      </c>
      <c r="L26" s="416">
        <v>0</v>
      </c>
      <c r="M26" s="415">
        <f t="shared" si="3"/>
        <v>363165.10550000006</v>
      </c>
      <c r="N26" s="415"/>
      <c r="O26" s="415"/>
    </row>
    <row r="27" spans="1:15">
      <c r="A27" s="19">
        <v>24</v>
      </c>
      <c r="B27" s="271" t="s">
        <v>169</v>
      </c>
      <c r="C27" s="189" t="s">
        <v>310</v>
      </c>
      <c r="D27" s="189" t="s">
        <v>303</v>
      </c>
      <c r="E27" s="415">
        <v>0</v>
      </c>
      <c r="F27" s="415"/>
      <c r="G27" s="415">
        <f t="shared" si="0"/>
        <v>0</v>
      </c>
      <c r="H27" s="415">
        <v>1.86</v>
      </c>
      <c r="I27" s="415">
        <v>107.46</v>
      </c>
      <c r="J27" s="415">
        <f t="shared" si="1"/>
        <v>199.87559999999999</v>
      </c>
      <c r="K27" s="415">
        <f t="shared" si="2"/>
        <v>199.87559999999999</v>
      </c>
      <c r="L27" s="416">
        <v>0</v>
      </c>
      <c r="M27" s="415">
        <f t="shared" si="3"/>
        <v>362965.22990000003</v>
      </c>
      <c r="N27" s="415"/>
      <c r="O27" s="415"/>
    </row>
    <row r="28" spans="1:15">
      <c r="A28" s="188">
        <v>25</v>
      </c>
      <c r="B28" s="271" t="s">
        <v>170</v>
      </c>
      <c r="C28" s="189" t="s">
        <v>285</v>
      </c>
      <c r="D28" s="348" t="s">
        <v>286</v>
      </c>
      <c r="E28" s="415">
        <v>31</v>
      </c>
      <c r="F28" s="415">
        <v>90.88</v>
      </c>
      <c r="G28" s="415">
        <f t="shared" si="0"/>
        <v>2817.2799999999997</v>
      </c>
      <c r="H28" s="415">
        <v>0</v>
      </c>
      <c r="I28" s="415">
        <v>0</v>
      </c>
      <c r="J28" s="415">
        <f t="shared" si="1"/>
        <v>0</v>
      </c>
      <c r="K28" s="415">
        <f t="shared" si="2"/>
        <v>2817.2799999999997</v>
      </c>
      <c r="L28" s="416">
        <v>0</v>
      </c>
      <c r="M28" s="415">
        <f t="shared" si="3"/>
        <v>360147.94990000001</v>
      </c>
      <c r="N28" s="415"/>
      <c r="O28" s="415"/>
    </row>
    <row r="29" spans="1:15">
      <c r="A29" s="19">
        <v>26</v>
      </c>
      <c r="B29" s="271" t="s">
        <v>170</v>
      </c>
      <c r="C29" s="189" t="s">
        <v>293</v>
      </c>
      <c r="D29" s="189" t="s">
        <v>294</v>
      </c>
      <c r="E29" s="415">
        <v>8.25</v>
      </c>
      <c r="F29" s="415">
        <v>96.88</v>
      </c>
      <c r="G29" s="415">
        <f t="shared" si="0"/>
        <v>799.26</v>
      </c>
      <c r="H29" s="415">
        <v>0</v>
      </c>
      <c r="I29" s="415">
        <v>0</v>
      </c>
      <c r="J29" s="415">
        <f t="shared" si="1"/>
        <v>0</v>
      </c>
      <c r="K29" s="415">
        <f t="shared" si="2"/>
        <v>799.26</v>
      </c>
      <c r="L29" s="416">
        <v>0</v>
      </c>
      <c r="M29" s="415">
        <f t="shared" si="3"/>
        <v>359348.6899</v>
      </c>
      <c r="N29" s="417"/>
      <c r="O29" s="417"/>
    </row>
    <row r="30" spans="1:15" ht="14.25" customHeight="1">
      <c r="A30" s="19">
        <v>27</v>
      </c>
      <c r="B30" s="271" t="s">
        <v>171</v>
      </c>
      <c r="C30" s="189" t="s">
        <v>311</v>
      </c>
      <c r="D30" s="189" t="s">
        <v>312</v>
      </c>
      <c r="E30" s="415">
        <v>30</v>
      </c>
      <c r="F30" s="415">
        <v>95.7</v>
      </c>
      <c r="G30" s="415">
        <f t="shared" si="0"/>
        <v>2871</v>
      </c>
      <c r="H30" s="415">
        <v>0</v>
      </c>
      <c r="I30" s="415">
        <v>0</v>
      </c>
      <c r="J30" s="415">
        <f t="shared" si="1"/>
        <v>0</v>
      </c>
      <c r="K30" s="415">
        <f t="shared" si="2"/>
        <v>2871</v>
      </c>
      <c r="L30" s="416">
        <v>0</v>
      </c>
      <c r="M30" s="415">
        <f t="shared" si="3"/>
        <v>356477.6899</v>
      </c>
      <c r="N30" s="415"/>
      <c r="O30" s="415"/>
    </row>
    <row r="31" spans="1:15">
      <c r="A31" s="188">
        <v>28</v>
      </c>
      <c r="B31" s="271" t="s">
        <v>171</v>
      </c>
      <c r="C31" s="189" t="s">
        <v>313</v>
      </c>
      <c r="D31" s="189" t="s">
        <v>303</v>
      </c>
      <c r="E31" s="415">
        <v>0</v>
      </c>
      <c r="F31" s="415"/>
      <c r="G31" s="415">
        <f t="shared" si="0"/>
        <v>0</v>
      </c>
      <c r="H31" s="415">
        <v>3.9</v>
      </c>
      <c r="I31" s="415">
        <v>107.46</v>
      </c>
      <c r="J31" s="415">
        <f t="shared" si="1"/>
        <v>419.09399999999999</v>
      </c>
      <c r="K31" s="415">
        <f t="shared" si="2"/>
        <v>419.09399999999999</v>
      </c>
      <c r="L31" s="416">
        <v>0</v>
      </c>
      <c r="M31" s="415">
        <f t="shared" si="3"/>
        <v>356058.59590000001</v>
      </c>
      <c r="N31" s="415"/>
      <c r="O31" s="415"/>
    </row>
    <row r="32" spans="1:15">
      <c r="A32" s="19">
        <v>29</v>
      </c>
      <c r="B32" s="271" t="s">
        <v>172</v>
      </c>
      <c r="C32" s="189" t="s">
        <v>314</v>
      </c>
      <c r="D32" s="348" t="s">
        <v>303</v>
      </c>
      <c r="E32" s="415">
        <v>0</v>
      </c>
      <c r="F32" s="415">
        <v>0</v>
      </c>
      <c r="G32" s="415">
        <f t="shared" si="0"/>
        <v>0</v>
      </c>
      <c r="H32" s="415">
        <v>37.090000000000003</v>
      </c>
      <c r="I32" s="415">
        <v>107.86</v>
      </c>
      <c r="J32" s="415">
        <f t="shared" si="1"/>
        <v>4000.5274000000004</v>
      </c>
      <c r="K32" s="415">
        <f t="shared" si="2"/>
        <v>4000.5274000000004</v>
      </c>
      <c r="L32" s="416">
        <v>0</v>
      </c>
      <c r="M32" s="415">
        <f t="shared" si="3"/>
        <v>352058.06849999999</v>
      </c>
      <c r="N32" s="415"/>
      <c r="O32" s="415"/>
    </row>
    <row r="33" spans="1:15">
      <c r="A33" s="19">
        <v>30</v>
      </c>
      <c r="B33" s="271" t="s">
        <v>172</v>
      </c>
      <c r="C33" s="189" t="s">
        <v>313</v>
      </c>
      <c r="D33" s="189" t="s">
        <v>290</v>
      </c>
      <c r="E33" s="415">
        <v>24.03</v>
      </c>
      <c r="F33" s="415">
        <v>95.7</v>
      </c>
      <c r="G33" s="415">
        <f t="shared" si="0"/>
        <v>2299.6710000000003</v>
      </c>
      <c r="H33" s="415">
        <v>0</v>
      </c>
      <c r="I33" s="415">
        <v>0</v>
      </c>
      <c r="J33" s="415">
        <f t="shared" si="1"/>
        <v>0</v>
      </c>
      <c r="K33" s="415">
        <f t="shared" si="2"/>
        <v>2299.6710000000003</v>
      </c>
      <c r="L33" s="416">
        <v>0</v>
      </c>
      <c r="M33" s="415">
        <f t="shared" si="3"/>
        <v>349758.39750000002</v>
      </c>
      <c r="N33" s="415"/>
      <c r="O33" s="415"/>
    </row>
    <row r="34" spans="1:15">
      <c r="A34" s="188">
        <v>31</v>
      </c>
      <c r="B34" s="271" t="s">
        <v>173</v>
      </c>
      <c r="C34" s="189" t="s">
        <v>285</v>
      </c>
      <c r="D34" s="348" t="s">
        <v>286</v>
      </c>
      <c r="E34" s="415">
        <v>47.51</v>
      </c>
      <c r="F34" s="415">
        <v>90.88</v>
      </c>
      <c r="G34" s="415">
        <f t="shared" si="0"/>
        <v>4317.7087999999994</v>
      </c>
      <c r="H34" s="415">
        <v>9.73</v>
      </c>
      <c r="I34" s="415">
        <v>102.77</v>
      </c>
      <c r="J34" s="415">
        <f t="shared" si="1"/>
        <v>999.95209999999997</v>
      </c>
      <c r="K34" s="415">
        <f t="shared" si="2"/>
        <v>5317.6608999999989</v>
      </c>
      <c r="L34" s="416">
        <v>150000</v>
      </c>
      <c r="M34" s="415">
        <f t="shared" si="3"/>
        <v>494440.7366</v>
      </c>
      <c r="N34" s="417"/>
      <c r="O34" s="417"/>
    </row>
    <row r="35" spans="1:15">
      <c r="A35" s="19">
        <v>32</v>
      </c>
      <c r="B35" s="271" t="s">
        <v>173</v>
      </c>
      <c r="C35" s="189" t="s">
        <v>291</v>
      </c>
      <c r="D35" s="314" t="s">
        <v>292</v>
      </c>
      <c r="E35" s="415">
        <v>3867.37</v>
      </c>
      <c r="F35" s="415">
        <v>96.23</v>
      </c>
      <c r="G35" s="415">
        <f>E35*F35</f>
        <v>372157.01510000002</v>
      </c>
      <c r="H35" s="415">
        <v>0</v>
      </c>
      <c r="I35" s="415">
        <v>0</v>
      </c>
      <c r="J35" s="415">
        <f t="shared" si="1"/>
        <v>0</v>
      </c>
      <c r="K35" s="415">
        <f t="shared" si="2"/>
        <v>372157.01510000002</v>
      </c>
      <c r="L35" s="416">
        <v>31710</v>
      </c>
      <c r="M35" s="415">
        <f t="shared" si="3"/>
        <v>153993.72149999993</v>
      </c>
      <c r="N35" s="415"/>
      <c r="O35" s="415"/>
    </row>
    <row r="36" spans="1:15">
      <c r="A36" s="19">
        <v>33</v>
      </c>
      <c r="B36" s="271" t="s">
        <v>174</v>
      </c>
      <c r="C36" s="402"/>
      <c r="D36" s="189"/>
      <c r="E36" s="419"/>
      <c r="F36" s="415"/>
      <c r="G36" s="415"/>
      <c r="H36" s="415"/>
      <c r="I36" s="415"/>
      <c r="J36" s="415"/>
      <c r="K36" s="415">
        <v>0</v>
      </c>
      <c r="L36" s="416">
        <v>0</v>
      </c>
      <c r="M36" s="415">
        <f t="shared" si="3"/>
        <v>153993.72149999993</v>
      </c>
      <c r="N36" s="415"/>
      <c r="O36" s="415"/>
    </row>
    <row r="37" spans="1:15">
      <c r="A37" s="188">
        <v>34</v>
      </c>
      <c r="B37" s="271" t="s">
        <v>175</v>
      </c>
      <c r="C37" s="189" t="s">
        <v>285</v>
      </c>
      <c r="D37" s="348" t="s">
        <v>286</v>
      </c>
      <c r="E37" s="415">
        <v>20</v>
      </c>
      <c r="F37" s="415">
        <v>90.88</v>
      </c>
      <c r="G37" s="415">
        <f t="shared" si="0"/>
        <v>1817.6</v>
      </c>
      <c r="H37" s="415">
        <v>10</v>
      </c>
      <c r="I37" s="415">
        <v>102.77</v>
      </c>
      <c r="J37" s="415">
        <f t="shared" si="1"/>
        <v>1027.7</v>
      </c>
      <c r="K37" s="415">
        <f t="shared" si="2"/>
        <v>2845.3</v>
      </c>
      <c r="L37" s="416">
        <v>0</v>
      </c>
      <c r="M37" s="415">
        <f t="shared" si="3"/>
        <v>151148.42149999994</v>
      </c>
      <c r="N37" s="415"/>
      <c r="O37" s="415"/>
    </row>
    <row r="38" spans="1:15">
      <c r="A38" s="19">
        <v>35</v>
      </c>
      <c r="B38" s="271" t="s">
        <v>175</v>
      </c>
      <c r="C38" s="189" t="s">
        <v>313</v>
      </c>
      <c r="D38" s="189" t="s">
        <v>290</v>
      </c>
      <c r="E38" s="415">
        <v>36.57</v>
      </c>
      <c r="F38" s="415">
        <v>95.7</v>
      </c>
      <c r="G38" s="415">
        <f t="shared" si="0"/>
        <v>3499.7490000000003</v>
      </c>
      <c r="H38" s="415">
        <v>0</v>
      </c>
      <c r="I38" s="415">
        <v>0</v>
      </c>
      <c r="J38" s="415">
        <f t="shared" si="1"/>
        <v>0</v>
      </c>
      <c r="K38" s="415">
        <f t="shared" si="2"/>
        <v>3499.7490000000003</v>
      </c>
      <c r="L38" s="416">
        <v>0</v>
      </c>
      <c r="M38" s="415">
        <f t="shared" si="3"/>
        <v>147648.67249999993</v>
      </c>
      <c r="N38" s="415"/>
      <c r="O38" s="415"/>
    </row>
    <row r="39" spans="1:15">
      <c r="A39" s="19">
        <v>36</v>
      </c>
      <c r="B39" s="271" t="s">
        <v>176</v>
      </c>
      <c r="C39" s="189" t="s">
        <v>310</v>
      </c>
      <c r="D39" s="348" t="s">
        <v>303</v>
      </c>
      <c r="E39" s="415">
        <v>0</v>
      </c>
      <c r="F39" s="415"/>
      <c r="G39" s="415">
        <f t="shared" si="0"/>
        <v>0</v>
      </c>
      <c r="H39" s="415">
        <v>4.01</v>
      </c>
      <c r="I39" s="415">
        <v>107.46</v>
      </c>
      <c r="J39" s="415">
        <f t="shared" si="1"/>
        <v>430.91459999999995</v>
      </c>
      <c r="K39" s="415">
        <f t="shared" si="2"/>
        <v>430.91459999999995</v>
      </c>
      <c r="L39" s="416">
        <v>0</v>
      </c>
      <c r="M39" s="415">
        <f t="shared" si="3"/>
        <v>147217.75789999994</v>
      </c>
      <c r="N39" s="415"/>
      <c r="O39" s="415"/>
    </row>
    <row r="40" spans="1:15">
      <c r="A40" s="188">
        <v>37</v>
      </c>
      <c r="B40" s="271" t="s">
        <v>176</v>
      </c>
      <c r="C40" s="189" t="s">
        <v>315</v>
      </c>
      <c r="D40" s="348" t="s">
        <v>286</v>
      </c>
      <c r="E40" s="415">
        <v>100</v>
      </c>
      <c r="F40" s="415">
        <v>90.88</v>
      </c>
      <c r="G40" s="415">
        <f t="shared" si="0"/>
        <v>9088</v>
      </c>
      <c r="H40" s="415">
        <v>0</v>
      </c>
      <c r="I40" s="415">
        <v>0</v>
      </c>
      <c r="J40" s="415">
        <f t="shared" si="1"/>
        <v>0</v>
      </c>
      <c r="K40" s="415">
        <f t="shared" si="2"/>
        <v>9088</v>
      </c>
      <c r="L40" s="416">
        <v>0</v>
      </c>
      <c r="M40" s="415">
        <f t="shared" si="3"/>
        <v>138129.75789999994</v>
      </c>
      <c r="N40" s="415"/>
      <c r="O40" s="415"/>
    </row>
    <row r="41" spans="1:15">
      <c r="A41" s="19">
        <v>38</v>
      </c>
      <c r="B41" s="271" t="s">
        <v>176</v>
      </c>
      <c r="C41" s="189" t="s">
        <v>316</v>
      </c>
      <c r="D41" s="189" t="s">
        <v>292</v>
      </c>
      <c r="E41" s="415">
        <v>215</v>
      </c>
      <c r="F41" s="415">
        <v>92.07</v>
      </c>
      <c r="G41" s="415">
        <f t="shared" si="0"/>
        <v>19795.05</v>
      </c>
      <c r="H41" s="415">
        <v>0</v>
      </c>
      <c r="I41" s="415">
        <v>0</v>
      </c>
      <c r="J41" s="415">
        <f t="shared" si="1"/>
        <v>0</v>
      </c>
      <c r="K41" s="415">
        <f t="shared" si="2"/>
        <v>19795.05</v>
      </c>
      <c r="L41" s="416">
        <v>0</v>
      </c>
      <c r="M41" s="415">
        <f t="shared" si="3"/>
        <v>118334.70789999994</v>
      </c>
      <c r="N41" s="417"/>
      <c r="O41" s="417"/>
    </row>
    <row r="42" spans="1:15">
      <c r="A42" s="19">
        <v>39</v>
      </c>
      <c r="B42" s="271" t="s">
        <v>177</v>
      </c>
      <c r="C42" s="314" t="s">
        <v>285</v>
      </c>
      <c r="D42" s="348" t="s">
        <v>286</v>
      </c>
      <c r="E42" s="417">
        <v>0</v>
      </c>
      <c r="F42" s="417"/>
      <c r="G42" s="417">
        <f t="shared" si="0"/>
        <v>0</v>
      </c>
      <c r="H42" s="417">
        <v>5</v>
      </c>
      <c r="I42" s="415">
        <v>102.77</v>
      </c>
      <c r="J42" s="415">
        <f t="shared" si="1"/>
        <v>513.85</v>
      </c>
      <c r="K42" s="415">
        <f t="shared" si="2"/>
        <v>513.85</v>
      </c>
      <c r="L42" s="416">
        <v>0</v>
      </c>
      <c r="M42" s="415">
        <f t="shared" si="3"/>
        <v>117820.85789999993</v>
      </c>
      <c r="N42" s="417"/>
      <c r="O42" s="417"/>
    </row>
    <row r="43" spans="1:15">
      <c r="A43" s="188">
        <v>40</v>
      </c>
      <c r="B43" s="404" t="s">
        <v>184</v>
      </c>
      <c r="C43" s="118" t="s">
        <v>317</v>
      </c>
      <c r="D43" s="118" t="s">
        <v>292</v>
      </c>
      <c r="E43" s="420">
        <v>200</v>
      </c>
      <c r="F43" s="420">
        <v>92.01</v>
      </c>
      <c r="G43" s="415">
        <f t="shared" si="0"/>
        <v>18402</v>
      </c>
      <c r="H43" s="415">
        <v>0</v>
      </c>
      <c r="I43" s="419">
        <v>0</v>
      </c>
      <c r="J43" s="415">
        <f t="shared" si="1"/>
        <v>0</v>
      </c>
      <c r="K43" s="415">
        <f t="shared" si="2"/>
        <v>18402</v>
      </c>
      <c r="L43" s="416">
        <v>0</v>
      </c>
      <c r="M43" s="415">
        <f t="shared" si="3"/>
        <v>99418.85789999993</v>
      </c>
      <c r="N43" s="417"/>
      <c r="O43" s="417"/>
    </row>
    <row r="44" spans="1:15">
      <c r="A44" s="19">
        <v>41</v>
      </c>
      <c r="B44" s="404" t="s">
        <v>184</v>
      </c>
      <c r="C44" s="118" t="s">
        <v>318</v>
      </c>
      <c r="D44" s="118" t="s">
        <v>292</v>
      </c>
      <c r="E44" s="420">
        <v>215</v>
      </c>
      <c r="F44" s="420">
        <v>92.07</v>
      </c>
      <c r="G44" s="415">
        <f t="shared" si="0"/>
        <v>19795.05</v>
      </c>
      <c r="H44" s="415">
        <v>0</v>
      </c>
      <c r="I44" s="419">
        <v>0</v>
      </c>
      <c r="J44" s="415">
        <f t="shared" si="1"/>
        <v>0</v>
      </c>
      <c r="K44" s="415">
        <f t="shared" si="2"/>
        <v>19795.05</v>
      </c>
      <c r="L44" s="416">
        <v>0</v>
      </c>
      <c r="M44" s="415">
        <f t="shared" si="3"/>
        <v>79623.807899999927</v>
      </c>
      <c r="N44" s="417"/>
      <c r="O44" s="417"/>
    </row>
    <row r="45" spans="1:15">
      <c r="A45" s="19">
        <v>42</v>
      </c>
      <c r="B45" s="404" t="s">
        <v>184</v>
      </c>
      <c r="C45" s="118" t="s">
        <v>319</v>
      </c>
      <c r="D45" s="118" t="s">
        <v>286</v>
      </c>
      <c r="E45" s="420">
        <v>38.51</v>
      </c>
      <c r="F45" s="420">
        <v>90.88</v>
      </c>
      <c r="G45" s="415">
        <f t="shared" si="0"/>
        <v>3499.7887999999998</v>
      </c>
      <c r="H45" s="415">
        <v>0</v>
      </c>
      <c r="I45" s="419">
        <v>0</v>
      </c>
      <c r="J45" s="415">
        <f t="shared" si="1"/>
        <v>0</v>
      </c>
      <c r="K45" s="415">
        <f t="shared" si="2"/>
        <v>3499.7887999999998</v>
      </c>
      <c r="L45" s="416">
        <v>0</v>
      </c>
      <c r="M45" s="415">
        <f t="shared" si="3"/>
        <v>76124.019099999932</v>
      </c>
      <c r="N45" s="415"/>
      <c r="O45" s="415"/>
    </row>
    <row r="46" spans="1:15">
      <c r="A46" s="188">
        <v>43</v>
      </c>
      <c r="B46" s="404" t="s">
        <v>178</v>
      </c>
      <c r="C46" s="189" t="s">
        <v>320</v>
      </c>
      <c r="D46" s="189" t="s">
        <v>292</v>
      </c>
      <c r="E46" s="415">
        <v>200</v>
      </c>
      <c r="F46" s="420">
        <v>92.01</v>
      </c>
      <c r="G46" s="415">
        <f t="shared" si="0"/>
        <v>18402</v>
      </c>
      <c r="H46" s="415">
        <v>0</v>
      </c>
      <c r="I46" s="419">
        <v>0</v>
      </c>
      <c r="J46" s="415">
        <f t="shared" si="1"/>
        <v>0</v>
      </c>
      <c r="K46" s="415">
        <f t="shared" si="2"/>
        <v>18402</v>
      </c>
      <c r="L46" s="416">
        <v>130000</v>
      </c>
      <c r="M46" s="415">
        <f t="shared" si="3"/>
        <v>187722.01909999992</v>
      </c>
      <c r="N46" s="415"/>
      <c r="O46" s="415"/>
    </row>
    <row r="47" spans="1:15">
      <c r="A47" s="19">
        <v>44</v>
      </c>
      <c r="B47" s="404" t="s">
        <v>179</v>
      </c>
      <c r="C47" s="189" t="s">
        <v>321</v>
      </c>
      <c r="D47" s="189" t="s">
        <v>303</v>
      </c>
      <c r="E47" s="415">
        <v>0</v>
      </c>
      <c r="F47" s="415"/>
      <c r="G47" s="415">
        <f t="shared" si="0"/>
        <v>0</v>
      </c>
      <c r="H47" s="415">
        <v>3.95</v>
      </c>
      <c r="I47" s="419">
        <v>107.46</v>
      </c>
      <c r="J47" s="415">
        <f t="shared" si="1"/>
        <v>424.46699999999998</v>
      </c>
      <c r="K47" s="415">
        <f t="shared" si="2"/>
        <v>424.46699999999998</v>
      </c>
      <c r="L47" s="416">
        <v>0</v>
      </c>
      <c r="M47" s="415">
        <f t="shared" si="3"/>
        <v>187297.55209999991</v>
      </c>
      <c r="N47" s="415"/>
      <c r="O47" s="415"/>
    </row>
    <row r="48" spans="1:15">
      <c r="A48" s="19">
        <v>45</v>
      </c>
      <c r="B48" s="404" t="s">
        <v>179</v>
      </c>
      <c r="C48" s="403" t="s">
        <v>304</v>
      </c>
      <c r="D48" s="189" t="s">
        <v>288</v>
      </c>
      <c r="E48" s="415">
        <v>1753.24</v>
      </c>
      <c r="F48" s="415">
        <v>91.26</v>
      </c>
      <c r="G48" s="415">
        <f t="shared" si="0"/>
        <v>160000.68240000002</v>
      </c>
      <c r="H48" s="415">
        <v>0</v>
      </c>
      <c r="I48" s="419">
        <v>0</v>
      </c>
      <c r="J48" s="415">
        <f t="shared" si="1"/>
        <v>0</v>
      </c>
      <c r="K48" s="415">
        <f t="shared" si="2"/>
        <v>160000.68240000002</v>
      </c>
      <c r="L48" s="416">
        <v>0</v>
      </c>
      <c r="M48" s="415">
        <f t="shared" si="3"/>
        <v>27296.869699999894</v>
      </c>
      <c r="N48" s="415"/>
      <c r="O48" s="415"/>
    </row>
    <row r="49" spans="1:15">
      <c r="A49" s="188">
        <v>46</v>
      </c>
      <c r="B49" s="404" t="s">
        <v>179</v>
      </c>
      <c r="C49" s="118" t="s">
        <v>319</v>
      </c>
      <c r="D49" s="118" t="s">
        <v>286</v>
      </c>
      <c r="E49" s="415">
        <v>0</v>
      </c>
      <c r="F49" s="415">
        <v>0</v>
      </c>
      <c r="G49" s="415">
        <f t="shared" si="0"/>
        <v>0</v>
      </c>
      <c r="H49" s="415">
        <v>4.87</v>
      </c>
      <c r="I49" s="419">
        <v>102.77</v>
      </c>
      <c r="J49" s="415">
        <f t="shared" si="1"/>
        <v>500.48989999999998</v>
      </c>
      <c r="K49" s="415">
        <f t="shared" si="2"/>
        <v>500.48989999999998</v>
      </c>
      <c r="L49" s="416">
        <v>0</v>
      </c>
      <c r="M49" s="415">
        <f t="shared" si="3"/>
        <v>26796.379799999893</v>
      </c>
      <c r="N49" s="417"/>
      <c r="O49" s="417"/>
    </row>
    <row r="50" spans="1:15">
      <c r="A50" s="19">
        <v>47</v>
      </c>
      <c r="B50" s="271" t="s">
        <v>181</v>
      </c>
      <c r="C50" s="118" t="s">
        <v>319</v>
      </c>
      <c r="D50" s="118" t="s">
        <v>286</v>
      </c>
      <c r="E50" s="421">
        <v>74.010000000000005</v>
      </c>
      <c r="F50" s="421">
        <v>90.88</v>
      </c>
      <c r="G50" s="421">
        <f t="shared" si="0"/>
        <v>6726.0288</v>
      </c>
      <c r="H50" s="421">
        <v>0</v>
      </c>
      <c r="I50" s="415">
        <v>0</v>
      </c>
      <c r="J50" s="415">
        <f t="shared" si="1"/>
        <v>0</v>
      </c>
      <c r="K50" s="415">
        <f t="shared" si="2"/>
        <v>6726.0288</v>
      </c>
      <c r="L50" s="416">
        <v>0</v>
      </c>
      <c r="M50" s="415">
        <f t="shared" si="3"/>
        <v>20070.350999999893</v>
      </c>
      <c r="N50" s="415"/>
      <c r="O50" s="415"/>
    </row>
    <row r="51" spans="1:15">
      <c r="A51" s="19">
        <v>48</v>
      </c>
      <c r="B51" s="271" t="s">
        <v>181</v>
      </c>
      <c r="C51" s="189" t="s">
        <v>308</v>
      </c>
      <c r="D51" s="189" t="s">
        <v>297</v>
      </c>
      <c r="E51" s="415">
        <v>40</v>
      </c>
      <c r="F51" s="415">
        <v>95.7</v>
      </c>
      <c r="G51" s="415">
        <f t="shared" si="0"/>
        <v>3828</v>
      </c>
      <c r="H51" s="415">
        <v>0</v>
      </c>
      <c r="I51" s="415">
        <v>0</v>
      </c>
      <c r="J51" s="415">
        <f t="shared" si="1"/>
        <v>0</v>
      </c>
      <c r="K51" s="415">
        <f t="shared" si="2"/>
        <v>3828</v>
      </c>
      <c r="L51" s="416">
        <v>0</v>
      </c>
      <c r="M51" s="415">
        <f t="shared" si="3"/>
        <v>16242.350999999893</v>
      </c>
      <c r="N51" s="417"/>
      <c r="O51" s="417"/>
    </row>
    <row r="52" spans="1:15">
      <c r="A52" s="188">
        <v>49</v>
      </c>
      <c r="B52" s="271" t="s">
        <v>181</v>
      </c>
      <c r="C52" s="189" t="s">
        <v>322</v>
      </c>
      <c r="D52" s="189" t="s">
        <v>292</v>
      </c>
      <c r="E52" s="415">
        <v>105</v>
      </c>
      <c r="F52" s="415">
        <v>92.07</v>
      </c>
      <c r="G52" s="415">
        <f t="shared" si="0"/>
        <v>9667.3499999999985</v>
      </c>
      <c r="H52" s="415">
        <v>0</v>
      </c>
      <c r="I52" s="415">
        <v>0</v>
      </c>
      <c r="J52" s="415">
        <f t="shared" si="1"/>
        <v>0</v>
      </c>
      <c r="K52" s="415">
        <f t="shared" si="2"/>
        <v>9667.3499999999985</v>
      </c>
      <c r="L52" s="416">
        <v>0</v>
      </c>
      <c r="M52" s="415">
        <f t="shared" si="3"/>
        <v>6575.0009999998947</v>
      </c>
      <c r="N52" s="415"/>
      <c r="O52" s="415"/>
    </row>
    <row r="53" spans="1:15">
      <c r="A53" s="19">
        <v>50</v>
      </c>
      <c r="B53" s="271" t="s">
        <v>183</v>
      </c>
      <c r="C53" s="189" t="s">
        <v>308</v>
      </c>
      <c r="D53" s="189" t="s">
        <v>303</v>
      </c>
      <c r="E53" s="415">
        <v>0</v>
      </c>
      <c r="F53" s="415"/>
      <c r="G53" s="415">
        <f t="shared" si="0"/>
        <v>0</v>
      </c>
      <c r="H53" s="415">
        <v>1.57</v>
      </c>
      <c r="I53" s="415">
        <v>95.7</v>
      </c>
      <c r="J53" s="415">
        <f t="shared" si="1"/>
        <v>150.24900000000002</v>
      </c>
      <c r="K53" s="415">
        <f t="shared" si="2"/>
        <v>150.24900000000002</v>
      </c>
      <c r="L53" s="416">
        <v>0</v>
      </c>
      <c r="M53" s="415">
        <f t="shared" si="3"/>
        <v>6424.7519999998949</v>
      </c>
      <c r="N53" s="415"/>
      <c r="O53" s="415"/>
    </row>
    <row r="54" spans="1:15">
      <c r="A54" s="19">
        <v>51</v>
      </c>
      <c r="B54" s="271" t="s">
        <v>183</v>
      </c>
      <c r="C54" s="189" t="s">
        <v>308</v>
      </c>
      <c r="D54" s="189" t="s">
        <v>290</v>
      </c>
      <c r="E54" s="415">
        <v>32.39</v>
      </c>
      <c r="F54" s="415">
        <v>95.7</v>
      </c>
      <c r="G54" s="415">
        <f t="shared" si="0"/>
        <v>3099.723</v>
      </c>
      <c r="H54" s="415">
        <v>0</v>
      </c>
      <c r="I54" s="415">
        <v>0</v>
      </c>
      <c r="J54" s="415">
        <f t="shared" si="1"/>
        <v>0</v>
      </c>
      <c r="K54" s="415">
        <f t="shared" si="2"/>
        <v>3099.723</v>
      </c>
      <c r="L54" s="416">
        <v>0</v>
      </c>
      <c r="M54" s="415">
        <f t="shared" si="3"/>
        <v>3325.0289999998949</v>
      </c>
      <c r="N54" s="415"/>
      <c r="O54" s="415"/>
    </row>
    <row r="55" spans="1:15">
      <c r="A55" s="188">
        <v>52</v>
      </c>
      <c r="B55" s="271" t="s">
        <v>183</v>
      </c>
      <c r="C55" s="118" t="s">
        <v>319</v>
      </c>
      <c r="D55" s="118" t="s">
        <v>286</v>
      </c>
      <c r="E55" s="415">
        <v>30</v>
      </c>
      <c r="F55" s="415">
        <v>90.88</v>
      </c>
      <c r="G55" s="415">
        <f t="shared" si="0"/>
        <v>2726.3999999999996</v>
      </c>
      <c r="H55" s="415">
        <v>0</v>
      </c>
      <c r="I55" s="415">
        <v>0</v>
      </c>
      <c r="J55" s="415">
        <f t="shared" si="1"/>
        <v>0</v>
      </c>
      <c r="K55" s="415">
        <f t="shared" si="2"/>
        <v>2726.3999999999996</v>
      </c>
      <c r="L55" s="416">
        <v>0</v>
      </c>
      <c r="M55" s="415">
        <f t="shared" si="3"/>
        <v>598.62899999989531</v>
      </c>
      <c r="N55" s="211"/>
      <c r="O55" s="211"/>
    </row>
    <row r="56" spans="1:15">
      <c r="A56" s="19">
        <v>53</v>
      </c>
      <c r="B56" s="271"/>
      <c r="C56" s="189"/>
      <c r="D56" s="189"/>
      <c r="E56" s="415">
        <v>0</v>
      </c>
      <c r="F56" s="415"/>
      <c r="G56" s="415">
        <f t="shared" si="0"/>
        <v>0</v>
      </c>
      <c r="H56" s="415">
        <v>0</v>
      </c>
      <c r="I56" s="415">
        <v>0</v>
      </c>
      <c r="J56" s="415">
        <f t="shared" si="1"/>
        <v>0</v>
      </c>
      <c r="K56" s="415">
        <f t="shared" si="2"/>
        <v>0</v>
      </c>
      <c r="L56" s="416">
        <v>0</v>
      </c>
      <c r="M56" s="415">
        <f t="shared" si="3"/>
        <v>598.62899999989531</v>
      </c>
      <c r="N56" s="211"/>
      <c r="O56" s="211"/>
    </row>
    <row r="57" spans="1:15">
      <c r="A57" s="19">
        <v>54</v>
      </c>
      <c r="B57" s="271"/>
      <c r="C57" s="189"/>
      <c r="D57" s="189"/>
      <c r="E57" s="415">
        <v>0</v>
      </c>
      <c r="F57" s="415">
        <v>0</v>
      </c>
      <c r="G57" s="415">
        <f t="shared" ref="G57:G71" si="4">E57*F57</f>
        <v>0</v>
      </c>
      <c r="H57" s="415">
        <v>0</v>
      </c>
      <c r="I57" s="415">
        <v>0</v>
      </c>
      <c r="J57" s="415">
        <f t="shared" ref="J57:J71" si="5">H57*I57</f>
        <v>0</v>
      </c>
      <c r="K57" s="415">
        <f t="shared" ref="K57:K71" si="6">G57+J57</f>
        <v>0</v>
      </c>
      <c r="L57" s="415"/>
      <c r="M57" s="415">
        <f t="shared" si="3"/>
        <v>598.62899999989531</v>
      </c>
      <c r="N57" s="211"/>
      <c r="O57" s="211"/>
    </row>
    <row r="58" spans="1:15">
      <c r="A58" s="188">
        <v>55</v>
      </c>
      <c r="B58" s="271"/>
      <c r="C58" s="189"/>
      <c r="D58" s="189"/>
      <c r="E58" s="415">
        <v>0</v>
      </c>
      <c r="F58" s="415">
        <v>0</v>
      </c>
      <c r="G58" s="415">
        <f t="shared" si="4"/>
        <v>0</v>
      </c>
      <c r="H58" s="415">
        <v>0</v>
      </c>
      <c r="I58" s="415">
        <v>0</v>
      </c>
      <c r="J58" s="415">
        <f t="shared" si="5"/>
        <v>0</v>
      </c>
      <c r="K58" s="415">
        <f t="shared" si="6"/>
        <v>0</v>
      </c>
      <c r="L58" s="415"/>
      <c r="M58" s="415">
        <f t="shared" si="3"/>
        <v>598.62899999989531</v>
      </c>
      <c r="N58" s="211"/>
      <c r="O58" s="211"/>
    </row>
    <row r="59" spans="1:15">
      <c r="A59" s="19">
        <v>56</v>
      </c>
      <c r="B59" s="271"/>
      <c r="C59" s="189"/>
      <c r="D59" s="189"/>
      <c r="E59" s="415">
        <v>0</v>
      </c>
      <c r="F59" s="415">
        <v>0</v>
      </c>
      <c r="G59" s="415">
        <f t="shared" si="4"/>
        <v>0</v>
      </c>
      <c r="H59" s="415">
        <v>0</v>
      </c>
      <c r="I59" s="415">
        <v>0</v>
      </c>
      <c r="J59" s="415">
        <f t="shared" si="5"/>
        <v>0</v>
      </c>
      <c r="K59" s="415">
        <f t="shared" si="6"/>
        <v>0</v>
      </c>
      <c r="L59" s="415"/>
      <c r="M59" s="415">
        <f t="shared" si="3"/>
        <v>598.62899999989531</v>
      </c>
      <c r="N59" s="422"/>
      <c r="O59" s="422"/>
    </row>
    <row r="60" spans="1:15">
      <c r="A60" s="19">
        <v>57</v>
      </c>
      <c r="B60" s="271"/>
      <c r="C60" s="189"/>
      <c r="D60" s="189"/>
      <c r="E60" s="415">
        <v>0</v>
      </c>
      <c r="F60" s="415">
        <v>0</v>
      </c>
      <c r="G60" s="415">
        <f t="shared" si="4"/>
        <v>0</v>
      </c>
      <c r="H60" s="415">
        <v>0</v>
      </c>
      <c r="I60" s="415">
        <v>0</v>
      </c>
      <c r="J60" s="415">
        <f t="shared" si="5"/>
        <v>0</v>
      </c>
      <c r="K60" s="415">
        <f t="shared" si="6"/>
        <v>0</v>
      </c>
      <c r="L60" s="415"/>
      <c r="M60" s="415">
        <f t="shared" si="3"/>
        <v>598.62899999989531</v>
      </c>
      <c r="N60" s="211"/>
      <c r="O60" s="211"/>
    </row>
    <row r="61" spans="1:15">
      <c r="A61" s="188">
        <v>58</v>
      </c>
      <c r="B61" s="271"/>
      <c r="C61" s="189"/>
      <c r="D61" s="189"/>
      <c r="E61" s="415">
        <v>0</v>
      </c>
      <c r="F61" s="415">
        <v>0</v>
      </c>
      <c r="G61" s="415">
        <f t="shared" si="4"/>
        <v>0</v>
      </c>
      <c r="H61" s="415">
        <v>0</v>
      </c>
      <c r="I61" s="415">
        <v>0</v>
      </c>
      <c r="J61" s="415">
        <f t="shared" si="5"/>
        <v>0</v>
      </c>
      <c r="K61" s="415">
        <f t="shared" si="6"/>
        <v>0</v>
      </c>
      <c r="L61" s="415"/>
      <c r="M61" s="415">
        <f t="shared" si="3"/>
        <v>598.62899999989531</v>
      </c>
      <c r="N61" s="211"/>
      <c r="O61" s="211"/>
    </row>
    <row r="62" spans="1:15">
      <c r="A62" s="19">
        <v>59</v>
      </c>
      <c r="B62" s="271"/>
      <c r="C62" s="189"/>
      <c r="D62" s="189"/>
      <c r="E62" s="415">
        <v>0</v>
      </c>
      <c r="F62" s="415">
        <v>0</v>
      </c>
      <c r="G62" s="415">
        <f t="shared" si="4"/>
        <v>0</v>
      </c>
      <c r="H62" s="415">
        <v>0</v>
      </c>
      <c r="I62" s="415">
        <v>0</v>
      </c>
      <c r="J62" s="415">
        <f t="shared" si="5"/>
        <v>0</v>
      </c>
      <c r="K62" s="415">
        <f t="shared" si="6"/>
        <v>0</v>
      </c>
      <c r="L62" s="415"/>
      <c r="M62" s="415">
        <f t="shared" si="3"/>
        <v>598.62899999989531</v>
      </c>
      <c r="N62" s="211"/>
      <c r="O62" s="211"/>
    </row>
    <row r="63" spans="1:15">
      <c r="A63" s="19">
        <v>60</v>
      </c>
      <c r="B63" s="271"/>
      <c r="C63" s="189"/>
      <c r="D63" s="189"/>
      <c r="E63" s="415">
        <v>0</v>
      </c>
      <c r="F63" s="415">
        <v>0</v>
      </c>
      <c r="G63" s="415">
        <f t="shared" si="4"/>
        <v>0</v>
      </c>
      <c r="H63" s="415">
        <v>0</v>
      </c>
      <c r="I63" s="415">
        <v>0</v>
      </c>
      <c r="J63" s="415">
        <f t="shared" si="5"/>
        <v>0</v>
      </c>
      <c r="K63" s="415">
        <f t="shared" si="6"/>
        <v>0</v>
      </c>
      <c r="L63" s="415"/>
      <c r="M63" s="415">
        <f t="shared" si="3"/>
        <v>598.62899999989531</v>
      </c>
      <c r="N63" s="422"/>
      <c r="O63" s="422"/>
    </row>
    <row r="64" spans="1:15">
      <c r="A64" s="188">
        <v>61</v>
      </c>
      <c r="B64" s="271"/>
      <c r="C64" s="189"/>
      <c r="D64" s="189"/>
      <c r="E64" s="415">
        <v>0</v>
      </c>
      <c r="F64" s="415">
        <v>0</v>
      </c>
      <c r="G64" s="415">
        <f t="shared" si="4"/>
        <v>0</v>
      </c>
      <c r="H64" s="415">
        <v>0</v>
      </c>
      <c r="I64" s="415">
        <v>0</v>
      </c>
      <c r="J64" s="415">
        <f t="shared" si="5"/>
        <v>0</v>
      </c>
      <c r="K64" s="415">
        <f t="shared" si="6"/>
        <v>0</v>
      </c>
      <c r="L64" s="415"/>
      <c r="M64" s="415">
        <f t="shared" si="3"/>
        <v>598.62899999989531</v>
      </c>
      <c r="N64" s="211"/>
      <c r="O64" s="211"/>
    </row>
    <row r="65" spans="1:15">
      <c r="A65" s="19">
        <v>62</v>
      </c>
      <c r="B65" s="271"/>
      <c r="C65" s="189"/>
      <c r="D65" s="189"/>
      <c r="E65" s="415">
        <v>0</v>
      </c>
      <c r="F65" s="415">
        <v>0</v>
      </c>
      <c r="G65" s="415">
        <f t="shared" si="4"/>
        <v>0</v>
      </c>
      <c r="H65" s="415">
        <v>0</v>
      </c>
      <c r="I65" s="415">
        <v>0</v>
      </c>
      <c r="J65" s="415">
        <f t="shared" si="5"/>
        <v>0</v>
      </c>
      <c r="K65" s="415">
        <f t="shared" si="6"/>
        <v>0</v>
      </c>
      <c r="L65" s="415"/>
      <c r="M65" s="415">
        <f t="shared" si="3"/>
        <v>598.62899999989531</v>
      </c>
      <c r="N65" s="422"/>
      <c r="O65" s="422"/>
    </row>
    <row r="66" spans="1:15">
      <c r="A66" s="19">
        <v>63</v>
      </c>
      <c r="B66" s="271"/>
      <c r="C66" s="189"/>
      <c r="D66" s="189"/>
      <c r="E66" s="415">
        <v>0</v>
      </c>
      <c r="F66" s="415">
        <v>0</v>
      </c>
      <c r="G66" s="415">
        <f t="shared" si="4"/>
        <v>0</v>
      </c>
      <c r="H66" s="415">
        <v>0</v>
      </c>
      <c r="I66" s="415">
        <v>0</v>
      </c>
      <c r="J66" s="415">
        <f t="shared" si="5"/>
        <v>0</v>
      </c>
      <c r="K66" s="415">
        <f t="shared" si="6"/>
        <v>0</v>
      </c>
      <c r="L66" s="415"/>
      <c r="M66" s="415">
        <f t="shared" si="3"/>
        <v>598.62899999989531</v>
      </c>
      <c r="N66" s="422"/>
      <c r="O66" s="422"/>
    </row>
    <row r="67" spans="1:15">
      <c r="A67" s="188">
        <v>64</v>
      </c>
      <c r="B67" s="271"/>
      <c r="C67" s="189"/>
      <c r="D67" s="189"/>
      <c r="E67" s="415">
        <v>0</v>
      </c>
      <c r="F67" s="415">
        <v>0</v>
      </c>
      <c r="G67" s="415">
        <f t="shared" si="4"/>
        <v>0</v>
      </c>
      <c r="H67" s="415">
        <v>0</v>
      </c>
      <c r="I67" s="415">
        <v>0</v>
      </c>
      <c r="J67" s="415">
        <f t="shared" si="5"/>
        <v>0</v>
      </c>
      <c r="K67" s="415">
        <f t="shared" si="6"/>
        <v>0</v>
      </c>
      <c r="L67" s="415"/>
      <c r="M67" s="415">
        <f t="shared" si="3"/>
        <v>598.62899999989531</v>
      </c>
      <c r="N67" s="211"/>
      <c r="O67" s="211"/>
    </row>
    <row r="68" spans="1:15">
      <c r="A68" s="19">
        <v>65</v>
      </c>
      <c r="B68" s="271"/>
      <c r="C68" s="189"/>
      <c r="D68" s="189"/>
      <c r="E68" s="415">
        <v>0</v>
      </c>
      <c r="F68" s="415">
        <v>0</v>
      </c>
      <c r="G68" s="415">
        <f t="shared" si="4"/>
        <v>0</v>
      </c>
      <c r="H68" s="415">
        <v>0</v>
      </c>
      <c r="I68" s="415">
        <v>0</v>
      </c>
      <c r="J68" s="415">
        <f t="shared" si="5"/>
        <v>0</v>
      </c>
      <c r="K68" s="415">
        <f t="shared" si="6"/>
        <v>0</v>
      </c>
      <c r="L68" s="415"/>
      <c r="M68" s="415">
        <f t="shared" si="3"/>
        <v>598.62899999989531</v>
      </c>
      <c r="N68" s="422"/>
      <c r="O68" s="422"/>
    </row>
    <row r="69" spans="1:15">
      <c r="A69" s="19">
        <v>66</v>
      </c>
      <c r="B69" s="271"/>
      <c r="C69" s="189"/>
      <c r="D69" s="189"/>
      <c r="E69" s="415">
        <v>0</v>
      </c>
      <c r="F69" s="415">
        <v>0</v>
      </c>
      <c r="G69" s="415">
        <f t="shared" si="4"/>
        <v>0</v>
      </c>
      <c r="H69" s="415">
        <v>0</v>
      </c>
      <c r="I69" s="415">
        <v>0</v>
      </c>
      <c r="J69" s="415">
        <f t="shared" si="5"/>
        <v>0</v>
      </c>
      <c r="K69" s="415">
        <f t="shared" si="6"/>
        <v>0</v>
      </c>
      <c r="L69" s="415"/>
      <c r="M69" s="415">
        <f t="shared" si="3"/>
        <v>598.62899999989531</v>
      </c>
      <c r="N69" s="211"/>
      <c r="O69" s="211"/>
    </row>
    <row r="70" spans="1:15">
      <c r="A70" s="188">
        <v>67</v>
      </c>
      <c r="B70" s="271"/>
      <c r="C70" s="189"/>
      <c r="D70" s="189"/>
      <c r="E70" s="415">
        <v>0</v>
      </c>
      <c r="F70" s="415">
        <v>0</v>
      </c>
      <c r="G70" s="415">
        <f t="shared" si="4"/>
        <v>0</v>
      </c>
      <c r="H70" s="415">
        <v>0</v>
      </c>
      <c r="I70" s="415">
        <v>0</v>
      </c>
      <c r="J70" s="415">
        <f t="shared" si="5"/>
        <v>0</v>
      </c>
      <c r="K70" s="415">
        <f t="shared" si="6"/>
        <v>0</v>
      </c>
      <c r="L70" s="415"/>
      <c r="M70" s="415">
        <f t="shared" ref="M70:M79" si="7">M69+L70-K70</f>
        <v>598.62899999989531</v>
      </c>
      <c r="N70" s="211"/>
      <c r="O70" s="211"/>
    </row>
    <row r="71" spans="1:15">
      <c r="A71" s="19">
        <v>68</v>
      </c>
      <c r="B71" s="271"/>
      <c r="C71" s="189"/>
      <c r="D71" s="189"/>
      <c r="E71" s="415">
        <v>0</v>
      </c>
      <c r="F71" s="415">
        <v>0</v>
      </c>
      <c r="G71" s="415">
        <f t="shared" si="4"/>
        <v>0</v>
      </c>
      <c r="H71" s="415">
        <v>0</v>
      </c>
      <c r="I71" s="415">
        <v>0</v>
      </c>
      <c r="J71" s="415">
        <f t="shared" si="5"/>
        <v>0</v>
      </c>
      <c r="K71" s="415">
        <f t="shared" si="6"/>
        <v>0</v>
      </c>
      <c r="L71" s="415"/>
      <c r="M71" s="415">
        <f t="shared" si="7"/>
        <v>598.62899999989531</v>
      </c>
      <c r="N71" s="211"/>
      <c r="O71" s="211"/>
    </row>
    <row r="72" spans="1:15">
      <c r="A72" s="19">
        <v>69</v>
      </c>
      <c r="B72" s="271"/>
      <c r="C72" s="189"/>
      <c r="D72" s="189"/>
      <c r="E72" s="415">
        <v>0</v>
      </c>
      <c r="F72" s="415">
        <v>0</v>
      </c>
      <c r="G72" s="415">
        <f t="shared" ref="G72:G79" si="8">E72*F72</f>
        <v>0</v>
      </c>
      <c r="H72" s="415">
        <v>0</v>
      </c>
      <c r="I72" s="415">
        <v>0</v>
      </c>
      <c r="J72" s="415">
        <f t="shared" ref="J72:J79" si="9">H72*I72</f>
        <v>0</v>
      </c>
      <c r="K72" s="415">
        <f t="shared" ref="K72:K79" si="10">G72+J72</f>
        <v>0</v>
      </c>
      <c r="L72" s="415"/>
      <c r="M72" s="415">
        <f t="shared" si="7"/>
        <v>598.62899999989531</v>
      </c>
      <c r="N72" s="211"/>
      <c r="O72" s="211"/>
    </row>
    <row r="73" spans="1:15">
      <c r="A73" s="188">
        <v>70</v>
      </c>
      <c r="B73" s="271"/>
      <c r="C73" s="189"/>
      <c r="D73" s="189"/>
      <c r="E73" s="415">
        <v>0</v>
      </c>
      <c r="F73" s="415">
        <v>0</v>
      </c>
      <c r="G73" s="415">
        <f t="shared" si="8"/>
        <v>0</v>
      </c>
      <c r="H73" s="415">
        <v>0</v>
      </c>
      <c r="I73" s="415">
        <v>0</v>
      </c>
      <c r="J73" s="415">
        <f t="shared" si="9"/>
        <v>0</v>
      </c>
      <c r="K73" s="415">
        <f t="shared" si="10"/>
        <v>0</v>
      </c>
      <c r="L73" s="415"/>
      <c r="M73" s="415">
        <f t="shared" si="7"/>
        <v>598.62899999989531</v>
      </c>
      <c r="N73" s="211"/>
      <c r="O73" s="211"/>
    </row>
    <row r="74" spans="1:15">
      <c r="A74" s="19">
        <v>71</v>
      </c>
      <c r="B74" s="271"/>
      <c r="C74" s="189"/>
      <c r="D74" s="189"/>
      <c r="E74" s="415">
        <v>0</v>
      </c>
      <c r="F74" s="415">
        <v>0</v>
      </c>
      <c r="G74" s="415">
        <f t="shared" si="8"/>
        <v>0</v>
      </c>
      <c r="H74" s="415">
        <v>0</v>
      </c>
      <c r="I74" s="415">
        <v>0</v>
      </c>
      <c r="J74" s="415">
        <f t="shared" si="9"/>
        <v>0</v>
      </c>
      <c r="K74" s="415">
        <f t="shared" si="10"/>
        <v>0</v>
      </c>
      <c r="L74" s="415"/>
      <c r="M74" s="415">
        <f t="shared" si="7"/>
        <v>598.62899999989531</v>
      </c>
      <c r="N74" s="211"/>
      <c r="O74" s="211"/>
    </row>
    <row r="75" spans="1:15">
      <c r="A75" s="19">
        <v>72</v>
      </c>
      <c r="B75" s="271"/>
      <c r="C75" s="189"/>
      <c r="D75" s="189"/>
      <c r="E75" s="415">
        <v>0</v>
      </c>
      <c r="F75" s="415">
        <v>0</v>
      </c>
      <c r="G75" s="415">
        <f t="shared" si="8"/>
        <v>0</v>
      </c>
      <c r="H75" s="415">
        <v>0</v>
      </c>
      <c r="I75" s="415">
        <v>0</v>
      </c>
      <c r="J75" s="415">
        <f t="shared" si="9"/>
        <v>0</v>
      </c>
      <c r="K75" s="415">
        <f t="shared" si="10"/>
        <v>0</v>
      </c>
      <c r="L75" s="415"/>
      <c r="M75" s="415">
        <f t="shared" si="7"/>
        <v>598.62899999989531</v>
      </c>
      <c r="N75" s="211"/>
      <c r="O75" s="211"/>
    </row>
    <row r="76" spans="1:15">
      <c r="A76" s="188">
        <v>73</v>
      </c>
      <c r="B76" s="271"/>
      <c r="C76" s="189"/>
      <c r="D76" s="189"/>
      <c r="E76" s="415">
        <v>0</v>
      </c>
      <c r="F76" s="415">
        <v>0</v>
      </c>
      <c r="G76" s="415">
        <f t="shared" si="8"/>
        <v>0</v>
      </c>
      <c r="H76" s="415">
        <v>0</v>
      </c>
      <c r="I76" s="415">
        <v>0</v>
      </c>
      <c r="J76" s="415">
        <f t="shared" si="9"/>
        <v>0</v>
      </c>
      <c r="K76" s="415">
        <f t="shared" si="10"/>
        <v>0</v>
      </c>
      <c r="L76" s="415"/>
      <c r="M76" s="415">
        <f t="shared" si="7"/>
        <v>598.62899999989531</v>
      </c>
      <c r="N76" s="422"/>
      <c r="O76" s="422"/>
    </row>
    <row r="77" spans="1:15">
      <c r="A77" s="19">
        <v>74</v>
      </c>
      <c r="B77" s="271"/>
      <c r="C77" s="118"/>
      <c r="D77" s="118"/>
      <c r="E77" s="415">
        <v>0</v>
      </c>
      <c r="F77" s="415">
        <v>0</v>
      </c>
      <c r="G77" s="415">
        <f t="shared" si="8"/>
        <v>0</v>
      </c>
      <c r="H77" s="415">
        <v>0</v>
      </c>
      <c r="I77" s="415">
        <v>0</v>
      </c>
      <c r="J77" s="415">
        <f t="shared" si="9"/>
        <v>0</v>
      </c>
      <c r="K77" s="415">
        <f t="shared" si="10"/>
        <v>0</v>
      </c>
      <c r="L77" s="415"/>
      <c r="M77" s="415">
        <f t="shared" si="7"/>
        <v>598.62899999989531</v>
      </c>
      <c r="N77" s="211"/>
      <c r="O77" s="211"/>
    </row>
    <row r="78" spans="1:15">
      <c r="A78" s="19">
        <v>75</v>
      </c>
      <c r="B78" s="271"/>
      <c r="C78" s="287"/>
      <c r="D78" s="287"/>
      <c r="E78" s="415">
        <v>0</v>
      </c>
      <c r="F78" s="415">
        <v>0</v>
      </c>
      <c r="G78" s="415">
        <f t="shared" si="8"/>
        <v>0</v>
      </c>
      <c r="H78" s="415">
        <v>0</v>
      </c>
      <c r="I78" s="415">
        <v>0</v>
      </c>
      <c r="J78" s="415">
        <f t="shared" si="9"/>
        <v>0</v>
      </c>
      <c r="K78" s="415">
        <f t="shared" si="10"/>
        <v>0</v>
      </c>
      <c r="L78" s="415"/>
      <c r="M78" s="415">
        <f t="shared" si="7"/>
        <v>598.62899999989531</v>
      </c>
      <c r="N78" s="211"/>
      <c r="O78" s="211"/>
    </row>
    <row r="79" spans="1:15">
      <c r="A79" s="188">
        <v>76</v>
      </c>
      <c r="B79" s="19"/>
      <c r="C79" s="19"/>
      <c r="D79" s="19"/>
      <c r="E79" s="415">
        <v>0</v>
      </c>
      <c r="F79" s="415">
        <v>0</v>
      </c>
      <c r="G79" s="415">
        <f t="shared" si="8"/>
        <v>0</v>
      </c>
      <c r="H79" s="415">
        <v>0</v>
      </c>
      <c r="I79" s="415">
        <v>0</v>
      </c>
      <c r="J79" s="415">
        <f t="shared" si="9"/>
        <v>0</v>
      </c>
      <c r="K79" s="415">
        <f t="shared" si="10"/>
        <v>0</v>
      </c>
      <c r="L79" s="415"/>
      <c r="M79" s="415">
        <f t="shared" si="7"/>
        <v>598.62899999989531</v>
      </c>
      <c r="N79" s="211"/>
      <c r="O79" s="211"/>
    </row>
  </sheetData>
  <pageMargins left="0.7" right="0.7" top="0.75" bottom="0.75" header="0.3" footer="0.3"/>
  <legacy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DBD2A-34DD-4CE3-849C-464A244C338A}">
  <dimension ref="A1:O14"/>
  <sheetViews>
    <sheetView topLeftCell="AB1" workbookViewId="0">
      <selection activeCell="J24" sqref="J24"/>
    </sheetView>
  </sheetViews>
  <sheetFormatPr defaultRowHeight="15"/>
  <cols>
    <col min="2" max="2" width="11.5703125" customWidth="1"/>
    <col min="3" max="3" width="36.5703125" bestFit="1" customWidth="1"/>
    <col min="4" max="4" width="21.7109375" bestFit="1" customWidth="1"/>
    <col min="5" max="5" width="15.7109375" customWidth="1"/>
    <col min="7" max="7" width="22.42578125" customWidth="1"/>
    <col min="8" max="8" width="22.140625" customWidth="1"/>
    <col min="9" max="9" width="17.7109375" bestFit="1" customWidth="1"/>
    <col min="11" max="11" width="15.42578125" customWidth="1"/>
    <col min="12" max="12" width="17.7109375" customWidth="1"/>
    <col min="13" max="13" width="12.7109375" customWidth="1"/>
    <col min="14" max="14" width="15.140625" customWidth="1"/>
    <col min="15" max="15" width="20.5703125" customWidth="1"/>
  </cols>
  <sheetData>
    <row r="1" spans="1:15" ht="15.75">
      <c r="A1" s="458" t="s">
        <v>323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/>
    </row>
    <row r="2" spans="1:15">
      <c r="A2" s="76" t="s">
        <v>102</v>
      </c>
      <c r="B2" s="96" t="s">
        <v>103</v>
      </c>
      <c r="C2" s="96" t="s">
        <v>196</v>
      </c>
      <c r="D2" s="96" t="s">
        <v>198</v>
      </c>
      <c r="E2" s="96" t="s">
        <v>106</v>
      </c>
      <c r="F2" s="96" t="s">
        <v>107</v>
      </c>
      <c r="G2" s="103" t="s">
        <v>108</v>
      </c>
      <c r="H2" s="96" t="s">
        <v>109</v>
      </c>
      <c r="I2" s="96" t="s">
        <v>107</v>
      </c>
      <c r="J2" s="103" t="s">
        <v>108</v>
      </c>
      <c r="K2" s="76" t="s">
        <v>110</v>
      </c>
      <c r="L2" s="104" t="s">
        <v>199</v>
      </c>
      <c r="M2" s="98" t="s">
        <v>149</v>
      </c>
      <c r="N2" s="96" t="s">
        <v>113</v>
      </c>
      <c r="O2" s="96" t="s">
        <v>200</v>
      </c>
    </row>
    <row r="3" spans="1:15">
      <c r="A3" s="454" t="s">
        <v>114</v>
      </c>
      <c r="B3" s="454"/>
      <c r="C3" s="454"/>
      <c r="D3" s="454"/>
      <c r="E3" s="454"/>
      <c r="F3" s="454"/>
      <c r="G3" s="454"/>
      <c r="H3" s="454"/>
      <c r="I3" s="454"/>
      <c r="J3" s="454"/>
      <c r="K3" s="24">
        <v>165897.70679999981</v>
      </c>
      <c r="L3" s="191"/>
      <c r="M3" s="272">
        <f>+K3</f>
        <v>165897.70679999981</v>
      </c>
      <c r="N3" s="107"/>
      <c r="O3" s="107"/>
    </row>
    <row r="4" spans="1:15">
      <c r="A4" s="19">
        <v>1</v>
      </c>
      <c r="B4" s="19" t="s">
        <v>163</v>
      </c>
      <c r="C4" s="19" t="s">
        <v>324</v>
      </c>
      <c r="D4" s="353" t="s">
        <v>325</v>
      </c>
      <c r="E4" s="46">
        <v>3450.54</v>
      </c>
      <c r="F4" s="46">
        <v>96.13</v>
      </c>
      <c r="G4" s="46">
        <v>331700</v>
      </c>
      <c r="H4" s="46"/>
      <c r="I4" s="46"/>
      <c r="J4" s="46"/>
      <c r="K4" s="46">
        <f t="shared" ref="K4:K8" si="0">G4+J4</f>
        <v>331700</v>
      </c>
      <c r="L4" s="56">
        <v>200000</v>
      </c>
      <c r="M4" s="46">
        <f>M3+L4-K4</f>
        <v>34197.706799999811</v>
      </c>
      <c r="N4" s="19"/>
      <c r="O4" s="19"/>
    </row>
    <row r="5" spans="1:15">
      <c r="A5" s="19">
        <v>2</v>
      </c>
      <c r="B5" s="19" t="s">
        <v>295</v>
      </c>
      <c r="C5" s="19" t="s">
        <v>326</v>
      </c>
      <c r="D5" s="353" t="s">
        <v>327</v>
      </c>
      <c r="E5" s="46">
        <v>24051.21</v>
      </c>
      <c r="F5" s="46">
        <v>96.68</v>
      </c>
      <c r="G5" s="46">
        <v>2301220.4</v>
      </c>
      <c r="H5" s="46"/>
      <c r="I5" s="46"/>
      <c r="J5" s="46"/>
      <c r="K5" s="46">
        <f t="shared" si="0"/>
        <v>2301220.4</v>
      </c>
      <c r="L5" s="56">
        <v>14000000</v>
      </c>
      <c r="M5" s="46">
        <f t="shared" ref="M5:M10" si="1">M4+L5-K5</f>
        <v>11732977.306799999</v>
      </c>
      <c r="N5" s="19"/>
      <c r="O5" s="19"/>
    </row>
    <row r="6" spans="1:15">
      <c r="A6" s="19">
        <v>3</v>
      </c>
      <c r="B6" s="19" t="s">
        <v>295</v>
      </c>
      <c r="C6" s="19" t="s">
        <v>328</v>
      </c>
      <c r="D6" s="353" t="s">
        <v>329</v>
      </c>
      <c r="E6" s="46">
        <v>104515</v>
      </c>
      <c r="F6" s="46">
        <v>96.68</v>
      </c>
      <c r="G6" s="46">
        <v>10000000</v>
      </c>
      <c r="H6" s="46"/>
      <c r="I6" s="46"/>
      <c r="J6" s="46"/>
      <c r="K6" s="46">
        <f t="shared" si="0"/>
        <v>10000000</v>
      </c>
      <c r="L6" s="56"/>
      <c r="M6" s="46">
        <f t="shared" si="1"/>
        <v>1732977.3067999985</v>
      </c>
      <c r="N6" s="19"/>
      <c r="O6" s="19"/>
    </row>
    <row r="7" spans="1:15">
      <c r="A7" s="19">
        <v>4</v>
      </c>
      <c r="B7" s="19" t="s">
        <v>295</v>
      </c>
      <c r="C7" s="19" t="s">
        <v>328</v>
      </c>
      <c r="D7" s="353" t="s">
        <v>327</v>
      </c>
      <c r="E7" s="46">
        <v>384.43</v>
      </c>
      <c r="F7" s="46">
        <v>96.68</v>
      </c>
      <c r="G7" s="46">
        <v>36782</v>
      </c>
      <c r="H7" s="46"/>
      <c r="I7" s="46"/>
      <c r="J7" s="46"/>
      <c r="K7" s="46">
        <f t="shared" si="0"/>
        <v>36782</v>
      </c>
      <c r="L7" s="56"/>
      <c r="M7" s="46">
        <f t="shared" si="1"/>
        <v>1696195.3067999985</v>
      </c>
      <c r="N7" s="19"/>
      <c r="O7" s="19"/>
    </row>
    <row r="8" spans="1:15">
      <c r="A8" s="19">
        <v>5</v>
      </c>
      <c r="B8" s="19" t="s">
        <v>295</v>
      </c>
      <c r="C8" s="19" t="s">
        <v>330</v>
      </c>
      <c r="D8" s="353" t="s">
        <v>331</v>
      </c>
      <c r="E8" s="46">
        <v>17723.38</v>
      </c>
      <c r="F8" s="46">
        <v>96.48</v>
      </c>
      <c r="G8" s="46">
        <v>1621328</v>
      </c>
      <c r="H8" s="46"/>
      <c r="I8" s="46"/>
      <c r="J8" s="46"/>
      <c r="K8" s="46">
        <f t="shared" si="0"/>
        <v>1621328</v>
      </c>
      <c r="L8" s="56"/>
      <c r="M8" s="46">
        <f t="shared" si="1"/>
        <v>74867.306799998507</v>
      </c>
      <c r="N8" s="19"/>
      <c r="O8" s="19"/>
    </row>
    <row r="9" spans="1:15">
      <c r="A9" s="19">
        <v>6</v>
      </c>
      <c r="B9" s="107" t="s">
        <v>179</v>
      </c>
      <c r="C9" s="107"/>
      <c r="D9" s="423"/>
      <c r="E9" s="255"/>
      <c r="F9" s="255"/>
      <c r="G9" s="255"/>
      <c r="H9" s="255"/>
      <c r="I9" s="255"/>
      <c r="J9" s="255"/>
      <c r="K9" s="255"/>
      <c r="L9" s="191">
        <v>70000</v>
      </c>
      <c r="M9" s="255">
        <f t="shared" si="1"/>
        <v>144867.30679999851</v>
      </c>
      <c r="N9" s="107"/>
      <c r="O9" s="107"/>
    </row>
    <row r="10" spans="1:15">
      <c r="A10" s="19">
        <v>7</v>
      </c>
      <c r="B10" s="19" t="s">
        <v>180</v>
      </c>
      <c r="C10" s="19"/>
      <c r="D10" s="273"/>
      <c r="E10" s="46"/>
      <c r="F10" s="46"/>
      <c r="G10" s="46"/>
      <c r="H10" s="46"/>
      <c r="I10" s="46"/>
      <c r="J10" s="46"/>
      <c r="K10" s="46"/>
      <c r="L10" s="56">
        <v>45400</v>
      </c>
      <c r="M10" s="46">
        <f t="shared" si="1"/>
        <v>190267.30679999851</v>
      </c>
      <c r="N10" s="19"/>
      <c r="O10" s="19"/>
    </row>
    <row r="14" spans="1:15">
      <c r="I14" s="284"/>
    </row>
  </sheetData>
  <mergeCells count="2">
    <mergeCell ref="A1:O1"/>
    <mergeCell ref="A3:J3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MIS</cp:lastModifiedBy>
  <cp:revision/>
  <dcterms:created xsi:type="dcterms:W3CDTF">2015-06-05T18:17:20Z</dcterms:created>
  <dcterms:modified xsi:type="dcterms:W3CDTF">2026-10-07T12:19:12Z</dcterms:modified>
  <cp:category/>
  <cp:contentStatus/>
</cp:coreProperties>
</file>